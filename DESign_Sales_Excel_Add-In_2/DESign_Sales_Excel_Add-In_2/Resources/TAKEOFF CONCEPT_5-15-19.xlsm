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0" yWindow="0" windowWidth="28800" windowHeight="10500" activeTab="1"/>
  </bookViews>
  <sheets>
    <sheet name="Base Types" sheetId="1" r:id="rId1"/>
    <sheet name="Marks" sheetId="3" r:id="rId2"/>
  </sheets>
  <definedNames>
    <definedName name="BaseTypesList">INDIRECT("'Base Types'!$AM$4:$AM$1000")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" i="1" l="1"/>
  <c r="AL6" i="1"/>
  <c r="AL7" i="1"/>
  <c r="AL8" i="1"/>
  <c r="AL9" i="1"/>
  <c r="AL11" i="1" s="1"/>
  <c r="AL10" i="1"/>
  <c r="AL4" i="1"/>
  <c r="I8" i="3"/>
  <c r="I7" i="3"/>
  <c r="I6" i="3"/>
  <c r="I5" i="3"/>
  <c r="I4" i="3"/>
  <c r="AM5" i="1" l="1"/>
  <c r="AM4" i="1"/>
  <c r="AM11" i="1"/>
  <c r="AM10" i="1"/>
  <c r="AM9" i="1"/>
  <c r="AM8" i="1"/>
  <c r="AM7" i="1"/>
  <c r="AM6" i="1"/>
  <c r="I5" i="1" l="1"/>
  <c r="I6" i="1"/>
  <c r="I7" i="1"/>
  <c r="I8" i="1"/>
  <c r="I4" i="1"/>
</calcChain>
</file>

<file path=xl/sharedStrings.xml><?xml version="1.0" encoding="utf-8"?>
<sst xmlns="http://schemas.openxmlformats.org/spreadsheetml/2006/main" count="97" uniqueCount="49">
  <si>
    <t>NAME</t>
  </si>
  <si>
    <t>BASE
TYPES</t>
  </si>
  <si>
    <t>DESIGNATION</t>
  </si>
  <si>
    <t>DEPTH</t>
  </si>
  <si>
    <t>SERIES</t>
  </si>
  <si>
    <t>D1</t>
  </si>
  <si>
    <t>D2</t>
  </si>
  <si>
    <t>D3</t>
  </si>
  <si>
    <t>D4</t>
  </si>
  <si>
    <t>DESIGNATION (HIDDEN)</t>
  </si>
  <si>
    <t>G</t>
  </si>
  <si>
    <t>LH</t>
  </si>
  <si>
    <t>DESIGNATION CHECK</t>
  </si>
  <si>
    <t>BASE
LENGTH</t>
  </si>
  <si>
    <t>TCXR</t>
  </si>
  <si>
    <t>LENGTH</t>
  </si>
  <si>
    <t>TCXL</t>
  </si>
  <si>
    <t>SEAT DEPTH</t>
  </si>
  <si>
    <t>LEFT</t>
  </si>
  <si>
    <t>RIGHT</t>
  </si>
  <si>
    <t>BCX's</t>
  </si>
  <si>
    <t>DEFLECTION</t>
  </si>
  <si>
    <t>TL</t>
  </si>
  <si>
    <t>LL</t>
  </si>
  <si>
    <t>MIN I.</t>
  </si>
  <si>
    <t>LOAD INFO.</t>
  </si>
  <si>
    <t>VALUE</t>
  </si>
  <si>
    <t>DISTANCE</t>
  </si>
  <si>
    <t>LOAD 1</t>
  </si>
  <si>
    <t>TYPE</t>
  </si>
  <si>
    <t>CAT.</t>
  </si>
  <si>
    <t>POS.</t>
  </si>
  <si>
    <t>CASE
NO.</t>
  </si>
  <si>
    <t>REF.</t>
  </si>
  <si>
    <t>REMARKS</t>
  </si>
  <si>
    <t>LOAD CHECK</t>
  </si>
  <si>
    <t>WN
SPACING</t>
  </si>
  <si>
    <t>UPLIFT
(PLF)</t>
  </si>
  <si>
    <t>LOAD 2</t>
  </si>
  <si>
    <t>List of Names</t>
  </si>
  <si>
    <t>G1</t>
  </si>
  <si>
    <t>J1</t>
  </si>
  <si>
    <t>J2</t>
  </si>
  <si>
    <t>Name Index</t>
  </si>
  <si>
    <t>CUP</t>
  </si>
  <si>
    <t>CL</t>
  </si>
  <si>
    <t>TC</t>
  </si>
  <si>
    <t>DLH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</si>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</sst>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1" fillId="0" borderId="1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1" fillId="0" borderId="9" xfId="0" applyFont="1" applyBorder="1" applyAlignment="1">
      <alignment horizont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3" xfId="0" applyBorder="1"/>
    <xf numFmtId="0" fontId="1" fillId="0" borderId="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0" fontId="1" fillId="0" borderId="1" xfId="0" applyFont="1" applyBorder="1"/>
    <xf numFmtId="0" fontId="1" fillId="0" borderId="6" xfId="0" applyFont="1" applyBorder="1"/>
    <xf numFmtId="0" fontId="0" fillId="0" borderId="9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7"/>
  <sheetViews>
    <sheetView zoomScale="85" zoomScaleNormal="85" workbookViewId="0">
      <selection activeCell="B4" sqref="B4"/>
    </sheetView>
  </sheetViews>
  <sheetFormatPr defaultRowHeight="14.4" x14ac:dyDescent="0.3"/>
  <cols>
    <col min="1" max="1" width="8.6640625" customWidth="1"/>
    <col min="2" max="2" width="7" bestFit="1" customWidth="1"/>
    <col min="3" max="3" width="13.88671875" bestFit="1" customWidth="1"/>
    <col min="4" max="4" width="7.6640625" bestFit="1" customWidth="1"/>
    <col min="5" max="5" width="5" customWidth="1"/>
    <col min="6" max="6" width="5.33203125" customWidth="1"/>
    <col min="7" max="7" width="3.33203125" bestFit="1" customWidth="1"/>
    <col min="9" max="9" width="14.88671875" hidden="1" customWidth="1"/>
    <col min="10" max="10" width="19.6640625" hidden="1" customWidth="1"/>
    <col min="11" max="11" width="6.5546875" customWidth="1"/>
    <col min="12" max="12" width="6.6640625" customWidth="1"/>
    <col min="13" max="13" width="6.88671875" customWidth="1"/>
    <col min="14" max="14" width="6.44140625" customWidth="1"/>
    <col min="15" max="16" width="7.88671875" customWidth="1"/>
    <col min="17" max="17" width="6.6640625" customWidth="1"/>
    <col min="18" max="18" width="7.21875" customWidth="1"/>
    <col min="19" max="19" width="6.21875" customWidth="1"/>
    <col min="20" max="20" width="8.77734375" customWidth="1"/>
    <col min="25" max="25" width="5.6640625" bestFit="1" customWidth="1"/>
    <col min="26" max="26" width="5.21875" bestFit="1" customWidth="1"/>
    <col min="27" max="27" width="5.44140625" bestFit="1" customWidth="1"/>
    <col min="28" max="28" width="7.21875" bestFit="1" customWidth="1"/>
    <col min="29" max="29" width="5" customWidth="1"/>
    <col min="30" max="30" width="5.6640625" customWidth="1"/>
    <col min="31" max="31" width="7.21875" bestFit="1" customWidth="1"/>
    <col min="32" max="32" width="4.88671875" customWidth="1"/>
    <col min="33" max="33" width="5.33203125" customWidth="1"/>
    <col min="34" max="34" width="5.88671875" customWidth="1"/>
    <col min="35" max="35" width="7.6640625" customWidth="1"/>
    <col min="36" max="36" width="0" hidden="1" customWidth="1"/>
    <col min="37" max="37" width="12.44140625" customWidth="1"/>
    <col min="38" max="38" width="11.6640625" customWidth="1"/>
    <col min="39" max="39" width="13.21875" customWidth="1"/>
  </cols>
  <sheetData>
    <row r="1" spans="1:39" ht="15" thickBot="1" x14ac:dyDescent="0.35"/>
    <row r="2" spans="1:39" ht="15" customHeight="1" x14ac:dyDescent="0.3">
      <c r="A2" s="13" t="s">
        <v>0</v>
      </c>
      <c r="B2" s="24" t="s">
        <v>1</v>
      </c>
      <c r="C2" s="12" t="s">
        <v>2</v>
      </c>
      <c r="D2" s="6"/>
      <c r="E2" s="6"/>
      <c r="F2" s="6"/>
      <c r="G2" s="6"/>
      <c r="H2" s="7"/>
      <c r="I2" s="11" t="s">
        <v>9</v>
      </c>
      <c r="J2" s="7"/>
      <c r="K2" s="15" t="s">
        <v>13</v>
      </c>
      <c r="L2" s="16"/>
      <c r="M2" s="12" t="s">
        <v>16</v>
      </c>
      <c r="N2" s="7"/>
      <c r="O2" s="12" t="s">
        <v>14</v>
      </c>
      <c r="P2" s="7"/>
      <c r="Q2" s="12" t="s">
        <v>17</v>
      </c>
      <c r="R2" s="7"/>
      <c r="S2" s="35" t="s">
        <v>20</v>
      </c>
      <c r="T2" s="12" t="s">
        <v>21</v>
      </c>
      <c r="U2" s="7"/>
      <c r="V2" s="9" t="s">
        <v>36</v>
      </c>
      <c r="W2" s="13" t="s">
        <v>24</v>
      </c>
      <c r="X2" s="9" t="s">
        <v>37</v>
      </c>
      <c r="Y2" s="12" t="s">
        <v>25</v>
      </c>
      <c r="Z2" s="6"/>
      <c r="AA2" s="7"/>
      <c r="AB2" s="12" t="s">
        <v>28</v>
      </c>
      <c r="AC2" s="6"/>
      <c r="AD2" s="7"/>
      <c r="AE2" s="12" t="s">
        <v>38</v>
      </c>
      <c r="AF2" s="6"/>
      <c r="AG2" s="7"/>
      <c r="AH2" s="24" t="s">
        <v>32</v>
      </c>
      <c r="AI2" s="13" t="s">
        <v>33</v>
      </c>
      <c r="AJ2" s="24" t="s">
        <v>35</v>
      </c>
      <c r="AK2" s="36" t="s">
        <v>34</v>
      </c>
      <c r="AL2" s="41" t="s">
        <v>43</v>
      </c>
      <c r="AM2" s="33"/>
    </row>
    <row r="3" spans="1:39" ht="15" thickBot="1" x14ac:dyDescent="0.35">
      <c r="A3" s="14"/>
      <c r="B3" s="14"/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3" t="s">
        <v>8</v>
      </c>
      <c r="I3" s="4" t="s">
        <v>2</v>
      </c>
      <c r="J3" s="3" t="s">
        <v>12</v>
      </c>
      <c r="K3" s="17"/>
      <c r="L3" s="18"/>
      <c r="M3" s="34" t="s">
        <v>15</v>
      </c>
      <c r="N3" s="8"/>
      <c r="O3" s="34" t="s">
        <v>15</v>
      </c>
      <c r="P3" s="8"/>
      <c r="Q3" s="1" t="s">
        <v>18</v>
      </c>
      <c r="R3" s="3" t="s">
        <v>19</v>
      </c>
      <c r="S3" s="10"/>
      <c r="T3" s="1" t="s">
        <v>22</v>
      </c>
      <c r="U3" s="3" t="s">
        <v>23</v>
      </c>
      <c r="V3" s="10"/>
      <c r="W3" s="14"/>
      <c r="X3" s="10"/>
      <c r="Y3" s="1" t="s">
        <v>29</v>
      </c>
      <c r="Z3" s="2" t="s">
        <v>30</v>
      </c>
      <c r="AA3" s="3" t="s">
        <v>31</v>
      </c>
      <c r="AB3" s="1" t="s">
        <v>26</v>
      </c>
      <c r="AC3" s="5" t="s">
        <v>27</v>
      </c>
      <c r="AD3" s="8"/>
      <c r="AE3" s="1" t="s">
        <v>26</v>
      </c>
      <c r="AF3" s="5" t="s">
        <v>27</v>
      </c>
      <c r="AG3" s="8"/>
      <c r="AH3" s="14"/>
      <c r="AI3" s="14"/>
      <c r="AJ3" s="14"/>
      <c r="AK3" s="37"/>
      <c r="AL3" s="29"/>
      <c r="AM3" s="42" t="s">
        <v>39</v>
      </c>
    </row>
    <row r="4" spans="1:39" x14ac:dyDescent="0.3">
      <c r="A4" s="21" t="s">
        <v>40</v>
      </c>
      <c r="B4" s="43"/>
      <c r="C4" s="25"/>
      <c r="D4" s="20" t="s">
        <v>47</v>
      </c>
      <c r="E4" s="20">
        <v>1000</v>
      </c>
      <c r="F4" s="20">
        <v>1000</v>
      </c>
      <c r="G4" s="20">
        <v>10</v>
      </c>
      <c r="H4" s="26">
        <v>6</v>
      </c>
      <c r="I4" s="32" t="str">
        <f xml:space="preserve"> IF(ISNUMBER(FIND("G",D4)),
        C4&amp;D4&amp;E4&amp;"N"&amp;F4&amp;IF(G4="","","/"&amp;G4)&amp;"K"&amp;H4,
        C4&amp;D4&amp;E4&amp;IF(F4="","","/"&amp;F4))</f>
        <v>DLH1000/1000</v>
      </c>
      <c r="J4" s="33"/>
      <c r="K4" s="32"/>
      <c r="L4" s="33"/>
      <c r="M4" s="25"/>
      <c r="N4" s="26"/>
      <c r="O4" s="25"/>
      <c r="P4" s="26"/>
      <c r="Q4" s="25"/>
      <c r="R4" s="26"/>
      <c r="S4" s="21"/>
      <c r="T4" s="25"/>
      <c r="U4" s="26"/>
      <c r="V4" s="21"/>
      <c r="W4" s="21"/>
      <c r="X4" s="21"/>
      <c r="Y4" s="25" t="s">
        <v>44</v>
      </c>
      <c r="Z4" s="20" t="s">
        <v>45</v>
      </c>
      <c r="AA4" s="26" t="s">
        <v>46</v>
      </c>
      <c r="AB4" s="25">
        <v>100000</v>
      </c>
      <c r="AC4" s="20">
        <v>100</v>
      </c>
      <c r="AD4" s="26">
        <v>12</v>
      </c>
      <c r="AE4" s="25">
        <v>100000</v>
      </c>
      <c r="AF4" s="20">
        <v>100</v>
      </c>
      <c r="AG4" s="26">
        <v>12</v>
      </c>
      <c r="AH4" s="21"/>
      <c r="AI4" s="21"/>
      <c r="AJ4" s="21"/>
      <c r="AK4" s="38"/>
      <c r="AL4" s="25">
        <f>IF(OR(A4="",AND(ISNUMBER(FIND("[", A4)), ISNUMBER(FIND("ALL", A4)), ISNUMBER(FIND("]", A4)))),"",MAX(AL$3:AL3)+1)</f>
        <v>1</v>
      </c>
      <c r="AM4" s="26" t="str">
        <f>IFERROR(INDEX($A$4:$A$1000,MATCH(ROW()-ROW($AM$3),$AL$4:$AL$1000,0)),"")</f>
        <v>G1</v>
      </c>
    </row>
    <row r="5" spans="1:39" x14ac:dyDescent="0.3">
      <c r="A5" s="22"/>
      <c r="B5" s="22"/>
      <c r="C5" s="27"/>
      <c r="D5" s="19"/>
      <c r="E5" s="19"/>
      <c r="F5" s="19"/>
      <c r="G5" s="19"/>
      <c r="H5" s="28"/>
      <c r="I5" s="27" t="str">
        <f t="shared" ref="I5:I8" si="0" xml:space="preserve"> IF(ISNUMBER(FIND("G",D5)),
        C5&amp;D5&amp;E5&amp;"N"&amp;F5&amp;IF(G5="","","/"&amp;G5)&amp;"K"&amp;H5,
        C5&amp;D5&amp;E5&amp;IF(F5="","","/"&amp;F5))</f>
        <v/>
      </c>
      <c r="J5" s="28"/>
      <c r="K5" s="27"/>
      <c r="L5" s="28"/>
      <c r="M5" s="27"/>
      <c r="N5" s="28"/>
      <c r="O5" s="27"/>
      <c r="P5" s="28"/>
      <c r="Q5" s="27"/>
      <c r="R5" s="28"/>
      <c r="S5" s="22"/>
      <c r="T5" s="27"/>
      <c r="U5" s="28"/>
      <c r="V5" s="22"/>
      <c r="W5" s="22"/>
      <c r="X5" s="22"/>
      <c r="Y5" s="27"/>
      <c r="Z5" s="19"/>
      <c r="AA5" s="28"/>
      <c r="AB5" s="27"/>
      <c r="AC5" s="19"/>
      <c r="AD5" s="28"/>
      <c r="AE5" s="27"/>
      <c r="AF5" s="19"/>
      <c r="AG5" s="28"/>
      <c r="AH5" s="22"/>
      <c r="AI5" s="22"/>
      <c r="AJ5" s="22"/>
      <c r="AK5" s="39"/>
      <c r="AL5" s="27" t="str">
        <f>IF(OR(A5="",AND(ISNUMBER(FIND("[", A5)), ISNUMBER(FIND("ALL", A5)), ISNUMBER(FIND("]", A5)))),"",MAX(AL$3:AL4)+1)</f>
        <v/>
      </c>
      <c r="AM5" s="28" t="str">
        <f t="shared" ref="AM5:AM11" si="1">IFERROR(INDEX($A$4:$A$1000,MATCH(ROW()-ROW($AM$3),$AL$4:$AL$1000,0)),"")</f>
        <v>J1</v>
      </c>
    </row>
    <row r="6" spans="1:39" x14ac:dyDescent="0.3">
      <c r="A6" s="22" t="s">
        <v>41</v>
      </c>
      <c r="B6" s="22"/>
      <c r="C6" s="27">
        <v>36</v>
      </c>
      <c r="D6" s="19" t="s">
        <v>11</v>
      </c>
      <c r="E6" s="19">
        <v>240</v>
      </c>
      <c r="F6" s="19">
        <v>120</v>
      </c>
      <c r="G6" s="19"/>
      <c r="H6" s="28"/>
      <c r="I6" s="27" t="str">
        <f t="shared" si="0"/>
        <v>36LH240/120</v>
      </c>
      <c r="J6" s="28"/>
      <c r="K6" s="27"/>
      <c r="L6" s="28"/>
      <c r="M6" s="27"/>
      <c r="N6" s="28"/>
      <c r="O6" s="27"/>
      <c r="P6" s="28"/>
      <c r="Q6" s="27"/>
      <c r="R6" s="28"/>
      <c r="S6" s="22"/>
      <c r="T6" s="27"/>
      <c r="U6" s="28"/>
      <c r="V6" s="22"/>
      <c r="W6" s="22"/>
      <c r="X6" s="22"/>
      <c r="Y6" s="27"/>
      <c r="Z6" s="19"/>
      <c r="AA6" s="28"/>
      <c r="AB6" s="27"/>
      <c r="AC6" s="19"/>
      <c r="AD6" s="28"/>
      <c r="AE6" s="27"/>
      <c r="AF6" s="19"/>
      <c r="AG6" s="28"/>
      <c r="AH6" s="22"/>
      <c r="AI6" s="22"/>
      <c r="AJ6" s="22"/>
      <c r="AK6" s="39"/>
      <c r="AL6" s="27">
        <f>IF(OR(A6="",AND(ISNUMBER(FIND("[", A6)), ISNUMBER(FIND("ALL", A6)), ISNUMBER(FIND("]", A6)))),"",MAX(AL$3:AL5)+1)</f>
        <v>2</v>
      </c>
      <c r="AM6" s="28" t="str">
        <f t="shared" si="1"/>
        <v>J2</v>
      </c>
    </row>
    <row r="7" spans="1:39" x14ac:dyDescent="0.3">
      <c r="A7" s="22"/>
      <c r="B7" s="22"/>
      <c r="C7" s="27"/>
      <c r="D7" s="19"/>
      <c r="E7" s="19"/>
      <c r="F7" s="19"/>
      <c r="G7" s="19"/>
      <c r="H7" s="28"/>
      <c r="I7" s="27" t="str">
        <f t="shared" si="0"/>
        <v/>
      </c>
      <c r="J7" s="28"/>
      <c r="K7" s="27"/>
      <c r="L7" s="28"/>
      <c r="M7" s="27"/>
      <c r="N7" s="28"/>
      <c r="O7" s="27"/>
      <c r="P7" s="28"/>
      <c r="Q7" s="27"/>
      <c r="R7" s="28"/>
      <c r="S7" s="22"/>
      <c r="T7" s="27"/>
      <c r="U7" s="28"/>
      <c r="V7" s="22"/>
      <c r="W7" s="22"/>
      <c r="X7" s="22"/>
      <c r="Y7" s="27"/>
      <c r="Z7" s="19"/>
      <c r="AA7" s="28"/>
      <c r="AB7" s="27"/>
      <c r="AC7" s="19"/>
      <c r="AD7" s="28"/>
      <c r="AE7" s="27"/>
      <c r="AF7" s="19"/>
      <c r="AG7" s="28"/>
      <c r="AH7" s="22"/>
      <c r="AI7" s="22"/>
      <c r="AJ7" s="22"/>
      <c r="AK7" s="39"/>
      <c r="AL7" s="27" t="str">
        <f>IF(OR(A7="",AND(ISNUMBER(FIND("[", A7)), ISNUMBER(FIND("ALL", A7)), ISNUMBER(FIND("]", A7)))),"",MAX(AL$3:AL6)+1)</f>
        <v/>
      </c>
      <c r="AM7" s="28" t="str">
        <f t="shared" si="1"/>
        <v/>
      </c>
    </row>
    <row r="8" spans="1:39" x14ac:dyDescent="0.3">
      <c r="A8" s="22" t="s">
        <v>42</v>
      </c>
      <c r="B8" s="22"/>
      <c r="C8" s="27">
        <v>36</v>
      </c>
      <c r="D8" s="19" t="s">
        <v>11</v>
      </c>
      <c r="E8" s="19">
        <v>9</v>
      </c>
      <c r="F8" s="19"/>
      <c r="G8" s="19"/>
      <c r="H8" s="28"/>
      <c r="I8" s="27" t="str">
        <f t="shared" si="0"/>
        <v>36LH9</v>
      </c>
      <c r="J8" s="28"/>
      <c r="K8" s="27"/>
      <c r="L8" s="28"/>
      <c r="M8" s="27"/>
      <c r="N8" s="28"/>
      <c r="O8" s="27"/>
      <c r="P8" s="28"/>
      <c r="Q8" s="27"/>
      <c r="R8" s="28"/>
      <c r="S8" s="22"/>
      <c r="T8" s="27"/>
      <c r="U8" s="28"/>
      <c r="V8" s="22"/>
      <c r="W8" s="22"/>
      <c r="X8" s="22"/>
      <c r="Y8" s="27"/>
      <c r="Z8" s="19"/>
      <c r="AA8" s="28"/>
      <c r="AB8" s="27"/>
      <c r="AC8" s="19"/>
      <c r="AD8" s="28"/>
      <c r="AE8" s="27"/>
      <c r="AF8" s="19"/>
      <c r="AG8" s="28"/>
      <c r="AH8" s="22"/>
      <c r="AI8" s="22"/>
      <c r="AJ8" s="22"/>
      <c r="AK8" s="39"/>
      <c r="AL8" s="27">
        <f>IF(OR(A8="",AND(ISNUMBER(FIND("[", A8)), ISNUMBER(FIND("ALL", A8)), ISNUMBER(FIND("]", A8)))),"",MAX(AL$3:AL7)+1)</f>
        <v>3</v>
      </c>
      <c r="AM8" s="28" t="str">
        <f t="shared" si="1"/>
        <v/>
      </c>
    </row>
    <row r="9" spans="1:39" x14ac:dyDescent="0.3">
      <c r="A9" s="22"/>
      <c r="B9" s="22"/>
      <c r="C9" s="27"/>
      <c r="D9" s="19"/>
      <c r="E9" s="19"/>
      <c r="F9" s="19"/>
      <c r="G9" s="19"/>
      <c r="H9" s="28"/>
      <c r="I9" s="27"/>
      <c r="J9" s="28"/>
      <c r="K9" s="27"/>
      <c r="L9" s="28"/>
      <c r="M9" s="27"/>
      <c r="N9" s="28"/>
      <c r="O9" s="27"/>
      <c r="P9" s="28"/>
      <c r="Q9" s="27"/>
      <c r="R9" s="28"/>
      <c r="S9" s="22"/>
      <c r="T9" s="27"/>
      <c r="U9" s="28"/>
      <c r="V9" s="22"/>
      <c r="W9" s="22"/>
      <c r="X9" s="22"/>
      <c r="Y9" s="27"/>
      <c r="Z9" s="19"/>
      <c r="AA9" s="28"/>
      <c r="AB9" s="27"/>
      <c r="AC9" s="19"/>
      <c r="AD9" s="28"/>
      <c r="AE9" s="27"/>
      <c r="AF9" s="19"/>
      <c r="AG9" s="28"/>
      <c r="AH9" s="22"/>
      <c r="AI9" s="22"/>
      <c r="AJ9" s="22"/>
      <c r="AK9" s="39"/>
      <c r="AL9" s="27" t="str">
        <f>IF(OR(A9="",AND(ISNUMBER(FIND("[", A9)), ISNUMBER(FIND("ALL", A9)), ISNUMBER(FIND("]", A9)))),"",MAX(AL$3:AL8)+1)</f>
        <v/>
      </c>
      <c r="AM9" s="28" t="str">
        <f t="shared" si="1"/>
        <v/>
      </c>
    </row>
    <row r="10" spans="1:39" x14ac:dyDescent="0.3">
      <c r="A10" s="22"/>
      <c r="B10" s="22"/>
      <c r="C10" s="27"/>
      <c r="D10" s="19"/>
      <c r="E10" s="19"/>
      <c r="F10" s="19"/>
      <c r="G10" s="19"/>
      <c r="H10" s="28"/>
      <c r="I10" s="27"/>
      <c r="J10" s="28"/>
      <c r="K10" s="27"/>
      <c r="L10" s="28"/>
      <c r="M10" s="27"/>
      <c r="N10" s="28"/>
      <c r="O10" s="27"/>
      <c r="P10" s="28"/>
      <c r="Q10" s="27"/>
      <c r="R10" s="28"/>
      <c r="S10" s="22"/>
      <c r="T10" s="27"/>
      <c r="U10" s="28"/>
      <c r="V10" s="22"/>
      <c r="W10" s="22"/>
      <c r="X10" s="22"/>
      <c r="Y10" s="27"/>
      <c r="Z10" s="19"/>
      <c r="AA10" s="28"/>
      <c r="AB10" s="27"/>
      <c r="AC10" s="19"/>
      <c r="AD10" s="28"/>
      <c r="AE10" s="27"/>
      <c r="AF10" s="19"/>
      <c r="AG10" s="28"/>
      <c r="AH10" s="22"/>
      <c r="AI10" s="22"/>
      <c r="AJ10" s="22"/>
      <c r="AK10" s="39"/>
      <c r="AL10" s="27" t="str">
        <f>IF(OR(A10="",AND(ISNUMBER(FIND("[", A10)), ISNUMBER(FIND("ALL", A10)), ISNUMBER(FIND("]", A10)))),"",MAX(AL$3:AL9)+1)</f>
        <v/>
      </c>
      <c r="AM10" s="28" t="str">
        <f t="shared" si="1"/>
        <v/>
      </c>
    </row>
    <row r="11" spans="1:39" ht="15" thickBot="1" x14ac:dyDescent="0.35">
      <c r="A11" s="23"/>
      <c r="B11" s="23"/>
      <c r="C11" s="29"/>
      <c r="D11" s="30"/>
      <c r="E11" s="30"/>
      <c r="F11" s="30"/>
      <c r="G11" s="30"/>
      <c r="H11" s="31"/>
      <c r="I11" s="29"/>
      <c r="J11" s="31"/>
      <c r="K11" s="29"/>
      <c r="L11" s="31"/>
      <c r="M11" s="29"/>
      <c r="N11" s="31"/>
      <c r="O11" s="29"/>
      <c r="P11" s="31"/>
      <c r="Q11" s="29"/>
      <c r="R11" s="31"/>
      <c r="S11" s="23"/>
      <c r="T11" s="29"/>
      <c r="U11" s="31"/>
      <c r="V11" s="23"/>
      <c r="W11" s="23"/>
      <c r="X11" s="23"/>
      <c r="Y11" s="29"/>
      <c r="Z11" s="30"/>
      <c r="AA11" s="31"/>
      <c r="AB11" s="29"/>
      <c r="AC11" s="30"/>
      <c r="AD11" s="31"/>
      <c r="AE11" s="29"/>
      <c r="AF11" s="30"/>
      <c r="AG11" s="31"/>
      <c r="AH11" s="23"/>
      <c r="AI11" s="23"/>
      <c r="AJ11" s="23"/>
      <c r="AK11" s="40"/>
      <c r="AL11" s="29" t="str">
        <f>IF(OR(A11="",AND(ISNUMBER(FIND("[", A11)), ISNUMBER(FIND("ALL", A11)), ISNUMBER(FIND("]", A11)))),"",MAX(AL$3:AL10)+1)</f>
        <v/>
      </c>
      <c r="AM11" s="31" t="str">
        <f t="shared" si="1"/>
        <v/>
      </c>
    </row>
    <row r="17" spans="4:4" x14ac:dyDescent="0.3">
      <c r="D17" t="s">
        <v>48</v>
      </c>
    </row>
  </sheetData>
  <mergeCells count="24">
    <mergeCell ref="T2:U2"/>
    <mergeCell ref="A2:A3"/>
    <mergeCell ref="B2:B3"/>
    <mergeCell ref="C2:H2"/>
    <mergeCell ref="I2:J2"/>
    <mergeCell ref="K2:L3"/>
    <mergeCell ref="S2:S3"/>
    <mergeCell ref="M2:N2"/>
    <mergeCell ref="M3:N3"/>
    <mergeCell ref="O2:P2"/>
    <mergeCell ref="O3:P3"/>
    <mergeCell ref="Q2:R2"/>
    <mergeCell ref="AH2:AH3"/>
    <mergeCell ref="AI2:AI3"/>
    <mergeCell ref="AK2:AK3"/>
    <mergeCell ref="V2:V3"/>
    <mergeCell ref="X2:X3"/>
    <mergeCell ref="W2:W3"/>
    <mergeCell ref="Y2:AA2"/>
    <mergeCell ref="AB2:AD2"/>
    <mergeCell ref="AC3:AD3"/>
    <mergeCell ref="AE2:AG2"/>
    <mergeCell ref="AF3:AG3"/>
    <mergeCell ref="AJ2:AJ3"/>
  </mergeCells>
  <dataValidations count="1">
    <dataValidation type="list" allowBlank="1" showInputMessage="1" showErrorMessage="1" sqref="B4:B11">
      <formula1>OFFSET(BaseTypesList,0,0,COUNTA(BaseTypesList),1)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1"/>
  <sheetViews>
    <sheetView tabSelected="1" zoomScale="91" workbookViewId="0">
      <selection activeCell="B9" sqref="B9"/>
    </sheetView>
  </sheetViews>
  <sheetFormatPr defaultRowHeight="14.4" x14ac:dyDescent="0.3"/>
  <sheetData>
    <row r="1" spans="1:37" ht="15" thickBot="1" x14ac:dyDescent="0.35"/>
    <row r="2" spans="1:37" x14ac:dyDescent="0.3">
      <c r="A2" s="13" t="s">
        <v>0</v>
      </c>
      <c r="B2" s="24" t="s">
        <v>1</v>
      </c>
      <c r="C2" s="12" t="s">
        <v>2</v>
      </c>
      <c r="D2" s="6"/>
      <c r="E2" s="6"/>
      <c r="F2" s="6"/>
      <c r="G2" s="6"/>
      <c r="H2" s="7"/>
      <c r="I2" s="11" t="s">
        <v>9</v>
      </c>
      <c r="J2" s="7"/>
      <c r="K2" s="15" t="s">
        <v>13</v>
      </c>
      <c r="L2" s="16"/>
      <c r="M2" s="12" t="s">
        <v>16</v>
      </c>
      <c r="N2" s="7"/>
      <c r="O2" s="12" t="s">
        <v>14</v>
      </c>
      <c r="P2" s="7"/>
      <c r="Q2" s="12" t="s">
        <v>17</v>
      </c>
      <c r="R2" s="7"/>
      <c r="S2" s="35" t="s">
        <v>20</v>
      </c>
      <c r="T2" s="12" t="s">
        <v>21</v>
      </c>
      <c r="U2" s="7"/>
      <c r="V2" s="9" t="s">
        <v>36</v>
      </c>
      <c r="W2" s="13" t="s">
        <v>24</v>
      </c>
      <c r="X2" s="9" t="s">
        <v>37</v>
      </c>
      <c r="Y2" s="12" t="s">
        <v>25</v>
      </c>
      <c r="Z2" s="6"/>
      <c r="AA2" s="7"/>
      <c r="AB2" s="12" t="s">
        <v>28</v>
      </c>
      <c r="AC2" s="6"/>
      <c r="AD2" s="7"/>
      <c r="AE2" s="12" t="s">
        <v>38</v>
      </c>
      <c r="AF2" s="6"/>
      <c r="AG2" s="7"/>
      <c r="AH2" s="24" t="s">
        <v>32</v>
      </c>
      <c r="AI2" s="13" t="s">
        <v>33</v>
      </c>
      <c r="AJ2" s="24" t="s">
        <v>35</v>
      </c>
      <c r="AK2" s="13" t="s">
        <v>34</v>
      </c>
    </row>
    <row r="3" spans="1:37" ht="15" thickBot="1" x14ac:dyDescent="0.35">
      <c r="A3" s="14"/>
      <c r="B3" s="14"/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3" t="s">
        <v>8</v>
      </c>
      <c r="I3" s="4" t="s">
        <v>2</v>
      </c>
      <c r="J3" s="3" t="s">
        <v>12</v>
      </c>
      <c r="K3" s="17"/>
      <c r="L3" s="18"/>
      <c r="M3" s="34" t="s">
        <v>15</v>
      </c>
      <c r="N3" s="8"/>
      <c r="O3" s="34" t="s">
        <v>15</v>
      </c>
      <c r="P3" s="8"/>
      <c r="Q3" s="1" t="s">
        <v>18</v>
      </c>
      <c r="R3" s="3" t="s">
        <v>19</v>
      </c>
      <c r="S3" s="10"/>
      <c r="T3" s="1" t="s">
        <v>22</v>
      </c>
      <c r="U3" s="3" t="s">
        <v>23</v>
      </c>
      <c r="V3" s="10"/>
      <c r="W3" s="14"/>
      <c r="X3" s="10"/>
      <c r="Y3" s="1" t="s">
        <v>29</v>
      </c>
      <c r="Z3" s="2" t="s">
        <v>30</v>
      </c>
      <c r="AA3" s="3" t="s">
        <v>31</v>
      </c>
      <c r="AB3" s="1" t="s">
        <v>26</v>
      </c>
      <c r="AC3" s="5" t="s">
        <v>27</v>
      </c>
      <c r="AD3" s="8"/>
      <c r="AE3" s="1" t="s">
        <v>26</v>
      </c>
      <c r="AF3" s="5" t="s">
        <v>27</v>
      </c>
      <c r="AG3" s="8"/>
      <c r="AH3" s="14"/>
      <c r="AI3" s="14"/>
      <c r="AJ3" s="14"/>
      <c r="AK3" s="14"/>
    </row>
    <row r="4" spans="1:37" x14ac:dyDescent="0.3">
      <c r="A4" s="21"/>
      <c r="B4" s="21"/>
      <c r="C4" s="25">
        <v>36</v>
      </c>
      <c r="D4" s="20" t="s">
        <v>10</v>
      </c>
      <c r="E4" s="20">
        <v>5</v>
      </c>
      <c r="F4" s="20">
        <v>20</v>
      </c>
      <c r="G4" s="20">
        <v>10</v>
      </c>
      <c r="H4" s="26">
        <v>6</v>
      </c>
      <c r="I4" s="32" t="str">
        <f xml:space="preserve"> IF(ISNUMBER(FIND("G",D4)),
        C4&amp;D4&amp;E4&amp;"N"&amp;F4&amp;IF(G4="","","/"&amp;G4)&amp;"K"&amp;H4,
        C4&amp;D4&amp;E4&amp;IF(F4="","","/"&amp;F4))</f>
        <v>36G5N20/10K6</v>
      </c>
      <c r="J4" s="33"/>
      <c r="K4" s="32"/>
      <c r="L4" s="33"/>
      <c r="M4" s="25"/>
      <c r="N4" s="26"/>
      <c r="O4" s="25"/>
      <c r="P4" s="26"/>
      <c r="Q4" s="25"/>
      <c r="R4" s="26"/>
      <c r="S4" s="21"/>
      <c r="T4" s="25"/>
      <c r="U4" s="26"/>
      <c r="V4" s="21"/>
      <c r="W4" s="21"/>
      <c r="X4" s="21"/>
      <c r="Y4" s="25"/>
      <c r="Z4" s="20"/>
      <c r="AA4" s="26"/>
      <c r="AB4" s="25"/>
      <c r="AC4" s="20"/>
      <c r="AD4" s="26"/>
      <c r="AE4" s="25"/>
      <c r="AF4" s="20"/>
      <c r="AG4" s="26"/>
      <c r="AH4" s="21"/>
      <c r="AI4" s="21"/>
      <c r="AJ4" s="21"/>
      <c r="AK4" s="21"/>
    </row>
    <row r="5" spans="1:37" x14ac:dyDescent="0.3">
      <c r="A5" s="22"/>
      <c r="B5" s="22"/>
      <c r="C5" s="27"/>
      <c r="D5" s="19"/>
      <c r="E5" s="19"/>
      <c r="F5" s="19"/>
      <c r="G5" s="19"/>
      <c r="H5" s="28"/>
      <c r="I5" s="27" t="str">
        <f t="shared" ref="I5:I8" si="0" xml:space="preserve"> IF(ISNUMBER(FIND("G",D5)),
        C5&amp;D5&amp;E5&amp;"N"&amp;F5&amp;IF(G5="","","/"&amp;G5)&amp;"K"&amp;H5,
        C5&amp;D5&amp;E5&amp;IF(F5="","","/"&amp;F5))</f>
        <v/>
      </c>
      <c r="J5" s="28"/>
      <c r="K5" s="27"/>
      <c r="L5" s="28"/>
      <c r="M5" s="27"/>
      <c r="N5" s="28"/>
      <c r="O5" s="27"/>
      <c r="P5" s="28"/>
      <c r="Q5" s="27"/>
      <c r="R5" s="28"/>
      <c r="S5" s="22"/>
      <c r="T5" s="27"/>
      <c r="U5" s="28"/>
      <c r="V5" s="22"/>
      <c r="W5" s="22"/>
      <c r="X5" s="22"/>
      <c r="Y5" s="27"/>
      <c r="Z5" s="19"/>
      <c r="AA5" s="28"/>
      <c r="AB5" s="27"/>
      <c r="AC5" s="19"/>
      <c r="AD5" s="28"/>
      <c r="AE5" s="27"/>
      <c r="AF5" s="19"/>
      <c r="AG5" s="28"/>
      <c r="AH5" s="22"/>
      <c r="AI5" s="22"/>
      <c r="AJ5" s="22"/>
      <c r="AK5" s="22"/>
    </row>
    <row r="6" spans="1:37" x14ac:dyDescent="0.3">
      <c r="A6" s="22"/>
      <c r="B6" s="22"/>
      <c r="C6" s="27">
        <v>36</v>
      </c>
      <c r="D6" s="19" t="s">
        <v>11</v>
      </c>
      <c r="E6" s="19">
        <v>240</v>
      </c>
      <c r="F6" s="19">
        <v>120</v>
      </c>
      <c r="G6" s="19"/>
      <c r="H6" s="28"/>
      <c r="I6" s="27" t="str">
        <f t="shared" si="0"/>
        <v>36LH240/120</v>
      </c>
      <c r="J6" s="28"/>
      <c r="K6" s="27"/>
      <c r="L6" s="28"/>
      <c r="M6" s="27"/>
      <c r="N6" s="28"/>
      <c r="O6" s="27"/>
      <c r="P6" s="28"/>
      <c r="Q6" s="27"/>
      <c r="R6" s="28"/>
      <c r="S6" s="22"/>
      <c r="T6" s="27"/>
      <c r="U6" s="28"/>
      <c r="V6" s="22"/>
      <c r="W6" s="22"/>
      <c r="X6" s="22"/>
      <c r="Y6" s="27"/>
      <c r="Z6" s="19"/>
      <c r="AA6" s="28"/>
      <c r="AB6" s="27"/>
      <c r="AC6" s="19"/>
      <c r="AD6" s="28"/>
      <c r="AE6" s="27"/>
      <c r="AF6" s="19"/>
      <c r="AG6" s="28"/>
      <c r="AH6" s="22"/>
      <c r="AI6" s="22"/>
      <c r="AJ6" s="22"/>
      <c r="AK6" s="22"/>
    </row>
    <row r="7" spans="1:37" x14ac:dyDescent="0.3">
      <c r="A7" s="22"/>
      <c r="B7" s="22"/>
      <c r="C7" s="27"/>
      <c r="D7" s="19"/>
      <c r="E7" s="19"/>
      <c r="F7" s="19"/>
      <c r="G7" s="19"/>
      <c r="H7" s="28"/>
      <c r="I7" s="27" t="str">
        <f t="shared" si="0"/>
        <v/>
      </c>
      <c r="J7" s="28"/>
      <c r="K7" s="27"/>
      <c r="L7" s="28"/>
      <c r="M7" s="27"/>
      <c r="N7" s="28"/>
      <c r="O7" s="27"/>
      <c r="P7" s="28"/>
      <c r="Q7" s="27"/>
      <c r="R7" s="28"/>
      <c r="S7" s="22"/>
      <c r="T7" s="27"/>
      <c r="U7" s="28"/>
      <c r="V7" s="22"/>
      <c r="W7" s="22"/>
      <c r="X7" s="22"/>
      <c r="Y7" s="27"/>
      <c r="Z7" s="19"/>
      <c r="AA7" s="28"/>
      <c r="AB7" s="27"/>
      <c r="AC7" s="19"/>
      <c r="AD7" s="28"/>
      <c r="AE7" s="27"/>
      <c r="AF7" s="19"/>
      <c r="AG7" s="28"/>
      <c r="AH7" s="22"/>
      <c r="AI7" s="22"/>
      <c r="AJ7" s="22"/>
      <c r="AK7" s="22"/>
    </row>
    <row r="8" spans="1:37" x14ac:dyDescent="0.3">
      <c r="A8" s="22"/>
      <c r="B8" s="22"/>
      <c r="C8" s="27">
        <v>36</v>
      </c>
      <c r="D8" s="19" t="s">
        <v>11</v>
      </c>
      <c r="E8" s="19">
        <v>9</v>
      </c>
      <c r="F8" s="19"/>
      <c r="G8" s="19"/>
      <c r="H8" s="28"/>
      <c r="I8" s="27" t="str">
        <f t="shared" si="0"/>
        <v>36LH9</v>
      </c>
      <c r="J8" s="28"/>
      <c r="K8" s="27"/>
      <c r="L8" s="28"/>
      <c r="M8" s="27"/>
      <c r="N8" s="28"/>
      <c r="O8" s="27"/>
      <c r="P8" s="28"/>
      <c r="Q8" s="27"/>
      <c r="R8" s="28"/>
      <c r="S8" s="22"/>
      <c r="T8" s="27"/>
      <c r="U8" s="28"/>
      <c r="V8" s="22"/>
      <c r="W8" s="22"/>
      <c r="X8" s="22"/>
      <c r="Y8" s="27"/>
      <c r="Z8" s="19"/>
      <c r="AA8" s="28"/>
      <c r="AB8" s="27"/>
      <c r="AC8" s="19"/>
      <c r="AD8" s="28"/>
      <c r="AE8" s="27"/>
      <c r="AF8" s="19"/>
      <c r="AG8" s="28"/>
      <c r="AH8" s="22"/>
      <c r="AI8" s="22"/>
      <c r="AJ8" s="22"/>
      <c r="AK8" s="22"/>
    </row>
    <row r="9" spans="1:37" x14ac:dyDescent="0.3">
      <c r="A9" s="22"/>
      <c r="B9" s="22"/>
      <c r="C9" s="27"/>
      <c r="D9" s="19"/>
      <c r="E9" s="19"/>
      <c r="F9" s="19"/>
      <c r="G9" s="19"/>
      <c r="H9" s="28"/>
      <c r="I9" s="27"/>
      <c r="J9" s="28"/>
      <c r="K9" s="27"/>
      <c r="L9" s="28"/>
      <c r="M9" s="27"/>
      <c r="N9" s="28"/>
      <c r="O9" s="27"/>
      <c r="P9" s="28"/>
      <c r="Q9" s="27"/>
      <c r="R9" s="28"/>
      <c r="S9" s="22"/>
      <c r="T9" s="27"/>
      <c r="U9" s="28"/>
      <c r="V9" s="22"/>
      <c r="W9" s="22"/>
      <c r="X9" s="22"/>
      <c r="Y9" s="27"/>
      <c r="Z9" s="19"/>
      <c r="AA9" s="28"/>
      <c r="AB9" s="27"/>
      <c r="AC9" s="19"/>
      <c r="AD9" s="28"/>
      <c r="AE9" s="27"/>
      <c r="AF9" s="19"/>
      <c r="AG9" s="28"/>
      <c r="AH9" s="22"/>
      <c r="AI9" s="22"/>
      <c r="AJ9" s="22"/>
      <c r="AK9" s="22"/>
    </row>
    <row r="10" spans="1:37" x14ac:dyDescent="0.3">
      <c r="A10" s="22"/>
      <c r="B10" s="22"/>
      <c r="C10" s="27"/>
      <c r="D10" s="19"/>
      <c r="E10" s="19"/>
      <c r="F10" s="19"/>
      <c r="G10" s="19"/>
      <c r="H10" s="28"/>
      <c r="I10" s="27"/>
      <c r="J10" s="28"/>
      <c r="K10" s="27"/>
      <c r="L10" s="28"/>
      <c r="M10" s="27"/>
      <c r="N10" s="28"/>
      <c r="O10" s="27"/>
      <c r="P10" s="28"/>
      <c r="Q10" s="27"/>
      <c r="R10" s="28"/>
      <c r="S10" s="22"/>
      <c r="T10" s="27"/>
      <c r="U10" s="28"/>
      <c r="V10" s="22"/>
      <c r="W10" s="22"/>
      <c r="X10" s="22"/>
      <c r="Y10" s="27"/>
      <c r="Z10" s="19"/>
      <c r="AA10" s="28"/>
      <c r="AB10" s="27"/>
      <c r="AC10" s="19"/>
      <c r="AD10" s="28"/>
      <c r="AE10" s="27"/>
      <c r="AF10" s="19"/>
      <c r="AG10" s="28"/>
      <c r="AH10" s="22"/>
      <c r="AI10" s="22"/>
      <c r="AJ10" s="22"/>
      <c r="AK10" s="22"/>
    </row>
    <row r="11" spans="1:37" ht="15" thickBot="1" x14ac:dyDescent="0.35">
      <c r="A11" s="23"/>
      <c r="B11" s="23"/>
      <c r="C11" s="29"/>
      <c r="D11" s="30"/>
      <c r="E11" s="30"/>
      <c r="F11" s="30"/>
      <c r="G11" s="30"/>
      <c r="H11" s="31"/>
      <c r="I11" s="29"/>
      <c r="J11" s="31"/>
      <c r="K11" s="29"/>
      <c r="L11" s="31"/>
      <c r="M11" s="29"/>
      <c r="N11" s="31"/>
      <c r="O11" s="29"/>
      <c r="P11" s="31"/>
      <c r="Q11" s="29"/>
      <c r="R11" s="31"/>
      <c r="S11" s="23"/>
      <c r="T11" s="29"/>
      <c r="U11" s="31"/>
      <c r="V11" s="23"/>
      <c r="W11" s="23"/>
      <c r="X11" s="23"/>
      <c r="Y11" s="29"/>
      <c r="Z11" s="30"/>
      <c r="AA11" s="31"/>
      <c r="AB11" s="29"/>
      <c r="AC11" s="30"/>
      <c r="AD11" s="31"/>
      <c r="AE11" s="29"/>
      <c r="AF11" s="30"/>
      <c r="AG11" s="31"/>
      <c r="AH11" s="23"/>
      <c r="AI11" s="23"/>
      <c r="AJ11" s="23"/>
      <c r="AK11" s="23"/>
    </row>
  </sheetData>
  <mergeCells count="24">
    <mergeCell ref="AJ2:AJ3"/>
    <mergeCell ref="AK2:AK3"/>
    <mergeCell ref="M3:N3"/>
    <mergeCell ref="O3:P3"/>
    <mergeCell ref="AC3:AD3"/>
    <mergeCell ref="AF3:AG3"/>
    <mergeCell ref="X2:X3"/>
    <mergeCell ref="Y2:AA2"/>
    <mergeCell ref="AB2:AD2"/>
    <mergeCell ref="AE2:AG2"/>
    <mergeCell ref="AH2:AH3"/>
    <mergeCell ref="AI2:AI3"/>
    <mergeCell ref="O2:P2"/>
    <mergeCell ref="Q2:R2"/>
    <mergeCell ref="S2:S3"/>
    <mergeCell ref="T2:U2"/>
    <mergeCell ref="V2:V3"/>
    <mergeCell ref="W2:W3"/>
    <mergeCell ref="A2:A3"/>
    <mergeCell ref="B2:B3"/>
    <mergeCell ref="C2:H2"/>
    <mergeCell ref="I2:J2"/>
    <mergeCell ref="K2:L3"/>
    <mergeCell ref="M2:N2"/>
  </mergeCells>
  <dataValidations count="1">
    <dataValidation type="list" allowBlank="1" showInputMessage="1" showErrorMessage="1" sqref="B4:B11">
      <formula1>OFFSET(BaseTypesList,0,0,COUNTA(BaseTypesList),1)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 Types</vt:lpstr>
      <vt:lpstr>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Shannon, Darien</dc:creator>
  <cp:lastModifiedBy>Shannon, Darien</cp:lastModifiedBy>
  <dcterms:created xsi:type="dcterms:W3CDTF">2019-05-15T22:34:18Z</dcterms:created>
  <dcterms:modified xsi:type="dcterms:W3CDTF">2019-05-16T05:50:48Z</dcterms:modified>
</cp:coreProperties>
</file>