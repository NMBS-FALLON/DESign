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K13" i="51" l="1"/>
  <c r="AK14" i="51"/>
  <c r="AK15" i="51"/>
  <c r="AK16" i="51"/>
  <c r="AK17" i="51"/>
  <c r="AK18" i="51"/>
  <c r="AK19" i="51"/>
  <c r="AK20" i="51"/>
  <c r="AK21" i="51"/>
  <c r="AK22" i="51"/>
  <c r="AK23" i="51"/>
  <c r="AK24" i="51"/>
  <c r="AK25" i="51"/>
  <c r="AK26" i="51"/>
  <c r="AK27" i="51"/>
  <c r="AK28" i="51"/>
  <c r="AK29" i="51"/>
  <c r="AK30" i="51"/>
  <c r="AK31" i="51"/>
  <c r="AK32" i="51"/>
  <c r="AK33" i="51"/>
  <c r="AK34" i="51"/>
  <c r="AK35" i="51"/>
  <c r="AK36" i="51"/>
  <c r="AK37" i="51"/>
  <c r="AK38" i="51"/>
  <c r="AK39" i="51"/>
  <c r="AK40" i="51"/>
  <c r="AK41" i="51"/>
  <c r="AK42" i="51"/>
  <c r="AK43" i="51"/>
  <c r="AK44" i="51"/>
  <c r="AK45" i="51"/>
  <c r="AK46" i="51"/>
  <c r="AK47" i="51"/>
  <c r="AK48" i="51"/>
  <c r="AK49" i="51"/>
  <c r="AK50" i="51"/>
  <c r="AK51" i="51"/>
  <c r="AK52" i="51"/>
  <c r="AK53" i="51"/>
  <c r="AK54" i="51"/>
  <c r="AK55" i="51"/>
  <c r="AK56" i="51"/>
  <c r="AK57" i="51"/>
  <c r="AK58" i="51"/>
  <c r="AK59" i="51"/>
  <c r="AK60" i="51"/>
  <c r="AK61" i="51"/>
  <c r="AK62" i="51"/>
  <c r="AK63" i="51"/>
  <c r="AK64" i="51"/>
  <c r="AK65" i="51"/>
  <c r="AK66" i="51"/>
  <c r="AK67" i="51"/>
  <c r="AK68" i="51"/>
  <c r="AK69" i="51"/>
  <c r="AK70" i="51"/>
  <c r="AK71" i="51"/>
  <c r="AK72" i="51"/>
  <c r="AK73" i="51"/>
  <c r="AK74" i="51"/>
  <c r="AK75" i="51"/>
  <c r="AK76" i="51"/>
  <c r="AK77" i="51"/>
  <c r="AK78" i="51"/>
  <c r="AK79" i="51"/>
  <c r="AK80" i="51"/>
  <c r="AK81" i="51"/>
  <c r="AK82" i="51"/>
  <c r="AK83" i="51"/>
  <c r="AK84" i="51"/>
  <c r="AK85" i="51"/>
  <c r="AK86" i="51"/>
  <c r="AK87" i="51"/>
  <c r="AK88" i="51"/>
  <c r="AK89" i="51"/>
  <c r="AK90" i="51"/>
  <c r="AK91" i="51"/>
  <c r="AK92" i="51"/>
  <c r="AK93" i="51"/>
  <c r="AK94" i="51"/>
  <c r="AK95" i="51"/>
  <c r="AK96" i="51"/>
  <c r="AK97" i="51"/>
  <c r="AK98" i="51"/>
  <c r="AK99" i="51"/>
  <c r="AK100" i="51"/>
  <c r="AK101" i="51"/>
  <c r="AK102" i="51"/>
  <c r="AK103" i="51"/>
  <c r="AK104" i="51"/>
  <c r="AK105" i="51"/>
  <c r="AK106" i="51"/>
  <c r="AK107" i="51"/>
  <c r="AK108" i="51"/>
  <c r="AK109" i="51"/>
  <c r="AK110" i="51"/>
  <c r="AK111" i="51"/>
  <c r="AK112" i="51"/>
  <c r="AK113" i="51"/>
  <c r="AK114" i="51"/>
  <c r="AK115" i="51"/>
  <c r="AK116" i="51"/>
  <c r="AK117" i="51"/>
  <c r="AK118" i="51"/>
  <c r="AK119" i="51"/>
  <c r="AK120" i="51"/>
  <c r="AK121" i="51"/>
  <c r="AK122" i="51"/>
  <c r="AK123" i="51"/>
  <c r="AK124" i="51"/>
  <c r="AK125" i="51"/>
  <c r="AK126" i="51"/>
  <c r="AK127" i="51"/>
  <c r="AK128" i="51"/>
  <c r="AK129" i="51"/>
  <c r="AK130" i="51"/>
  <c r="AK131" i="51"/>
  <c r="AK132" i="51"/>
  <c r="AK133" i="51"/>
  <c r="AK134" i="51"/>
  <c r="AK135" i="51"/>
  <c r="AK136" i="51"/>
  <c r="AK137" i="51"/>
  <c r="AK138" i="51"/>
  <c r="AK139" i="51"/>
  <c r="AK140" i="51"/>
  <c r="AK141" i="51"/>
  <c r="AK142" i="51"/>
  <c r="AK143" i="51"/>
  <c r="AK144" i="51"/>
  <c r="AK145" i="51"/>
  <c r="AK146" i="51"/>
  <c r="AK147" i="51"/>
  <c r="AK148" i="51"/>
  <c r="AK149" i="51"/>
  <c r="AK150" i="51"/>
  <c r="AK151" i="51"/>
  <c r="AK152" i="51"/>
  <c r="AK153" i="51"/>
  <c r="AK154" i="51"/>
  <c r="AK155" i="51"/>
  <c r="AK156" i="51"/>
  <c r="AK157" i="51"/>
  <c r="AK158" i="51"/>
  <c r="AK159" i="51"/>
  <c r="AK160" i="51"/>
  <c r="AK161" i="51"/>
  <c r="AK162" i="51"/>
  <c r="AK163" i="51"/>
  <c r="AK164" i="51"/>
  <c r="AK165" i="51"/>
  <c r="AK166" i="51"/>
  <c r="AK167" i="51"/>
  <c r="AK168" i="51"/>
  <c r="AK169" i="51"/>
  <c r="AK170" i="51"/>
  <c r="AK171" i="51"/>
  <c r="AK172" i="51"/>
  <c r="AK173" i="51"/>
  <c r="AK174" i="51"/>
  <c r="AK175" i="51"/>
  <c r="AK176" i="51"/>
  <c r="AK177" i="51"/>
  <c r="AK178" i="51"/>
  <c r="AK179" i="51"/>
  <c r="AK180" i="51"/>
  <c r="AK181" i="51"/>
  <c r="AK182" i="51"/>
  <c r="AK183" i="51"/>
  <c r="AK184" i="51"/>
  <c r="AK185" i="51"/>
  <c r="AK186" i="51"/>
  <c r="AK187" i="51"/>
  <c r="AK188" i="51"/>
  <c r="AK189" i="51"/>
  <c r="AK190" i="51"/>
  <c r="AK191" i="51"/>
  <c r="AK192" i="51"/>
  <c r="AK193" i="51"/>
  <c r="AK194" i="51"/>
  <c r="AK195" i="51"/>
  <c r="AK196" i="51"/>
  <c r="AK197" i="51"/>
  <c r="AK198" i="51"/>
  <c r="AK199" i="51"/>
  <c r="AK200" i="51"/>
  <c r="AK201" i="51"/>
  <c r="AK202" i="51"/>
  <c r="AK203" i="51"/>
  <c r="AK204" i="51"/>
  <c r="AK205" i="51"/>
  <c r="AK206" i="51"/>
  <c r="AK207" i="51"/>
  <c r="AK208" i="51"/>
  <c r="AK209" i="51"/>
  <c r="AK210" i="51"/>
  <c r="AK211" i="51"/>
  <c r="AK212" i="51"/>
  <c r="AK213" i="51"/>
  <c r="AK214" i="51"/>
  <c r="AK215" i="51"/>
  <c r="AK216" i="51"/>
  <c r="AK217" i="51"/>
  <c r="AK218" i="51"/>
  <c r="AK219" i="51"/>
  <c r="AK220" i="51"/>
  <c r="AK221" i="51"/>
  <c r="AK222" i="51"/>
  <c r="AK223" i="51"/>
  <c r="AK224" i="51"/>
  <c r="AK225" i="51"/>
  <c r="AK226" i="51"/>
  <c r="AK227" i="51"/>
  <c r="AK228" i="51"/>
  <c r="AK229" i="51"/>
  <c r="AK230" i="51"/>
  <c r="AK231" i="51"/>
  <c r="AK232" i="51"/>
  <c r="AK233" i="51"/>
  <c r="AK234" i="51"/>
  <c r="AK235" i="51"/>
  <c r="AK236" i="51"/>
  <c r="AK237" i="51"/>
  <c r="AK238" i="51"/>
  <c r="AK239" i="51"/>
  <c r="AK240" i="51"/>
  <c r="AK241" i="51"/>
  <c r="AK242" i="51"/>
  <c r="AK243" i="51"/>
  <c r="AK244" i="51"/>
  <c r="AK245" i="51"/>
  <c r="AK246" i="51"/>
  <c r="AK247" i="51"/>
  <c r="AK248" i="51"/>
  <c r="AK249" i="51"/>
  <c r="AK250" i="51"/>
  <c r="AK251" i="51"/>
  <c r="AK252" i="51"/>
  <c r="AK253" i="51"/>
  <c r="AK254" i="51"/>
  <c r="AK255" i="51"/>
  <c r="AK256" i="51"/>
  <c r="AK257" i="51"/>
  <c r="AK258" i="51"/>
  <c r="AK259" i="51"/>
  <c r="AK260" i="51"/>
  <c r="AK261" i="51"/>
  <c r="AK262" i="51"/>
  <c r="AK263" i="51"/>
  <c r="AK264" i="51"/>
  <c r="AK265" i="51"/>
  <c r="AK266" i="51"/>
  <c r="AK267" i="51"/>
  <c r="AK268" i="51"/>
  <c r="AK269" i="51"/>
  <c r="AK270" i="51"/>
  <c r="AK271" i="51"/>
  <c r="AK272" i="51"/>
  <c r="AK273" i="51"/>
  <c r="AK274" i="51"/>
  <c r="AK275" i="51"/>
  <c r="AK276" i="51"/>
  <c r="AK277" i="51"/>
  <c r="AK278" i="51"/>
  <c r="AK279" i="51"/>
  <c r="AK280" i="51"/>
  <c r="AK281" i="51"/>
  <c r="AK282" i="51"/>
  <c r="AK283" i="51"/>
  <c r="AK284" i="51"/>
  <c r="AK285" i="51"/>
  <c r="AK286" i="51"/>
  <c r="AK287" i="51"/>
  <c r="AK288" i="51"/>
  <c r="AK289" i="51"/>
  <c r="AK290" i="51"/>
  <c r="AK291" i="51"/>
  <c r="AK292" i="51"/>
  <c r="AK293" i="51"/>
  <c r="AK294" i="51"/>
  <c r="AK295" i="51"/>
  <c r="AK296" i="51"/>
  <c r="AK297" i="51"/>
  <c r="AK298" i="51"/>
  <c r="AK299" i="51"/>
  <c r="AK300" i="51"/>
  <c r="AK301" i="51"/>
  <c r="AK302" i="51"/>
  <c r="AK303" i="51"/>
  <c r="AK304" i="51"/>
  <c r="AK305" i="51"/>
  <c r="AK306" i="51"/>
  <c r="AK307" i="51"/>
  <c r="AK308" i="51"/>
  <c r="AK309" i="51"/>
  <c r="AK310" i="51"/>
  <c r="AK311" i="51"/>
  <c r="AK312" i="51"/>
  <c r="AK313" i="51"/>
  <c r="AK314" i="51"/>
  <c r="AK315" i="51"/>
  <c r="AK316" i="51"/>
  <c r="AK317" i="51"/>
  <c r="AK318" i="51"/>
  <c r="AK319" i="51"/>
  <c r="AK320" i="51"/>
  <c r="AK321" i="51"/>
  <c r="AK322" i="51"/>
  <c r="AK323" i="51"/>
  <c r="AK324" i="51"/>
  <c r="AK325" i="51"/>
  <c r="AK326" i="51"/>
  <c r="AK327" i="51"/>
  <c r="AK328" i="51"/>
  <c r="AK329" i="51"/>
  <c r="AK330" i="51"/>
  <c r="AK331" i="51"/>
  <c r="AK332" i="51"/>
  <c r="AK333" i="51"/>
  <c r="AK334" i="51"/>
  <c r="AK335" i="51"/>
  <c r="AK336" i="51"/>
  <c r="AK337" i="51"/>
  <c r="AK338" i="51"/>
  <c r="AK339" i="51"/>
  <c r="AK340" i="51"/>
  <c r="AK341" i="51"/>
  <c r="AK342" i="51"/>
  <c r="AK343" i="51"/>
  <c r="AK344" i="51"/>
  <c r="AK345" i="51"/>
  <c r="AK346" i="51"/>
  <c r="AK347" i="51"/>
  <c r="AK348" i="51"/>
  <c r="AK349" i="51"/>
  <c r="AK350" i="51"/>
  <c r="AK351" i="51"/>
  <c r="AK352" i="51"/>
  <c r="AK353" i="51"/>
  <c r="AK354" i="51"/>
  <c r="AK355" i="51"/>
  <c r="AK356" i="51"/>
  <c r="AK357" i="51"/>
  <c r="AK358" i="51"/>
  <c r="AK359" i="51"/>
  <c r="AK360" i="51"/>
  <c r="AK361" i="51"/>
  <c r="AK362" i="51"/>
  <c r="AK363" i="51"/>
  <c r="AK364" i="51"/>
  <c r="AK365" i="51"/>
  <c r="AK366" i="51"/>
  <c r="AK367" i="51"/>
  <c r="AK368" i="51"/>
  <c r="AK369" i="51"/>
  <c r="AK370" i="51"/>
  <c r="AK371" i="51"/>
  <c r="AK372" i="51"/>
  <c r="AK373" i="51"/>
  <c r="AK374" i="51"/>
  <c r="AK375" i="51"/>
  <c r="AK376" i="51"/>
  <c r="AK377" i="51"/>
  <c r="AK378" i="51"/>
  <c r="AK379" i="51"/>
  <c r="AK380" i="51"/>
  <c r="AK381" i="51"/>
  <c r="AK382" i="51"/>
  <c r="AK383" i="51"/>
  <c r="AK384" i="51"/>
  <c r="AK385" i="51"/>
  <c r="AK386" i="51"/>
  <c r="AK387" i="51"/>
  <c r="AK388" i="51"/>
  <c r="AK389" i="51"/>
  <c r="AK390" i="51"/>
  <c r="AK391" i="51"/>
  <c r="AK392" i="51"/>
  <c r="AK393" i="51"/>
  <c r="AK394" i="51"/>
  <c r="AK395" i="51"/>
  <c r="AK396" i="51"/>
  <c r="AK397" i="51"/>
  <c r="AK398" i="51"/>
  <c r="AK399" i="51"/>
  <c r="AK400" i="51"/>
  <c r="AK401" i="51"/>
  <c r="AK402" i="51"/>
  <c r="AK403" i="51"/>
  <c r="AK404" i="51"/>
  <c r="AK405" i="51"/>
  <c r="AK406" i="51"/>
  <c r="AK407" i="51"/>
  <c r="AK408" i="51"/>
  <c r="AK409" i="51"/>
  <c r="AK410" i="51"/>
  <c r="AK411" i="51"/>
  <c r="AK412" i="51"/>
  <c r="AK413" i="51"/>
  <c r="AK414" i="51"/>
  <c r="AK415" i="51"/>
  <c r="AK416" i="51"/>
  <c r="AK417" i="51"/>
  <c r="AK418" i="51"/>
  <c r="AK419" i="51"/>
  <c r="AK420" i="51"/>
  <c r="AK421" i="51"/>
  <c r="AK422" i="51"/>
  <c r="AK423" i="51"/>
  <c r="AK424" i="51"/>
  <c r="AK425" i="51"/>
  <c r="AK426" i="51"/>
  <c r="AK427" i="51"/>
  <c r="AK428" i="51"/>
  <c r="AK429" i="51"/>
  <c r="AK430" i="51"/>
  <c r="AK431" i="51"/>
  <c r="AK432" i="51"/>
  <c r="AK433" i="51"/>
  <c r="AK434" i="51"/>
  <c r="AK435" i="51"/>
  <c r="AK436" i="51"/>
  <c r="AK437" i="51"/>
  <c r="AK438" i="51"/>
  <c r="AK439" i="51"/>
  <c r="AK440" i="51"/>
  <c r="AK441" i="51"/>
  <c r="AK442" i="51"/>
  <c r="AK443" i="51"/>
  <c r="AK444" i="51"/>
  <c r="AK445" i="51"/>
  <c r="AK446" i="51"/>
  <c r="AK447" i="51"/>
  <c r="AK448" i="51"/>
  <c r="AK449" i="51"/>
  <c r="AK450" i="51"/>
  <c r="AK451" i="51"/>
  <c r="AK452" i="51"/>
  <c r="AK453" i="51"/>
  <c r="AK454" i="51"/>
  <c r="AK455" i="51"/>
  <c r="AK456" i="51"/>
  <c r="AK457" i="51"/>
  <c r="AK458" i="51"/>
  <c r="AK459" i="51"/>
  <c r="AK460" i="51"/>
  <c r="AK461" i="51"/>
  <c r="AK462" i="51"/>
  <c r="AK463" i="51"/>
  <c r="AK464" i="51"/>
  <c r="AK465" i="51"/>
  <c r="AK466" i="51"/>
  <c r="AK467" i="51"/>
  <c r="AK468" i="51"/>
  <c r="AK469" i="51"/>
  <c r="AK470" i="51"/>
  <c r="AK471" i="51"/>
  <c r="AK472" i="51"/>
  <c r="AK473" i="51"/>
  <c r="AK474" i="51"/>
  <c r="AK475" i="51"/>
  <c r="AK476" i="51"/>
  <c r="AK477" i="51"/>
  <c r="AK478" i="51"/>
  <c r="AK479" i="51"/>
  <c r="AK480" i="51"/>
  <c r="AK481" i="51"/>
  <c r="AK482" i="51"/>
  <c r="AK483" i="51"/>
  <c r="AK484" i="51"/>
  <c r="AK485" i="51"/>
  <c r="AK486" i="51"/>
  <c r="AK487" i="51"/>
  <c r="AK488" i="51"/>
  <c r="AK489" i="51"/>
  <c r="AK490" i="51"/>
  <c r="AK491" i="51"/>
  <c r="AK492" i="51"/>
  <c r="AK493" i="51"/>
  <c r="AK494" i="51"/>
  <c r="AK495" i="51"/>
  <c r="AK496" i="51"/>
  <c r="AK497" i="51"/>
  <c r="AK498" i="51"/>
  <c r="AK499" i="51"/>
  <c r="AK500" i="51"/>
  <c r="AK501" i="51"/>
  <c r="AK502" i="51"/>
  <c r="AK503" i="51"/>
  <c r="AK504" i="51"/>
  <c r="AK505" i="51"/>
  <c r="AK506" i="51"/>
  <c r="AK507" i="51"/>
  <c r="AK508" i="51"/>
  <c r="AK509" i="51"/>
  <c r="AK510" i="51"/>
  <c r="AK511" i="51"/>
  <c r="AK512" i="51"/>
  <c r="AK513" i="51"/>
  <c r="AK514" i="51"/>
  <c r="AK515" i="51"/>
  <c r="AK516" i="51"/>
  <c r="AK517" i="51"/>
  <c r="AK518" i="51"/>
  <c r="AK519" i="51"/>
  <c r="AK520" i="51"/>
  <c r="AK521" i="51"/>
  <c r="AK522" i="51"/>
  <c r="AK523" i="51"/>
  <c r="AK524" i="51"/>
  <c r="AK525" i="51"/>
  <c r="AK526" i="51"/>
  <c r="AK527" i="51"/>
  <c r="AK528" i="51"/>
  <c r="AK529" i="51"/>
  <c r="AK530" i="51"/>
  <c r="AK531" i="51"/>
  <c r="AK532" i="51"/>
  <c r="AK533" i="51"/>
  <c r="AK534" i="51"/>
  <c r="AK535" i="51"/>
  <c r="AK536" i="51"/>
  <c r="AK537" i="51"/>
  <c r="AK538" i="51"/>
  <c r="AK539" i="51"/>
  <c r="AK540" i="51"/>
  <c r="AK541" i="51"/>
  <c r="AK542" i="51"/>
  <c r="AK543" i="51"/>
  <c r="AK544" i="51"/>
  <c r="AK545" i="51"/>
  <c r="AK546" i="51"/>
  <c r="AK547" i="51"/>
  <c r="AK548" i="51"/>
  <c r="AK549" i="51"/>
  <c r="AK550" i="51"/>
  <c r="AK551" i="51"/>
  <c r="AK552" i="51"/>
  <c r="AK553" i="51"/>
  <c r="AK554" i="51"/>
  <c r="AK555" i="51"/>
  <c r="AK556" i="51"/>
  <c r="AK557" i="51"/>
  <c r="AK558" i="51"/>
  <c r="AK559" i="51"/>
  <c r="AK560" i="51"/>
  <c r="AK561" i="51"/>
  <c r="AK562" i="51"/>
  <c r="AK563" i="51"/>
  <c r="AK564" i="51"/>
  <c r="AK565" i="51"/>
  <c r="AK566" i="51"/>
  <c r="AK567" i="51"/>
  <c r="AK568" i="51"/>
  <c r="AK569" i="51"/>
  <c r="AK570" i="51"/>
  <c r="AK571" i="51"/>
  <c r="AK572" i="51"/>
  <c r="AK573" i="51"/>
  <c r="AK574" i="51"/>
  <c r="AK575" i="51"/>
  <c r="AK576" i="51"/>
  <c r="AK577" i="51"/>
  <c r="AK578" i="51"/>
  <c r="AK579" i="51"/>
  <c r="AK580" i="51"/>
  <c r="AK581" i="51"/>
  <c r="AK582" i="51"/>
  <c r="AK583" i="51"/>
  <c r="AK584" i="51"/>
  <c r="AK585" i="51"/>
  <c r="AK586" i="51"/>
  <c r="AK587" i="51"/>
  <c r="AK588" i="51"/>
  <c r="AK589" i="51"/>
  <c r="AK590" i="51"/>
  <c r="AK591" i="51"/>
  <c r="AK592" i="51"/>
  <c r="AK593" i="51"/>
  <c r="AK594" i="51"/>
  <c r="AK595" i="51"/>
  <c r="AK596" i="51"/>
  <c r="AK597" i="51"/>
  <c r="AK598" i="51"/>
  <c r="AK599" i="51"/>
  <c r="AK600" i="51"/>
  <c r="AK601" i="51"/>
  <c r="AK602" i="51"/>
  <c r="AK603" i="51"/>
  <c r="AK604" i="51"/>
  <c r="AK605" i="51"/>
  <c r="AK606" i="51"/>
  <c r="AK607" i="51"/>
  <c r="AK608" i="51"/>
  <c r="AK609" i="51"/>
  <c r="AK610" i="51"/>
  <c r="AK611" i="51"/>
  <c r="AK612" i="51"/>
  <c r="AK613" i="51"/>
  <c r="AK614" i="51"/>
  <c r="AK615" i="51"/>
  <c r="AK616" i="51"/>
  <c r="AK617" i="51"/>
  <c r="AK618" i="51"/>
  <c r="AK619" i="51"/>
  <c r="AK620" i="51"/>
  <c r="AK621" i="51"/>
  <c r="AK622" i="51"/>
  <c r="AK623" i="51"/>
  <c r="AK624" i="51"/>
  <c r="AK625" i="51"/>
  <c r="AK626" i="51"/>
  <c r="AK627" i="51"/>
  <c r="AK628" i="51"/>
  <c r="AK629" i="51"/>
  <c r="AK630" i="51"/>
  <c r="AK631" i="51"/>
  <c r="AK632" i="51"/>
  <c r="AK633" i="51"/>
  <c r="AK634" i="51"/>
  <c r="AK635" i="51"/>
  <c r="AK636" i="51"/>
  <c r="AK637" i="51"/>
  <c r="AK638" i="51"/>
  <c r="AK639" i="51"/>
  <c r="AK640" i="51"/>
  <c r="AK641" i="51"/>
  <c r="AK642" i="51"/>
  <c r="AK643" i="51"/>
  <c r="AK644" i="51"/>
  <c r="AK645" i="51"/>
  <c r="AK646" i="51"/>
  <c r="AK647" i="51"/>
  <c r="AK648" i="51"/>
  <c r="AK649" i="51"/>
  <c r="AK650" i="51"/>
  <c r="AK651" i="51"/>
  <c r="AK652" i="51"/>
  <c r="AK653" i="51"/>
  <c r="AK654" i="51"/>
  <c r="AK655" i="51"/>
  <c r="AK656" i="51"/>
  <c r="AK657" i="51"/>
  <c r="AK658" i="51"/>
  <c r="AK659" i="51"/>
  <c r="AK660" i="51"/>
  <c r="AK661" i="51"/>
  <c r="AK662" i="51"/>
  <c r="AK663" i="51"/>
  <c r="AK664" i="51"/>
  <c r="AK665" i="51"/>
  <c r="AK666" i="51"/>
  <c r="AK667" i="51"/>
  <c r="AK668" i="51"/>
  <c r="AK669" i="51"/>
  <c r="AK670" i="51"/>
  <c r="AK671" i="51"/>
  <c r="AK672" i="51"/>
  <c r="AK673" i="51"/>
  <c r="AK674" i="51"/>
  <c r="AK675" i="51"/>
  <c r="AK676" i="51"/>
  <c r="AK677" i="51"/>
  <c r="AK678" i="51"/>
  <c r="AK679" i="51"/>
  <c r="AK680" i="51"/>
  <c r="AK681" i="51"/>
  <c r="AK682" i="51"/>
  <c r="AK683" i="51"/>
  <c r="AK684" i="51"/>
  <c r="AK685" i="51"/>
  <c r="AK686" i="51"/>
  <c r="AK687" i="51"/>
  <c r="AK688" i="51"/>
  <c r="AK689" i="51"/>
  <c r="AK690" i="51"/>
  <c r="AK691" i="51"/>
  <c r="AK692" i="51"/>
  <c r="AK693" i="51"/>
  <c r="AK694" i="51"/>
  <c r="AK695" i="51"/>
  <c r="AK696" i="51"/>
  <c r="AK697" i="51"/>
  <c r="AK698" i="51"/>
  <c r="AK699" i="51"/>
  <c r="AK700" i="51"/>
  <c r="AK701" i="51"/>
  <c r="AK702" i="51"/>
  <c r="AK703" i="51"/>
  <c r="AK704" i="51"/>
  <c r="AK705" i="51"/>
  <c r="AK706" i="51"/>
  <c r="AK707" i="51"/>
  <c r="AK708" i="51"/>
  <c r="AK709" i="51"/>
  <c r="AK710" i="51"/>
  <c r="AK711" i="51"/>
  <c r="AK712" i="51"/>
  <c r="AK713" i="51"/>
  <c r="AK714" i="51"/>
  <c r="AK715" i="51"/>
  <c r="AK716" i="51"/>
  <c r="AK717" i="51"/>
  <c r="AK718" i="51"/>
  <c r="AK719" i="51"/>
  <c r="AK720" i="51"/>
  <c r="AK721" i="51"/>
  <c r="AK722" i="51"/>
  <c r="AK723" i="51"/>
  <c r="AK724" i="51"/>
  <c r="AK725" i="51"/>
  <c r="AK726" i="51"/>
  <c r="AK727" i="51"/>
  <c r="AK728" i="51"/>
  <c r="AK729" i="51"/>
  <c r="AK730" i="51"/>
  <c r="AK731" i="51"/>
  <c r="AK732" i="51"/>
  <c r="AK733" i="51"/>
  <c r="AK734" i="51"/>
  <c r="AK735" i="51"/>
  <c r="AK736" i="51"/>
  <c r="AK737" i="51"/>
  <c r="AK738" i="51"/>
  <c r="AK739" i="51"/>
  <c r="AK740" i="51"/>
  <c r="AK741" i="51"/>
  <c r="AK742" i="51"/>
  <c r="AK743" i="51"/>
  <c r="AK744" i="51"/>
  <c r="AK745" i="51"/>
  <c r="AK746" i="51"/>
  <c r="AK747" i="51"/>
  <c r="AK748" i="51"/>
  <c r="AK749" i="51"/>
  <c r="AK750" i="51"/>
  <c r="AK751" i="51"/>
  <c r="AK752" i="51"/>
  <c r="AK753" i="51"/>
  <c r="AK754" i="51"/>
  <c r="AK755" i="51"/>
  <c r="AK756" i="51"/>
  <c r="AK757" i="51"/>
  <c r="AK758" i="51"/>
  <c r="AK759" i="51"/>
  <c r="AK760" i="51"/>
  <c r="AK761" i="51"/>
  <c r="AK762" i="51"/>
  <c r="AK763" i="51"/>
  <c r="AK764" i="51"/>
  <c r="AK765" i="51"/>
  <c r="AK766" i="51"/>
  <c r="AK767" i="51"/>
  <c r="AK768" i="51"/>
  <c r="AK769" i="51"/>
  <c r="AK770" i="51"/>
  <c r="AK771" i="51"/>
  <c r="AK772" i="51"/>
  <c r="AK773" i="51"/>
  <c r="AK774" i="51"/>
  <c r="AK775" i="51"/>
  <c r="AK776" i="51"/>
  <c r="AK777" i="51"/>
  <c r="AK778" i="51"/>
  <c r="AK779" i="51"/>
  <c r="AK780" i="51"/>
  <c r="AK781" i="51"/>
  <c r="AK782" i="51"/>
  <c r="AK783" i="51"/>
  <c r="AK784" i="51"/>
  <c r="AK785" i="51"/>
  <c r="AK786" i="51"/>
  <c r="AK787" i="51"/>
  <c r="AK788" i="51"/>
  <c r="AK789" i="51"/>
  <c r="AK790" i="51"/>
  <c r="AK791" i="51"/>
  <c r="AK792" i="51"/>
  <c r="AK793" i="51"/>
  <c r="AK794" i="51"/>
  <c r="AK795" i="51"/>
  <c r="AK796" i="51"/>
  <c r="AK797" i="51"/>
  <c r="AK798" i="51"/>
  <c r="AK799" i="51"/>
  <c r="AK800" i="51"/>
  <c r="AK801" i="51"/>
  <c r="AK802" i="51"/>
  <c r="AK803" i="51"/>
  <c r="AK804" i="51"/>
  <c r="AK805" i="51"/>
  <c r="AK806" i="51"/>
  <c r="AK807" i="51"/>
  <c r="AK808" i="51"/>
  <c r="AK809" i="51"/>
  <c r="AK810" i="51"/>
  <c r="AK811" i="51"/>
  <c r="AK812" i="51"/>
  <c r="AK813" i="51"/>
  <c r="AK814" i="51"/>
  <c r="AK815" i="51"/>
  <c r="AK816" i="51"/>
  <c r="AK817" i="51"/>
  <c r="AK818" i="51"/>
  <c r="AK819" i="51"/>
  <c r="AK820" i="51"/>
  <c r="AK821" i="51"/>
  <c r="AK822" i="51"/>
  <c r="AK823" i="51"/>
  <c r="AK824" i="51"/>
  <c r="AK825" i="51"/>
  <c r="AK826" i="51"/>
  <c r="AK827" i="51"/>
  <c r="AK828" i="51"/>
  <c r="AK829" i="51"/>
  <c r="AK830" i="51"/>
  <c r="AK831" i="51"/>
  <c r="AK832" i="51"/>
  <c r="AK833" i="51"/>
  <c r="AK834" i="51"/>
  <c r="AK835" i="51"/>
  <c r="AK836" i="51"/>
  <c r="AK837" i="51"/>
  <c r="AK838" i="51"/>
  <c r="AK839" i="51"/>
  <c r="AK840" i="51"/>
  <c r="AK841" i="51"/>
  <c r="AK842" i="51"/>
  <c r="AK843" i="51"/>
  <c r="AK844" i="51"/>
  <c r="AK845" i="51"/>
  <c r="AK846" i="51"/>
  <c r="AK847" i="51"/>
  <c r="AK848" i="51"/>
  <c r="AK849" i="51"/>
  <c r="AK850" i="51"/>
  <c r="AK851" i="51"/>
  <c r="AK852" i="51"/>
  <c r="AK853" i="51"/>
  <c r="AK854" i="51"/>
  <c r="AK855" i="51"/>
  <c r="AK856" i="51"/>
  <c r="AK857" i="51"/>
  <c r="AK858" i="51"/>
  <c r="AK859" i="51"/>
  <c r="AK860" i="51"/>
  <c r="AK861" i="51"/>
  <c r="AK862" i="51"/>
  <c r="AK863" i="51"/>
  <c r="AK864" i="51"/>
  <c r="AK865" i="51"/>
  <c r="AK866" i="51"/>
  <c r="AK867" i="51"/>
  <c r="AK868" i="51"/>
  <c r="AK869" i="51"/>
  <c r="AK870" i="51"/>
  <c r="AK871" i="51"/>
  <c r="AK872" i="51"/>
  <c r="AK873" i="51"/>
  <c r="AK874" i="51"/>
  <c r="AK875" i="51"/>
  <c r="AK876" i="51"/>
  <c r="AK877" i="51"/>
  <c r="AK878" i="51"/>
  <c r="AK879" i="51"/>
  <c r="AK880" i="51"/>
  <c r="AK881" i="51"/>
  <c r="AK882" i="51"/>
  <c r="AK883" i="51"/>
  <c r="AK884" i="51"/>
  <c r="AK885" i="51"/>
  <c r="AK886" i="51"/>
  <c r="AK887" i="51"/>
  <c r="AK888" i="51"/>
  <c r="AK889" i="51"/>
  <c r="AK890" i="51"/>
  <c r="AK891" i="51"/>
  <c r="AK892" i="51"/>
  <c r="AK893" i="51"/>
  <c r="AK894" i="51"/>
  <c r="AK895" i="51"/>
  <c r="AK896" i="51"/>
  <c r="AK897" i="51"/>
  <c r="AK898" i="51"/>
  <c r="AK899" i="51"/>
  <c r="AK900" i="51"/>
  <c r="AK901" i="51"/>
  <c r="AK902" i="51"/>
  <c r="AK903" i="51"/>
  <c r="AK904" i="51"/>
  <c r="AK905" i="51"/>
  <c r="AK906" i="51"/>
  <c r="AK907" i="51"/>
  <c r="AK908" i="51"/>
  <c r="AK909" i="51"/>
  <c r="AK910" i="51"/>
  <c r="AK911" i="51"/>
  <c r="AK912" i="51"/>
  <c r="AK913" i="51"/>
  <c r="AK914" i="51"/>
  <c r="AK915" i="51"/>
  <c r="AK916" i="51"/>
  <c r="AK917" i="51"/>
  <c r="AK918" i="51"/>
  <c r="AK919" i="51"/>
  <c r="AK920" i="51"/>
  <c r="AK921" i="51"/>
  <c r="AK922" i="51"/>
  <c r="AK923" i="51"/>
  <c r="AK924" i="51"/>
  <c r="AK925" i="51"/>
  <c r="AK926" i="51"/>
  <c r="AK927" i="51"/>
  <c r="AK928" i="51"/>
  <c r="AK929" i="51"/>
  <c r="AK930" i="51"/>
  <c r="AK931" i="51"/>
  <c r="AK932" i="51"/>
  <c r="AK933" i="51"/>
  <c r="AK934" i="51"/>
  <c r="AK935" i="51"/>
  <c r="AK936" i="51"/>
  <c r="AK937" i="51"/>
  <c r="AK938" i="51"/>
  <c r="AK939" i="51"/>
  <c r="AK940" i="51"/>
  <c r="AK941" i="51"/>
  <c r="AK942" i="51"/>
  <c r="AK943" i="51"/>
  <c r="AK944" i="51"/>
  <c r="AK945" i="51"/>
  <c r="AK946" i="51"/>
  <c r="AK947" i="51"/>
  <c r="AK948" i="51"/>
  <c r="AK949" i="51"/>
  <c r="AK950" i="51"/>
  <c r="AK951" i="51"/>
  <c r="AK952" i="51"/>
  <c r="AK953" i="51"/>
  <c r="AK954" i="51"/>
  <c r="AK955" i="51"/>
  <c r="AK956" i="51"/>
  <c r="AK957" i="51"/>
  <c r="AK958" i="51"/>
  <c r="AK959" i="51"/>
  <c r="AK960" i="51"/>
  <c r="AK961" i="51"/>
  <c r="AK962" i="51"/>
  <c r="AK963" i="51"/>
  <c r="AK964" i="51"/>
  <c r="AK965" i="51"/>
  <c r="AK966" i="51"/>
  <c r="AK967" i="51"/>
  <c r="AK968" i="51"/>
  <c r="AK969" i="51"/>
  <c r="AK970" i="51"/>
  <c r="AK971" i="51"/>
  <c r="AK972" i="51"/>
  <c r="AK973" i="51"/>
  <c r="AK974" i="51"/>
  <c r="AK975" i="51"/>
  <c r="AK976" i="51"/>
  <c r="AK977" i="51"/>
  <c r="AK978" i="51"/>
  <c r="AK979" i="51"/>
  <c r="AK980" i="51"/>
  <c r="AK981" i="51"/>
  <c r="AK982" i="51"/>
  <c r="AK983" i="51"/>
  <c r="AK984" i="51"/>
  <c r="AK985" i="51"/>
  <c r="AK986" i="51"/>
  <c r="AK987" i="51"/>
  <c r="AK988" i="51"/>
  <c r="AK989" i="51"/>
  <c r="AK990" i="51"/>
  <c r="AK991" i="51"/>
  <c r="AK992" i="51"/>
  <c r="AK993" i="51"/>
  <c r="AK994" i="51"/>
  <c r="AK995" i="51"/>
  <c r="AK996" i="51"/>
  <c r="AK997" i="51"/>
  <c r="AK998" i="51"/>
  <c r="AK999" i="51"/>
  <c r="AK1000" i="51"/>
  <c r="AK5" i="51"/>
  <c r="AK8" i="51"/>
  <c r="AK6" i="51"/>
  <c r="AK7" i="51"/>
  <c r="AK9" i="51"/>
  <c r="AK10" i="51"/>
  <c r="AK11" i="51"/>
  <c r="AK12" i="51"/>
  <c r="AK4" i="5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L462" i="51"/>
  <c r="AL495" i="51"/>
  <c r="AL233" i="51"/>
  <c r="AL889" i="51"/>
  <c r="AL112" i="51"/>
  <c r="AL816" i="51"/>
  <c r="AL956" i="51"/>
  <c r="AL924" i="51"/>
  <c r="AL439" i="51"/>
  <c r="AL805" i="51"/>
  <c r="AL240" i="51"/>
  <c r="AL437" i="51"/>
  <c r="AL761" i="51"/>
  <c r="AL851" i="51"/>
  <c r="AL926" i="51"/>
  <c r="AL925" i="51"/>
  <c r="AL460" i="51"/>
  <c r="AL554" i="51"/>
  <c r="AL512" i="51"/>
  <c r="AL964" i="51"/>
  <c r="AL591" i="51"/>
  <c r="AL547" i="51"/>
  <c r="AL865" i="51"/>
  <c r="AL971" i="51"/>
  <c r="AL374" i="51"/>
  <c r="AL501" i="51"/>
  <c r="AL178" i="51"/>
  <c r="AL334" i="51"/>
  <c r="AL703" i="51"/>
  <c r="AL398" i="51"/>
  <c r="AL911" i="51"/>
  <c r="AL464" i="51"/>
  <c r="AL788" i="51"/>
  <c r="AL115" i="51"/>
  <c r="AL579" i="51"/>
  <c r="AL743" i="51"/>
  <c r="AL858" i="51"/>
  <c r="AL764" i="51"/>
  <c r="AL541" i="51"/>
  <c r="AL284" i="51"/>
  <c r="AL249" i="51"/>
  <c r="AL552" i="51"/>
  <c r="AL561" i="51"/>
  <c r="AL302" i="51"/>
  <c r="AL118" i="51"/>
  <c r="AL714" i="51"/>
  <c r="AL494" i="51"/>
  <c r="AL418" i="51"/>
  <c r="AL593" i="51"/>
  <c r="AL553" i="51"/>
  <c r="AL388" i="51"/>
  <c r="AL828" i="51"/>
  <c r="AL175" i="51"/>
  <c r="AL420" i="51"/>
  <c r="AL498" i="51"/>
  <c r="AL511" i="51"/>
  <c r="AL85" i="51"/>
  <c r="AL684" i="51"/>
  <c r="AL645" i="51"/>
  <c r="AL407" i="51"/>
  <c r="AL790" i="51"/>
  <c r="AL768" i="51"/>
  <c r="AL21" i="51"/>
  <c r="AL681" i="51"/>
  <c r="AL470" i="51"/>
  <c r="AL835" i="51"/>
  <c r="AL317" i="51"/>
  <c r="AL795" i="51"/>
  <c r="AL587" i="51"/>
  <c r="AL936" i="51"/>
  <c r="AL413" i="51"/>
  <c r="AL521" i="51"/>
  <c r="AL432" i="51"/>
  <c r="AL766" i="51"/>
  <c r="AL539" i="51"/>
  <c r="AL723" i="51"/>
  <c r="AL465" i="51"/>
  <c r="AL108" i="51"/>
  <c r="AL353" i="51"/>
  <c r="AL685" i="51"/>
  <c r="AL958" i="51"/>
  <c r="AL636" i="51"/>
  <c r="AL217" i="51"/>
  <c r="AL856" i="51"/>
  <c r="AL998" i="51"/>
  <c r="AL321" i="51"/>
  <c r="AL59" i="51"/>
  <c r="AL529" i="51"/>
  <c r="AL995" i="51"/>
  <c r="AL741" i="51"/>
  <c r="AL52" i="51"/>
  <c r="AL728" i="51"/>
  <c r="AL314" i="51"/>
  <c r="AL876" i="51"/>
  <c r="AL652" i="51"/>
  <c r="AL179" i="51"/>
  <c r="AL558" i="51"/>
  <c r="AL98" i="51"/>
  <c r="AL946" i="51"/>
  <c r="AL186" i="51"/>
  <c r="AL168" i="51"/>
  <c r="AL823" i="51"/>
  <c r="AL282" i="51"/>
  <c r="AL868" i="51"/>
  <c r="AL155" i="51"/>
  <c r="AL999" i="51"/>
  <c r="AL300" i="51"/>
  <c r="AL138" i="51"/>
  <c r="AL183" i="51"/>
  <c r="AL915" i="51"/>
  <c r="AL32" i="51"/>
  <c r="AL901" i="51"/>
  <c r="AL299" i="51"/>
  <c r="AL648" i="51"/>
  <c r="AL945" i="51"/>
  <c r="AL669" i="51"/>
  <c r="AL861" i="51"/>
  <c r="AL392" i="51"/>
  <c r="AL216" i="51"/>
  <c r="AL755" i="51"/>
  <c r="AL45" i="51"/>
  <c r="AL236" i="51"/>
  <c r="AL50" i="51"/>
  <c r="AL202" i="51"/>
  <c r="AL773" i="51"/>
  <c r="AL71" i="51"/>
  <c r="AL308" i="51"/>
  <c r="AL744" i="51"/>
  <c r="AL101" i="51"/>
  <c r="AL489" i="51"/>
  <c r="AL241" i="51"/>
  <c r="AL357" i="51"/>
  <c r="AL737" i="51"/>
  <c r="AL919" i="51"/>
  <c r="AL125" i="51"/>
  <c r="AL513" i="51"/>
  <c r="AL802" i="51"/>
  <c r="AL678" i="51"/>
  <c r="AL5" i="51"/>
  <c r="AL542" i="51"/>
  <c r="AL664" i="51"/>
  <c r="AL634" i="51"/>
  <c r="AL952" i="51"/>
  <c r="AL834" i="51"/>
  <c r="AL955" i="51"/>
  <c r="AL708" i="51"/>
  <c r="AL296" i="51"/>
  <c r="AL471" i="51"/>
  <c r="AL86" i="51"/>
  <c r="AL765" i="51"/>
  <c r="AL281" i="51"/>
  <c r="AL56" i="51"/>
  <c r="AL162" i="51"/>
  <c r="AL607" i="51"/>
  <c r="AL986" i="51"/>
  <c r="AL601" i="51"/>
  <c r="AL580" i="51"/>
  <c r="AL949" i="51"/>
  <c r="AL960" i="51"/>
  <c r="AL883" i="51"/>
  <c r="AL842" i="51"/>
  <c r="AL546" i="51"/>
  <c r="AL739" i="51"/>
  <c r="AL748" i="51"/>
  <c r="AL517" i="51"/>
  <c r="AL256" i="51"/>
  <c r="AL763" i="51"/>
  <c r="AL459" i="51"/>
  <c r="AL326" i="51"/>
  <c r="AL968" i="51"/>
  <c r="AL784" i="51"/>
  <c r="AL447" i="51"/>
  <c r="AL271" i="51"/>
  <c r="AL270" i="51"/>
  <c r="AL96" i="51"/>
  <c r="AL133" i="51"/>
  <c r="AL242" i="51"/>
  <c r="AL171" i="51"/>
  <c r="AL555" i="51"/>
  <c r="AL872" i="51"/>
  <c r="AL158" i="51"/>
  <c r="AL497" i="51"/>
  <c r="AL95" i="51"/>
  <c r="AL309" i="51"/>
  <c r="AL354" i="51"/>
  <c r="AL443" i="51"/>
  <c r="AL268" i="51"/>
  <c r="AL135" i="51"/>
  <c r="AL319" i="51"/>
  <c r="AL81" i="51"/>
  <c r="AL215" i="51"/>
  <c r="AL47" i="51"/>
  <c r="AL329" i="51"/>
  <c r="AL448" i="51"/>
  <c r="AL504" i="51"/>
  <c r="AL116" i="51"/>
  <c r="AL15" i="51"/>
  <c r="AL484" i="51"/>
  <c r="AL336" i="51"/>
  <c r="AL119" i="51"/>
  <c r="AL333" i="51"/>
  <c r="AL854" i="51"/>
  <c r="AL180" i="51"/>
  <c r="AL90" i="51"/>
  <c r="AL49" i="51"/>
  <c r="AL840" i="51"/>
  <c r="AL697" i="51"/>
  <c r="AL316" i="51"/>
  <c r="AL72" i="51"/>
  <c r="AL303" i="51"/>
  <c r="AL736" i="51"/>
  <c r="AL586" i="51"/>
  <c r="AL126" i="51"/>
  <c r="AL491" i="51"/>
  <c r="AL699" i="51"/>
  <c r="AL280" i="51"/>
  <c r="AL195" i="51"/>
  <c r="AL724" i="51"/>
  <c r="AL707" i="51"/>
  <c r="AL618" i="51"/>
  <c r="AL818" i="51"/>
  <c r="AL606" i="51"/>
  <c r="AL873" i="51"/>
  <c r="AL592" i="51"/>
  <c r="AL783" i="51"/>
  <c r="AL811" i="51"/>
  <c r="AL660" i="51"/>
  <c r="AL740" i="51"/>
  <c r="AL307" i="51"/>
  <c r="AL750" i="51"/>
  <c r="AL172" i="51"/>
  <c r="AL672" i="51"/>
  <c r="AL457" i="51"/>
  <c r="AL88" i="51"/>
  <c r="AL274" i="51"/>
  <c r="AL560" i="51"/>
  <c r="AL665" i="51"/>
  <c r="AL557" i="51"/>
  <c r="AL522" i="51"/>
  <c r="AL991" i="51"/>
  <c r="AL683" i="51"/>
  <c r="AL967" i="51"/>
  <c r="AL874" i="51"/>
  <c r="AL348" i="51"/>
  <c r="AL781" i="51"/>
  <c r="AL780" i="51"/>
  <c r="AL485" i="51"/>
  <c r="AL224" i="51"/>
  <c r="AL855" i="51"/>
  <c r="AL417" i="51"/>
  <c r="AL252" i="51"/>
  <c r="AL713" i="51"/>
  <c r="AL848" i="51"/>
  <c r="AL403" i="51"/>
  <c r="AL229" i="51"/>
  <c r="AL228" i="51"/>
  <c r="AL128" i="51"/>
  <c r="AL165" i="51"/>
  <c r="AL37" i="51"/>
  <c r="AL62" i="51"/>
  <c r="AL438" i="51"/>
  <c r="AL957" i="51"/>
  <c r="AL297" i="51"/>
  <c r="AL710" i="51"/>
  <c r="AL58" i="51"/>
  <c r="AL483" i="51"/>
  <c r="AL105" i="51"/>
  <c r="AL356" i="51"/>
  <c r="AL182" i="51"/>
  <c r="AL34" i="51"/>
  <c r="AL191" i="51"/>
  <c r="AL12" i="51"/>
  <c r="AL391" i="51"/>
  <c r="AL7" i="51"/>
  <c r="AL505" i="51"/>
  <c r="AL89" i="51"/>
  <c r="AL6" i="51"/>
  <c r="AL121" i="51"/>
  <c r="AL824" i="51"/>
  <c r="AL257" i="51"/>
  <c r="AL44" i="51"/>
  <c r="AL39" i="51"/>
  <c r="AL290" i="51"/>
  <c r="AL338" i="51"/>
  <c r="AL132" i="51"/>
  <c r="AL63" i="51"/>
  <c r="AL774" i="51"/>
  <c r="AL500" i="51"/>
  <c r="AL641" i="51"/>
  <c r="AL78" i="51"/>
  <c r="AL10" i="51"/>
  <c r="AL218" i="51"/>
  <c r="AL393" i="51"/>
  <c r="AL943" i="51"/>
  <c r="AL147" i="51"/>
  <c r="AL231" i="51"/>
  <c r="AL846" i="51"/>
  <c r="AL176" i="51"/>
  <c r="AL259" i="51"/>
  <c r="AL342" i="51"/>
  <c r="AL918" i="51"/>
  <c r="AL565" i="51"/>
  <c r="AL754" i="51"/>
  <c r="AL747" i="51"/>
  <c r="AL524" i="51"/>
  <c r="AL831" i="51"/>
  <c r="AL993" i="51"/>
  <c r="AL983" i="51"/>
  <c r="AL885" i="51"/>
  <c r="AL801" i="51"/>
  <c r="AL794" i="51"/>
  <c r="AL428" i="51"/>
  <c r="AL219" i="51"/>
  <c r="AL932" i="51"/>
  <c r="AL177" i="51"/>
  <c r="AL410" i="51"/>
  <c r="AL335" i="51"/>
  <c r="AL150" i="51"/>
  <c r="AL382" i="51"/>
  <c r="AL633" i="51"/>
  <c r="AL917" i="51"/>
  <c r="AL402" i="51"/>
  <c r="AL793" i="51"/>
  <c r="AL893" i="51"/>
  <c r="AL230" i="51"/>
  <c r="AL136" i="51"/>
  <c r="AL83" i="51"/>
  <c r="AL441" i="51"/>
  <c r="AL225" i="51"/>
  <c r="AL42" i="51"/>
  <c r="AL330" i="51"/>
  <c r="AL214" i="51"/>
  <c r="AL166" i="51"/>
  <c r="AL145" i="51"/>
  <c r="AL978" i="51"/>
  <c r="AL929" i="51"/>
  <c r="AL632" i="51"/>
  <c r="AL899" i="51"/>
  <c r="AL474" i="51"/>
  <c r="AL807" i="51"/>
  <c r="AL604" i="51"/>
  <c r="AL715" i="51"/>
  <c r="AL730" i="51"/>
  <c r="AL629" i="51"/>
  <c r="AL892" i="51"/>
  <c r="AL373" i="51"/>
  <c r="AL283" i="51"/>
  <c r="AL152" i="51"/>
  <c r="AL798" i="51"/>
  <c r="AL263" i="51"/>
  <c r="AL91" i="51"/>
  <c r="AL829" i="51"/>
  <c r="AL425" i="51"/>
  <c r="AL250" i="51"/>
  <c r="AL149" i="51"/>
  <c r="AL657" i="51"/>
  <c r="AL953" i="51"/>
  <c r="AL600" i="51"/>
  <c r="AL931" i="51"/>
  <c r="AL698" i="51"/>
  <c r="AL767" i="51"/>
  <c r="AL989" i="51"/>
  <c r="AL671" i="51"/>
  <c r="AL852" i="51"/>
  <c r="AL323" i="51"/>
  <c r="AL718" i="51"/>
  <c r="AL8" i="51"/>
  <c r="AL479" i="51"/>
  <c r="AL109" i="51"/>
  <c r="AL733" i="51"/>
  <c r="AL193" i="51"/>
  <c r="AL137" i="51"/>
  <c r="AL130" i="51"/>
  <c r="AL65" i="51"/>
  <c r="AL463" i="51"/>
  <c r="AL426" i="51"/>
  <c r="AL687" i="51"/>
  <c r="AL838" i="51"/>
  <c r="AL361" i="51"/>
  <c r="AL269" i="51"/>
  <c r="AL68" i="51"/>
  <c r="AL322" i="51"/>
  <c r="AL409" i="51"/>
  <c r="AL51" i="51"/>
  <c r="AL69" i="51"/>
  <c r="AL164" i="51"/>
  <c r="AL185" i="51"/>
  <c r="AL787" i="51"/>
  <c r="AL285" i="51"/>
  <c r="AL408" i="51"/>
  <c r="AL389" i="51"/>
  <c r="AL975" i="51"/>
  <c r="AL675" i="51"/>
  <c r="AL791" i="51"/>
  <c r="AL877" i="51"/>
  <c r="AL913" i="51"/>
  <c r="AL93" i="51"/>
  <c r="AL704" i="51"/>
  <c r="AL295" i="51"/>
  <c r="AL211" i="51"/>
  <c r="AL706" i="51"/>
  <c r="AL895" i="51"/>
  <c r="AL615" i="51"/>
  <c r="AL360" i="51"/>
  <c r="AL532" i="51"/>
  <c r="AL644" i="51"/>
  <c r="AL912" i="51"/>
  <c r="AL682" i="51"/>
  <c r="AL700" i="51"/>
  <c r="AL304" i="51"/>
  <c r="AL70" i="51"/>
  <c r="AL663" i="51"/>
  <c r="AL48" i="51"/>
  <c r="AL631" i="51"/>
  <c r="AL612" i="51"/>
  <c r="AL882" i="51"/>
  <c r="AL477" i="51"/>
  <c r="AL864" i="51"/>
  <c r="AL124" i="51"/>
  <c r="AL341" i="51"/>
  <c r="AL654" i="51"/>
  <c r="AL276" i="51"/>
  <c r="AL364" i="51"/>
  <c r="AL605" i="51"/>
  <c r="AL819" i="51"/>
  <c r="AL344" i="51"/>
  <c r="AL64" i="51"/>
  <c r="AL313" i="51"/>
  <c r="AL720" i="51"/>
  <c r="AL131" i="51"/>
  <c r="AL830" i="51"/>
  <c r="AL267" i="51"/>
  <c r="AL908" i="51"/>
  <c r="AL746" i="51"/>
  <c r="AL556" i="51"/>
  <c r="AL386" i="51"/>
  <c r="AL610" i="51"/>
  <c r="AL416" i="51"/>
  <c r="AL325" i="51"/>
  <c r="AL43" i="51"/>
  <c r="AL540" i="51"/>
  <c r="AL729" i="51"/>
  <c r="AL668" i="51"/>
  <c r="AL611" i="51"/>
  <c r="AL1000" i="51"/>
  <c r="AL954" i="51"/>
  <c r="AL264" i="51"/>
  <c r="AL397" i="51"/>
  <c r="AL508" i="51"/>
  <c r="AL576" i="51"/>
  <c r="AL492" i="51"/>
  <c r="AL920" i="51"/>
  <c r="AL939" i="51"/>
  <c r="AL867" i="51"/>
  <c r="AL970" i="51"/>
  <c r="AL472" i="51"/>
  <c r="AL646" i="51"/>
  <c r="AL4" i="51"/>
  <c r="AL324" i="51"/>
  <c r="AL499" i="51"/>
  <c r="AL476" i="51"/>
  <c r="AL650" i="51"/>
  <c r="AL337" i="51"/>
  <c r="AL655" i="51"/>
  <c r="AL442" i="51"/>
  <c r="AL339" i="51"/>
  <c r="AL429" i="51"/>
  <c r="AL836" i="51"/>
  <c r="AL869" i="51"/>
  <c r="AL452" i="51"/>
  <c r="AL938" i="51"/>
  <c r="AL531" i="51"/>
  <c r="AL751" i="51"/>
  <c r="AL581" i="51"/>
  <c r="AL488" i="51"/>
  <c r="AL378" i="51"/>
  <c r="AL905" i="51"/>
  <c r="AL992" i="51"/>
  <c r="AL518" i="51"/>
  <c r="AL673" i="51"/>
  <c r="AL510" i="51"/>
  <c r="AL9" i="51"/>
  <c r="AL496" i="51"/>
  <c r="AL575" i="51"/>
  <c r="AL486" i="51"/>
  <c r="AL590" i="51"/>
  <c r="AL614" i="51"/>
  <c r="AL543" i="51"/>
  <c r="AL400" i="51"/>
  <c r="AL966" i="51"/>
  <c r="AL490" i="51"/>
  <c r="AL358" i="51"/>
  <c r="AL661" i="51"/>
  <c r="AL536" i="51"/>
  <c r="AL969" i="51"/>
  <c r="AL841" i="51"/>
  <c r="AL578" i="51"/>
  <c r="AL525" i="51"/>
  <c r="AL951" i="51"/>
  <c r="AL440" i="51"/>
  <c r="AL676" i="51"/>
  <c r="AL625" i="51"/>
  <c r="AL853" i="51"/>
  <c r="AL719" i="51"/>
  <c r="AL456" i="51"/>
  <c r="AL617" i="51"/>
  <c r="AL769" i="51"/>
  <c r="AL898" i="51"/>
  <c r="AL770" i="51"/>
  <c r="AL367" i="51"/>
  <c r="AL523" i="51"/>
  <c r="AL813" i="51"/>
  <c r="AL940" i="51"/>
  <c r="AL804" i="51"/>
  <c r="AL468" i="51"/>
  <c r="AL461" i="51"/>
  <c r="AL243" i="51"/>
  <c r="AL200" i="51"/>
  <c r="AL328" i="51"/>
  <c r="AL979" i="51"/>
  <c r="AL878" i="51"/>
  <c r="AL385" i="51"/>
  <c r="AL209" i="51"/>
  <c r="AL210" i="51"/>
  <c r="AL14" i="51"/>
  <c r="AL879" i="51"/>
  <c r="AL619" i="51"/>
  <c r="AL896" i="51"/>
  <c r="AL369" i="51"/>
  <c r="AL197" i="51"/>
  <c r="AL196" i="51"/>
  <c r="AL154" i="51"/>
  <c r="AL24" i="51"/>
  <c r="AL61" i="51"/>
  <c r="AL110" i="51"/>
  <c r="AL430" i="51"/>
  <c r="AL639" i="51"/>
  <c r="AL881" i="51"/>
  <c r="AL446" i="51"/>
  <c r="AL696" i="51"/>
  <c r="AL643" i="51"/>
  <c r="AL984" i="51"/>
  <c r="AL624" i="51"/>
  <c r="AL571" i="51"/>
  <c r="AL907" i="51"/>
  <c r="AL759" i="51"/>
  <c r="AL928" i="51"/>
  <c r="AL482" i="51"/>
  <c r="AL821" i="51"/>
  <c r="AL948" i="51"/>
  <c r="AL810" i="51"/>
  <c r="AL516" i="51"/>
  <c r="AL640" i="51"/>
  <c r="AL891" i="51"/>
  <c r="AL691" i="51"/>
  <c r="AL844" i="51"/>
  <c r="AL716" i="51"/>
  <c r="AL421" i="51"/>
  <c r="AL203" i="51"/>
  <c r="AL331" i="51"/>
  <c r="AL288" i="51"/>
  <c r="AL680" i="51"/>
  <c r="AL444" i="51"/>
  <c r="AL702" i="51"/>
  <c r="AL503" i="51"/>
  <c r="AL327" i="51"/>
  <c r="AL102" i="51"/>
  <c r="AL384" i="51"/>
  <c r="AL628" i="51"/>
  <c r="AL701" i="51"/>
  <c r="AL583" i="51"/>
  <c r="AL550" i="51"/>
  <c r="AL638" i="51"/>
  <c r="AL519" i="51"/>
  <c r="AL347" i="51"/>
  <c r="AL670" i="51"/>
  <c r="AL996" i="51"/>
  <c r="AL990" i="51"/>
  <c r="AL568" i="51"/>
  <c r="AL937" i="51"/>
  <c r="AL376" i="51"/>
  <c r="AL620" i="51"/>
  <c r="AL569" i="51"/>
  <c r="AL909" i="51"/>
  <c r="AL538" i="51"/>
  <c r="AL434" i="51"/>
  <c r="AL981" i="51"/>
  <c r="AL815" i="51"/>
  <c r="AL651" i="51"/>
  <c r="AL584" i="51"/>
  <c r="AL947" i="51"/>
  <c r="AL725" i="51"/>
  <c r="AL866" i="51"/>
  <c r="AL738" i="51"/>
  <c r="AL974" i="51"/>
  <c r="AL609" i="51"/>
  <c r="AL771" i="51"/>
  <c r="AL900" i="51"/>
  <c r="AL772" i="51"/>
  <c r="AL365" i="51"/>
  <c r="AL493" i="51"/>
  <c r="AL275" i="51"/>
  <c r="AL232" i="51"/>
  <c r="AL160" i="51"/>
  <c r="AL827" i="51"/>
  <c r="AL814" i="51"/>
  <c r="AL427" i="51"/>
  <c r="AL253" i="51"/>
  <c r="AL262" i="51"/>
  <c r="AL107" i="51"/>
  <c r="AL380" i="51"/>
  <c r="AL859" i="51"/>
  <c r="AL832" i="51"/>
  <c r="AL415" i="51"/>
  <c r="AL239" i="51"/>
  <c r="AL238" i="51"/>
  <c r="AL120" i="51"/>
  <c r="AL157" i="51"/>
  <c r="AL29" i="51"/>
  <c r="AL972" i="51"/>
  <c r="AL528" i="51"/>
  <c r="AL977" i="51"/>
  <c r="AL849" i="51"/>
  <c r="AL564" i="51"/>
  <c r="AL506" i="51"/>
  <c r="AL963" i="51"/>
  <c r="AL677" i="51"/>
  <c r="AL666" i="51"/>
  <c r="AL613" i="51"/>
  <c r="AL863" i="51"/>
  <c r="AL727" i="51"/>
  <c r="AL480" i="51"/>
  <c r="AL595" i="51"/>
  <c r="AL779" i="51"/>
  <c r="AL906" i="51"/>
  <c r="AL778" i="51"/>
  <c r="AL359" i="51"/>
  <c r="AL450" i="51"/>
  <c r="AL825" i="51"/>
  <c r="AL950" i="51"/>
  <c r="AL812" i="51"/>
  <c r="AL647" i="51"/>
  <c r="AL453" i="51"/>
  <c r="AL235" i="51"/>
  <c r="AL192" i="51"/>
  <c r="AL320" i="51"/>
  <c r="AL627" i="51"/>
  <c r="AL894" i="51"/>
  <c r="AL371" i="51"/>
  <c r="AL199" i="51"/>
  <c r="AL198" i="51"/>
  <c r="AL30" i="51"/>
  <c r="AL965" i="51"/>
  <c r="AL577" i="51"/>
  <c r="AL914" i="51"/>
  <c r="AL574" i="51"/>
  <c r="AL551" i="51"/>
  <c r="AL46" i="51"/>
  <c r="AL139" i="51"/>
  <c r="AL67" i="51"/>
  <c r="AL923" i="51"/>
  <c r="AL667" i="51"/>
  <c r="AL808" i="51"/>
  <c r="AL190" i="51"/>
  <c r="AL363" i="51"/>
  <c r="AL278" i="51"/>
  <c r="AL31" i="51"/>
  <c r="AL222" i="51"/>
  <c r="AL73" i="51"/>
  <c r="AL822" i="51"/>
  <c r="AL247" i="51"/>
  <c r="AL310" i="51"/>
  <c r="AL103" i="51"/>
  <c r="AL213" i="51"/>
  <c r="AL161" i="51"/>
  <c r="AL922" i="51"/>
  <c r="AL301" i="51"/>
  <c r="AL658" i="51"/>
  <c r="AL201" i="51"/>
  <c r="AL84" i="51"/>
  <c r="AL686" i="51"/>
  <c r="AL534" i="51"/>
  <c r="AL346" i="51"/>
  <c r="AL520" i="51"/>
  <c r="AL985" i="51"/>
  <c r="AL857" i="51"/>
  <c r="AL548" i="51"/>
  <c r="AL466" i="51"/>
  <c r="AL973" i="51"/>
  <c r="AL352" i="51"/>
  <c r="AL656" i="51"/>
  <c r="AL603" i="51"/>
  <c r="AL875" i="51"/>
  <c r="AL735" i="51"/>
  <c r="AL980" i="51"/>
  <c r="AL573" i="51"/>
  <c r="AL789" i="51"/>
  <c r="AL916" i="51"/>
  <c r="AL786" i="51"/>
  <c r="AL351" i="51"/>
  <c r="AL370" i="51"/>
  <c r="AL837" i="51"/>
  <c r="AL962" i="51"/>
  <c r="AL820" i="51"/>
  <c r="AL679" i="51"/>
  <c r="AL445" i="51"/>
  <c r="AL227" i="51"/>
  <c r="AL184" i="51"/>
  <c r="AL312" i="51"/>
  <c r="AL585" i="51"/>
  <c r="AL910" i="51"/>
  <c r="AL355" i="51"/>
  <c r="AL189" i="51"/>
  <c r="AL188" i="51"/>
  <c r="AL54" i="51"/>
  <c r="AL597" i="51"/>
  <c r="AL533" i="51"/>
  <c r="AL934" i="51"/>
  <c r="AL436" i="51"/>
  <c r="AL173" i="51"/>
  <c r="AL345" i="51"/>
  <c r="AL174" i="51"/>
  <c r="AL40" i="51"/>
  <c r="AL77" i="51"/>
  <c r="AL134" i="51"/>
  <c r="AL123" i="51"/>
  <c r="AL845" i="51"/>
  <c r="AL731" i="51"/>
  <c r="AL451" i="51"/>
  <c r="AL28" i="51"/>
  <c r="AL709" i="51"/>
  <c r="AL279" i="51"/>
  <c r="AL159" i="51"/>
  <c r="AL372" i="51"/>
  <c r="AL266" i="51"/>
  <c r="AL41" i="51"/>
  <c r="AL758" i="51"/>
  <c r="AL289" i="51"/>
  <c r="AL332" i="51"/>
  <c r="AL167" i="51"/>
  <c r="AL431" i="51"/>
  <c r="AL254" i="51"/>
  <c r="AL92" i="51"/>
  <c r="AL129" i="51"/>
  <c r="AL366" i="51"/>
  <c r="AL653" i="51"/>
  <c r="AL674" i="51"/>
  <c r="AL621" i="51"/>
  <c r="AL843" i="51"/>
  <c r="AL944" i="51"/>
  <c r="AL690" i="51"/>
  <c r="AL847" i="51"/>
  <c r="AL412" i="51"/>
  <c r="AL826" i="51"/>
  <c r="AL695" i="51"/>
  <c r="AL596" i="51"/>
  <c r="AL933" i="51"/>
  <c r="AL717" i="51"/>
  <c r="AL860" i="51"/>
  <c r="AL732" i="51"/>
  <c r="AL405" i="51"/>
  <c r="AL187" i="51"/>
  <c r="AL315" i="51"/>
  <c r="AL272" i="51"/>
  <c r="AL594" i="51"/>
  <c r="AL721" i="51"/>
  <c r="AL734" i="51"/>
  <c r="AL481" i="51"/>
  <c r="AL305" i="51"/>
  <c r="AL142" i="51"/>
  <c r="AL27" i="51"/>
  <c r="AL530" i="51"/>
  <c r="AL745" i="51"/>
  <c r="AL752" i="51"/>
  <c r="AL467" i="51"/>
  <c r="AL293" i="51"/>
  <c r="AL292" i="51"/>
  <c r="AL80" i="51"/>
  <c r="AL117" i="51"/>
  <c r="AL294" i="51"/>
  <c r="AL22" i="51"/>
  <c r="AL19" i="51"/>
  <c r="AL777" i="51"/>
  <c r="AL942" i="51"/>
  <c r="AL515" i="51"/>
  <c r="AL97" i="51"/>
  <c r="AL455" i="51"/>
  <c r="AL122" i="51"/>
  <c r="AL659" i="51"/>
  <c r="AL265" i="51"/>
  <c r="AL169" i="51"/>
  <c r="AL886" i="51"/>
  <c r="AL423" i="51"/>
  <c r="AL311" i="51"/>
  <c r="AL146" i="51"/>
  <c r="AL55" i="51"/>
  <c r="AL277" i="51"/>
  <c r="AL60" i="51"/>
  <c r="AL563" i="51"/>
  <c r="AL349" i="51"/>
  <c r="AL74" i="51"/>
  <c r="AL902" i="51"/>
  <c r="AL287" i="51"/>
  <c r="AL153" i="51"/>
  <c r="AL622" i="51"/>
  <c r="AL988" i="51"/>
  <c r="AL458" i="51"/>
  <c r="AL454" i="51"/>
  <c r="AL630" i="51"/>
  <c r="AL535" i="51"/>
  <c r="AL562" i="51"/>
  <c r="AL817" i="51"/>
  <c r="AL387" i="51"/>
  <c r="AL76" i="51"/>
  <c r="AL616" i="51"/>
  <c r="AL237" i="51"/>
  <c r="AL26" i="51"/>
  <c r="AL792" i="51"/>
  <c r="AL181" i="51"/>
  <c r="AL100" i="51"/>
  <c r="AL839" i="51"/>
  <c r="AL379" i="51"/>
  <c r="AL487" i="51"/>
  <c r="AL204" i="51"/>
  <c r="AL114" i="51"/>
  <c r="AL18" i="51"/>
  <c r="AL23" i="51"/>
  <c r="AL212" i="51"/>
  <c r="AL140" i="51"/>
  <c r="AL33" i="51"/>
  <c r="AL433" i="51"/>
  <c r="AL340" i="51"/>
  <c r="AL143" i="51"/>
  <c r="AL760" i="51"/>
  <c r="AL244" i="51"/>
  <c r="AL57" i="51"/>
  <c r="AL422" i="51"/>
  <c r="AL649" i="51"/>
  <c r="AL662" i="51"/>
  <c r="AL567" i="51"/>
  <c r="AL994" i="51"/>
  <c r="AL599" i="51"/>
  <c r="AL921" i="51"/>
  <c r="AL689" i="51"/>
  <c r="AL642" i="51"/>
  <c r="AL589" i="51"/>
  <c r="AL887" i="51"/>
  <c r="AL570" i="51"/>
  <c r="AL514" i="51"/>
  <c r="AL959" i="51"/>
  <c r="AL799" i="51"/>
  <c r="AL396" i="51"/>
  <c r="AL626" i="51"/>
  <c r="AL903" i="51"/>
  <c r="AL705" i="51"/>
  <c r="AL850" i="51"/>
  <c r="AL722" i="51"/>
  <c r="AL502" i="51"/>
  <c r="AL997" i="51"/>
  <c r="AL749" i="51"/>
  <c r="AL884" i="51"/>
  <c r="AL756" i="51"/>
  <c r="AL381" i="51"/>
  <c r="AL509" i="51"/>
  <c r="AL291" i="51"/>
  <c r="AL248" i="51"/>
  <c r="AL424" i="51"/>
  <c r="AL785" i="51"/>
  <c r="AL782" i="51"/>
  <c r="AL449" i="51"/>
  <c r="AL273" i="51"/>
  <c r="AL306" i="51"/>
  <c r="AL75" i="51"/>
  <c r="AL888" i="51"/>
  <c r="AL809" i="51"/>
  <c r="AL800" i="51"/>
  <c r="AL435" i="51"/>
  <c r="AL261" i="51"/>
  <c r="AL260" i="51"/>
  <c r="AL104" i="51"/>
  <c r="AL141" i="51"/>
  <c r="AL13" i="51"/>
  <c r="AL38" i="51"/>
  <c r="AL35" i="51"/>
  <c r="AL608" i="51"/>
  <c r="AL904" i="51"/>
  <c r="AL776" i="51"/>
  <c r="AL234" i="51"/>
  <c r="AL411" i="51"/>
  <c r="AL156" i="51"/>
  <c r="AL368" i="51"/>
  <c r="AL223" i="51"/>
  <c r="AL36" i="51"/>
  <c r="AL753" i="51"/>
  <c r="AL401" i="51"/>
  <c r="AL507" i="51"/>
  <c r="AL226" i="51"/>
  <c r="AL82" i="51"/>
  <c r="AL87" i="51"/>
  <c r="AL255" i="51"/>
  <c r="AL17" i="51"/>
  <c r="AL806" i="51"/>
  <c r="AL475" i="51"/>
  <c r="AL343" i="51"/>
  <c r="AL106" i="51"/>
  <c r="AL111" i="51"/>
  <c r="AL871" i="51"/>
  <c r="AL377" i="51"/>
  <c r="AL245" i="51"/>
  <c r="AL286" i="51"/>
  <c r="AL20" i="51"/>
  <c r="AL25" i="51"/>
  <c r="AL526" i="51"/>
  <c r="AL527" i="51"/>
  <c r="AL693" i="51"/>
  <c r="AL566" i="51"/>
  <c r="AL694" i="51"/>
  <c r="AL350" i="51"/>
  <c r="AL544" i="51"/>
  <c r="AL623" i="51"/>
  <c r="AL961" i="51"/>
  <c r="AL897" i="51"/>
  <c r="AL833" i="51"/>
  <c r="AL588" i="51"/>
  <c r="AL537" i="51"/>
  <c r="AL941" i="51"/>
  <c r="AL406" i="51"/>
  <c r="AL602" i="51"/>
  <c r="AL688" i="51"/>
  <c r="AL549" i="51"/>
  <c r="AL635" i="51"/>
  <c r="AL927" i="51"/>
  <c r="AL775" i="51"/>
  <c r="AL711" i="51"/>
  <c r="AL414" i="51"/>
  <c r="AL637" i="51"/>
  <c r="AL757" i="51"/>
  <c r="AL890" i="51"/>
  <c r="AL762" i="51"/>
  <c r="AL375" i="51"/>
  <c r="AL545" i="51"/>
  <c r="AL803" i="51"/>
  <c r="AL930" i="51"/>
  <c r="AL796" i="51"/>
  <c r="AL404" i="51"/>
  <c r="AL469" i="51"/>
  <c r="AL251" i="51"/>
  <c r="AL208" i="51"/>
  <c r="AL11" i="51"/>
  <c r="AL935" i="51"/>
  <c r="AL862" i="51"/>
  <c r="AL395" i="51"/>
  <c r="AL221" i="51"/>
  <c r="AL220" i="51"/>
  <c r="AL163" i="51"/>
  <c r="AL797" i="51"/>
  <c r="AL987" i="51"/>
  <c r="AL880" i="51"/>
  <c r="AL383" i="51"/>
  <c r="AL207" i="51"/>
  <c r="AL206" i="51"/>
  <c r="AL144" i="51"/>
  <c r="AL16" i="51"/>
  <c r="AL53" i="51"/>
  <c r="AL94" i="51"/>
  <c r="AL99" i="51"/>
  <c r="AL692" i="51"/>
  <c r="AL572" i="51"/>
  <c r="AL712" i="51"/>
  <c r="AL298" i="51"/>
  <c r="AL870" i="51"/>
  <c r="AL194" i="51"/>
  <c r="AL127" i="51"/>
  <c r="AL399" i="51"/>
  <c r="AL170" i="51"/>
  <c r="AL478" i="51"/>
  <c r="AL726" i="51"/>
  <c r="AL205" i="51"/>
  <c r="AL246" i="51"/>
  <c r="AL66" i="51"/>
  <c r="AL151" i="51"/>
  <c r="AL473" i="51"/>
  <c r="AL318" i="51"/>
  <c r="AL113" i="51"/>
  <c r="AL742" i="51"/>
  <c r="AL258" i="51"/>
  <c r="AL79" i="51"/>
  <c r="AL419" i="51"/>
  <c r="AL148" i="51"/>
  <c r="AL976" i="51"/>
  <c r="AL559" i="51"/>
  <c r="AL598" i="51"/>
  <c r="AL582" i="51"/>
  <c r="AL982" i="51"/>
  <c r="AL362" i="51"/>
  <c r="AL390" i="51"/>
  <c r="AL394" i="51"/>
  <c r="M2" i="12"/>
  <c r="C1" i="15"/>
  <c r="J2" i="9"/>
  <c r="R2" i="15"/>
  <c r="K1" i="12"/>
  <c r="C2" i="13"/>
  <c r="AA1" i="10"/>
  <c r="C2" i="12"/>
  <c r="Q2" i="13"/>
  <c r="AC2" i="10"/>
  <c r="O1" i="13"/>
  <c r="C1" i="10"/>
  <c r="C1" i="13"/>
  <c r="C1" i="12"/>
  <c r="C2" i="15"/>
  <c r="K7" i="66"/>
  <c r="C1" i="14"/>
  <c r="B2" i="65"/>
  <c r="M2" i="14"/>
  <c r="K6" i="66"/>
  <c r="C2" i="14"/>
  <c r="P1" i="15"/>
  <c r="C54" i="9"/>
  <c r="K9" i="66"/>
  <c r="G1" i="65"/>
  <c r="K1" i="14"/>
  <c r="B1" i="65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<sst xmlns="http://schemas.openxmlformats.org/spreadsheetml/2006/main" count="2525" uniqueCount="223">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</sst>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2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7" fillId="0" borderId="14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15" xfId="0" applyFont="1" applyFill="1" applyBorder="1" applyAlignment="1">
      <alignment horizontal="left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2" xfId="0" applyFont="1" applyFill="1" applyBorder="1" applyAlignment="1" applyProtection="1">
      <alignment vertical="center"/>
    </xf>
    <xf numFmtId="0" fontId="7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3" fillId="0" borderId="0" xfId="0" applyFont="1"/>
    <xf numFmtId="0" fontId="3" fillId="0" borderId="0" xfId="0" quotePrefix="1" applyFont="1"/>
    <xf numFmtId="0" fontId="0" fillId="0" borderId="0" xfId="0" applyAlignment="1">
      <alignment horizontal="left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center"/>
    </xf>
    <xf numFmtId="0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0" fillId="0" borderId="0" xfId="0"/>
    <xf numFmtId="0" fontId="7" fillId="0" borderId="6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1" t="s">
        <v>33</v>
      </c>
      <c r="B1" s="322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8" t="str">
        <f ca="1">IF(ISBLANK(INDIRECT("Cover!O2")),"",INDIRECT("Cover!O2"))</f>
        <v>*</v>
      </c>
      <c r="Q1" s="328"/>
      <c r="R1" s="32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3" t="s">
        <v>34</v>
      </c>
      <c r="B2" s="324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5" t="s">
        <v>45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20"/>
      <c r="S4" s="17"/>
    </row>
    <row r="5" spans="1:32" s="18" customFormat="1" ht="20.100000000000001" customHeight="1" x14ac:dyDescent="0.2">
      <c r="A5" s="125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20"/>
      <c r="S5" s="17"/>
    </row>
    <row r="6" spans="1:32" s="18" customFormat="1" ht="20.100000000000001" customHeight="1" x14ac:dyDescent="0.2">
      <c r="A6" s="125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20"/>
      <c r="S6" s="17"/>
    </row>
    <row r="7" spans="1:32" s="18" customFormat="1" ht="20.100000000000001" customHeight="1" x14ac:dyDescent="0.2">
      <c r="A7" s="125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20"/>
      <c r="S7" s="17"/>
    </row>
    <row r="8" spans="1:32" s="18" customFormat="1" ht="20.100000000000001" customHeight="1" x14ac:dyDescent="0.2">
      <c r="A8" s="125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20"/>
      <c r="S8" s="17"/>
    </row>
    <row r="9" spans="1:32" s="18" customFormat="1" ht="20.100000000000001" customHeight="1" x14ac:dyDescent="0.2">
      <c r="A9" s="125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20"/>
      <c r="S9" s="17"/>
    </row>
    <row r="10" spans="1:32" s="18" customFormat="1" ht="20.100000000000001" customHeight="1" x14ac:dyDescent="0.2">
      <c r="A10" s="125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20"/>
      <c r="S10" s="17"/>
    </row>
    <row r="11" spans="1:32" s="18" customFormat="1" ht="20.100000000000001" customHeight="1" x14ac:dyDescent="0.2">
      <c r="A11" s="125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20"/>
      <c r="S11" s="17"/>
    </row>
    <row r="12" spans="1:32" s="18" customFormat="1" ht="20.100000000000001" customHeight="1" x14ac:dyDescent="0.2">
      <c r="A12" s="125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20"/>
      <c r="S12" s="17"/>
    </row>
    <row r="13" spans="1:32" s="18" customFormat="1" ht="20.100000000000001" customHeight="1" x14ac:dyDescent="0.2">
      <c r="A13" s="125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20"/>
      <c r="S13" s="17"/>
    </row>
    <row r="14" spans="1:32" s="18" customFormat="1" ht="20.100000000000001" customHeight="1" x14ac:dyDescent="0.2">
      <c r="A14" s="125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20"/>
      <c r="S14" s="17"/>
    </row>
    <row r="15" spans="1:32" s="18" customFormat="1" ht="20.100000000000001" customHeight="1" x14ac:dyDescent="0.2">
      <c r="A15" s="125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20"/>
      <c r="S15" s="17"/>
    </row>
    <row r="16" spans="1:32" s="18" customFormat="1" ht="20.100000000000001" customHeight="1" x14ac:dyDescent="0.2">
      <c r="A16" s="125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20"/>
      <c r="S16" s="17"/>
    </row>
    <row r="17" spans="1:19" s="18" customFormat="1" ht="20.100000000000001" customHeight="1" x14ac:dyDescent="0.2">
      <c r="A17" s="125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20"/>
      <c r="S17" s="17"/>
    </row>
    <row r="18" spans="1:19" s="18" customFormat="1" ht="20.100000000000001" customHeight="1" x14ac:dyDescent="0.2">
      <c r="A18" s="125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20"/>
      <c r="S18" s="17"/>
    </row>
    <row r="19" spans="1:19" s="18" customFormat="1" ht="20.100000000000001" customHeight="1" x14ac:dyDescent="0.2">
      <c r="A19" s="125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20"/>
      <c r="S19" s="17"/>
    </row>
    <row r="20" spans="1:19" s="18" customFormat="1" ht="20.100000000000001" customHeight="1" x14ac:dyDescent="0.2">
      <c r="A20" s="125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20"/>
      <c r="S20" s="17"/>
    </row>
    <row r="21" spans="1:19" s="18" customFormat="1" ht="20.100000000000001" customHeight="1" x14ac:dyDescent="0.2">
      <c r="A21" s="125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20"/>
      <c r="S21" s="17"/>
    </row>
    <row r="22" spans="1:19" s="18" customFormat="1" ht="20.100000000000001" customHeight="1" x14ac:dyDescent="0.2">
      <c r="A22" s="125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20"/>
      <c r="S22" s="17"/>
    </row>
    <row r="23" spans="1:19" s="18" customFormat="1" ht="20.100000000000001" customHeight="1" x14ac:dyDescent="0.2">
      <c r="A23" s="125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20"/>
      <c r="S23" s="17"/>
    </row>
    <row r="24" spans="1:19" s="18" customFormat="1" ht="20.100000000000001" customHeight="1" x14ac:dyDescent="0.2">
      <c r="A24" s="125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20"/>
      <c r="S24" s="17"/>
    </row>
    <row r="25" spans="1:19" s="18" customFormat="1" ht="20.100000000000001" customHeight="1" x14ac:dyDescent="0.2">
      <c r="A25" s="125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20"/>
      <c r="S25" s="17"/>
    </row>
    <row r="26" spans="1:19" s="18" customFormat="1" ht="20.100000000000001" customHeight="1" x14ac:dyDescent="0.2">
      <c r="A26" s="125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20"/>
      <c r="S26" s="17"/>
    </row>
    <row r="27" spans="1:19" s="18" customFormat="1" ht="20.100000000000001" customHeight="1" x14ac:dyDescent="0.2">
      <c r="A27" s="125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20"/>
      <c r="S27" s="17"/>
    </row>
    <row r="28" spans="1:19" s="18" customFormat="1" ht="20.100000000000001" customHeight="1" x14ac:dyDescent="0.2">
      <c r="A28" s="125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20"/>
      <c r="S28" s="17"/>
    </row>
    <row r="29" spans="1:19" s="18" customFormat="1" ht="20.100000000000001" customHeight="1" x14ac:dyDescent="0.2">
      <c r="A29" s="125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20"/>
      <c r="S29" s="17"/>
    </row>
    <row r="30" spans="1:19" s="18" customFormat="1" ht="20.100000000000001" customHeight="1" x14ac:dyDescent="0.2">
      <c r="A30" s="125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20"/>
      <c r="S30" s="17"/>
    </row>
    <row r="31" spans="1:19" s="18" customFormat="1" ht="20.100000000000001" customHeight="1" x14ac:dyDescent="0.2">
      <c r="A31" s="125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20"/>
      <c r="S31" s="17"/>
    </row>
    <row r="32" spans="1:19" s="18" customFormat="1" ht="20.100000000000001" customHeight="1" x14ac:dyDescent="0.2">
      <c r="A32" s="125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20"/>
      <c r="S32" s="17"/>
    </row>
    <row r="33" spans="1:19" s="18" customFormat="1" ht="20.100000000000001" customHeight="1" x14ac:dyDescent="0.2">
      <c r="A33" s="125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20"/>
      <c r="S33" s="17"/>
    </row>
    <row r="34" spans="1:19" s="18" customFormat="1" ht="20.100000000000001" customHeight="1" x14ac:dyDescent="0.2">
      <c r="A34" s="125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20"/>
      <c r="S34" s="17"/>
    </row>
    <row r="35" spans="1:19" s="18" customFormat="1" ht="20.100000000000001" customHeight="1" x14ac:dyDescent="0.2">
      <c r="A35" s="125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20"/>
      <c r="S35" s="17"/>
    </row>
    <row r="36" spans="1:19" s="18" customFormat="1" ht="20.100000000000001" customHeight="1" x14ac:dyDescent="0.2">
      <c r="A36" s="125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20"/>
      <c r="S36" s="17"/>
    </row>
    <row r="37" spans="1:19" s="18" customFormat="1" ht="20.100000000000001" customHeight="1" x14ac:dyDescent="0.2">
      <c r="A37" s="125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20"/>
      <c r="S37" s="17"/>
    </row>
    <row r="38" spans="1:19" s="18" customFormat="1" ht="20.100000000000001" customHeight="1" x14ac:dyDescent="0.2">
      <c r="A38" s="125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20"/>
      <c r="S38" s="17"/>
    </row>
    <row r="39" spans="1:19" s="18" customFormat="1" ht="20.100000000000001" customHeight="1" x14ac:dyDescent="0.2">
      <c r="A39" s="125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20"/>
      <c r="S39" s="17"/>
    </row>
    <row r="40" spans="1:19" s="18" customFormat="1" ht="20.100000000000001" customHeight="1" x14ac:dyDescent="0.2">
      <c r="A40" s="125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20"/>
      <c r="S40" s="17"/>
    </row>
    <row r="41" spans="1:19" s="18" customFormat="1" ht="20.100000000000001" customHeight="1" x14ac:dyDescent="0.2">
      <c r="A41" s="125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20"/>
      <c r="S41" s="17"/>
    </row>
    <row r="42" spans="1:19" s="18" customFormat="1" ht="20.100000000000001" customHeight="1" x14ac:dyDescent="0.2">
      <c r="A42" s="125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20"/>
      <c r="S42" s="17"/>
    </row>
    <row r="43" spans="1:19" s="18" customFormat="1" ht="20.100000000000001" customHeight="1" x14ac:dyDescent="0.2">
      <c r="A43" s="125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20"/>
      <c r="S43" s="17"/>
    </row>
    <row r="44" spans="1:19" s="18" customFormat="1" ht="20.100000000000001" customHeight="1" x14ac:dyDescent="0.2">
      <c r="A44" s="125"/>
      <c r="B44" s="319"/>
      <c r="C44" s="319"/>
      <c r="D44" s="319"/>
      <c r="E44" s="319"/>
      <c r="F44" s="319"/>
      <c r="G44" s="319"/>
      <c r="H44" s="319"/>
      <c r="I44" s="319"/>
      <c r="J44" s="319"/>
      <c r="K44" s="319"/>
      <c r="L44" s="319"/>
      <c r="M44" s="319"/>
      <c r="N44" s="319"/>
      <c r="O44" s="319"/>
      <c r="P44" s="319"/>
      <c r="Q44" s="319"/>
      <c r="R44" s="320"/>
      <c r="S44" s="17"/>
    </row>
    <row r="45" spans="1:19" s="18" customFormat="1" ht="20.100000000000001" customHeight="1" x14ac:dyDescent="0.2">
      <c r="A45" s="125"/>
      <c r="B45" s="319"/>
      <c r="C45" s="319"/>
      <c r="D45" s="319"/>
      <c r="E45" s="319"/>
      <c r="F45" s="319"/>
      <c r="G45" s="319"/>
      <c r="H45" s="319"/>
      <c r="I45" s="319"/>
      <c r="J45" s="319"/>
      <c r="K45" s="319"/>
      <c r="L45" s="319"/>
      <c r="M45" s="319"/>
      <c r="N45" s="319"/>
      <c r="O45" s="319"/>
      <c r="P45" s="319"/>
      <c r="Q45" s="319"/>
      <c r="R45" s="320"/>
      <c r="S45" s="17"/>
    </row>
    <row r="46" spans="1:19" s="18" customFormat="1" ht="20.100000000000001" customHeight="1" x14ac:dyDescent="0.2">
      <c r="A46" s="125"/>
      <c r="B46" s="319"/>
      <c r="C46" s="319"/>
      <c r="D46" s="319"/>
      <c r="E46" s="319"/>
      <c r="F46" s="319"/>
      <c r="G46" s="319"/>
      <c r="H46" s="319"/>
      <c r="I46" s="319"/>
      <c r="J46" s="319"/>
      <c r="K46" s="319"/>
      <c r="L46" s="319"/>
      <c r="M46" s="319"/>
      <c r="N46" s="319"/>
      <c r="O46" s="319"/>
      <c r="P46" s="319"/>
      <c r="Q46" s="319"/>
      <c r="R46" s="320"/>
      <c r="S46" s="17"/>
    </row>
    <row r="47" spans="1:19" s="18" customFormat="1" ht="20.100000000000001" customHeight="1" x14ac:dyDescent="0.2">
      <c r="A47" s="125"/>
      <c r="B47" s="319"/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20"/>
      <c r="S47" s="17"/>
    </row>
    <row r="48" spans="1:19" s="18" customFormat="1" ht="20.100000000000001" customHeight="1" x14ac:dyDescent="0.2">
      <c r="A48" s="125"/>
      <c r="B48" s="319"/>
      <c r="C48" s="319"/>
      <c r="D48" s="319"/>
      <c r="E48" s="319"/>
      <c r="F48" s="319"/>
      <c r="G48" s="319"/>
      <c r="H48" s="319"/>
      <c r="I48" s="319"/>
      <c r="J48" s="319"/>
      <c r="K48" s="319"/>
      <c r="L48" s="319"/>
      <c r="M48" s="319"/>
      <c r="N48" s="319"/>
      <c r="O48" s="319"/>
      <c r="P48" s="319"/>
      <c r="Q48" s="319"/>
      <c r="R48" s="320"/>
      <c r="S48" s="17"/>
    </row>
    <row r="49" spans="1:19" s="18" customFormat="1" ht="20.100000000000001" customHeight="1" x14ac:dyDescent="0.2">
      <c r="A49" s="125"/>
      <c r="B49" s="319"/>
      <c r="C49" s="319"/>
      <c r="D49" s="319"/>
      <c r="E49" s="319"/>
      <c r="F49" s="319"/>
      <c r="G49" s="319"/>
      <c r="H49" s="319"/>
      <c r="I49" s="319"/>
      <c r="J49" s="319"/>
      <c r="K49" s="319"/>
      <c r="L49" s="319"/>
      <c r="M49" s="319"/>
      <c r="N49" s="319"/>
      <c r="O49" s="319"/>
      <c r="P49" s="319"/>
      <c r="Q49" s="319"/>
      <c r="R49" s="320"/>
      <c r="S49" s="17"/>
    </row>
    <row r="50" spans="1:19" s="18" customFormat="1" ht="20.100000000000001" customHeight="1" x14ac:dyDescent="0.2">
      <c r="A50" s="125"/>
      <c r="B50" s="319"/>
      <c r="C50" s="319"/>
      <c r="D50" s="319"/>
      <c r="E50" s="319"/>
      <c r="F50" s="319"/>
      <c r="G50" s="319"/>
      <c r="H50" s="319"/>
      <c r="I50" s="319"/>
      <c r="J50" s="319"/>
      <c r="K50" s="319"/>
      <c r="L50" s="319"/>
      <c r="M50" s="319"/>
      <c r="N50" s="319"/>
      <c r="O50" s="319"/>
      <c r="P50" s="319"/>
      <c r="Q50" s="319"/>
      <c r="R50" s="320"/>
      <c r="S50" s="17"/>
    </row>
    <row r="51" spans="1:19" s="18" customFormat="1" ht="20.100000000000001" customHeight="1" x14ac:dyDescent="0.2">
      <c r="A51" s="125"/>
      <c r="B51" s="319"/>
      <c r="C51" s="319"/>
      <c r="D51" s="319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20"/>
      <c r="S51" s="17"/>
    </row>
    <row r="52" spans="1:19" s="18" customFormat="1" ht="20.100000000000001" customHeight="1" x14ac:dyDescent="0.2">
      <c r="A52" s="125"/>
      <c r="B52" s="319"/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20"/>
      <c r="S52" s="17"/>
    </row>
    <row r="53" spans="1:19" s="18" customFormat="1" ht="20.100000000000001" customHeight="1" thickBot="1" x14ac:dyDescent="0.25">
      <c r="A53" s="125"/>
      <c r="B53" s="319"/>
      <c r="C53" s="319"/>
      <c r="D53" s="319"/>
      <c r="E53" s="319"/>
      <c r="F53" s="319"/>
      <c r="G53" s="319"/>
      <c r="H53" s="319"/>
      <c r="I53" s="319"/>
      <c r="J53" s="319"/>
      <c r="K53" s="319"/>
      <c r="L53" s="319"/>
      <c r="M53" s="319"/>
      <c r="N53" s="319"/>
      <c r="O53" s="319"/>
      <c r="P53" s="319"/>
      <c r="Q53" s="319"/>
      <c r="R53" s="32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1" t="s">
        <v>26</v>
      </c>
      <c r="B1" s="322"/>
      <c r="C1" s="351" t="str">
        <f ca="1">IF(ISBLANK(INDIRECT("Cover!D3")),"",INDIRECT("Cover!D3"))</f>
        <v>*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22" t="s">
        <v>28</v>
      </c>
      <c r="AA1" s="333" t="str">
        <f ca="1">IF(ISBLANK(INDIRECT("Cover!O2")),"",INDIRECT("Cover!O2"))</f>
        <v>*</v>
      </c>
      <c r="AB1" s="333"/>
      <c r="AC1" s="334"/>
    </row>
    <row r="2" spans="1:29" s="9" customFormat="1" ht="20.100000000000001" customHeight="1" thickBot="1" x14ac:dyDescent="0.25">
      <c r="A2" s="323" t="s">
        <v>27</v>
      </c>
      <c r="B2" s="324"/>
      <c r="C2" s="358" t="str">
        <f ca="1">IF(ISBLANK(INDIRECT("Cover!D4")),"",INDIRECT("Cover!D4"))</f>
        <v>*</v>
      </c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6" t="s">
        <v>44</v>
      </c>
      <c r="B3" s="356" t="s">
        <v>0</v>
      </c>
      <c r="C3" s="356" t="s">
        <v>1</v>
      </c>
      <c r="D3" s="343" t="s">
        <v>81</v>
      </c>
      <c r="E3" s="344"/>
      <c r="F3" s="341" t="s">
        <v>2</v>
      </c>
      <c r="G3" s="342"/>
      <c r="H3" s="342"/>
      <c r="I3" s="341" t="s">
        <v>5</v>
      </c>
      <c r="J3" s="342"/>
      <c r="K3" s="342"/>
      <c r="L3" s="341" t="s">
        <v>8</v>
      </c>
      <c r="M3" s="352"/>
      <c r="N3" s="23" t="s">
        <v>6</v>
      </c>
      <c r="O3" s="23" t="s">
        <v>22</v>
      </c>
      <c r="P3" s="355" t="s">
        <v>79</v>
      </c>
      <c r="Q3" s="342"/>
      <c r="R3" s="352"/>
      <c r="S3" s="341" t="s">
        <v>75</v>
      </c>
      <c r="T3" s="342"/>
      <c r="U3" s="342"/>
      <c r="V3" s="341" t="s">
        <v>76</v>
      </c>
      <c r="W3" s="342"/>
      <c r="X3" s="352"/>
      <c r="Y3" s="349" t="s">
        <v>80</v>
      </c>
      <c r="Z3" s="335" t="s">
        <v>11</v>
      </c>
      <c r="AA3" s="336"/>
      <c r="AB3" s="336"/>
      <c r="AC3" s="337"/>
    </row>
    <row r="4" spans="1:29" s="9" customFormat="1" ht="20.100000000000001" customHeight="1" thickBot="1" x14ac:dyDescent="0.25">
      <c r="A4" s="357"/>
      <c r="B4" s="357"/>
      <c r="C4" s="357"/>
      <c r="D4" s="345"/>
      <c r="E4" s="346"/>
      <c r="F4" s="61" t="s">
        <v>3</v>
      </c>
      <c r="G4" s="347" t="s">
        <v>4</v>
      </c>
      <c r="H4" s="348"/>
      <c r="I4" s="61" t="s">
        <v>3</v>
      </c>
      <c r="J4" s="347" t="s">
        <v>4</v>
      </c>
      <c r="K4" s="348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47" t="s">
        <v>77</v>
      </c>
      <c r="U4" s="348"/>
      <c r="V4" s="61" t="s">
        <v>78</v>
      </c>
      <c r="W4" s="347" t="s">
        <v>77</v>
      </c>
      <c r="X4" s="348"/>
      <c r="Y4" s="350"/>
      <c r="Z4" s="338"/>
      <c r="AA4" s="339"/>
      <c r="AB4" s="339"/>
      <c r="AC4" s="340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67"/>
      <c r="AA5" s="368"/>
      <c r="AB5" s="368"/>
      <c r="AC5" s="36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0"/>
      <c r="AA6" s="331"/>
      <c r="AB6" s="331"/>
      <c r="AC6" s="33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0"/>
      <c r="AA7" s="331"/>
      <c r="AB7" s="331"/>
      <c r="AC7" s="33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0"/>
      <c r="AA8" s="331"/>
      <c r="AB8" s="331"/>
      <c r="AC8" s="33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0"/>
      <c r="AA9" s="331"/>
      <c r="AB9" s="331"/>
      <c r="AC9" s="33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0"/>
      <c r="AA10" s="331"/>
      <c r="AB10" s="331"/>
      <c r="AC10" s="33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0"/>
      <c r="AA11" s="331"/>
      <c r="AB11" s="331"/>
      <c r="AC11" s="33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0"/>
      <c r="AA12" s="331"/>
      <c r="AB12" s="331"/>
      <c r="AC12" s="33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0"/>
      <c r="AA13" s="331"/>
      <c r="AB13" s="331"/>
      <c r="AC13" s="33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0"/>
      <c r="AA14" s="331"/>
      <c r="AB14" s="331"/>
      <c r="AC14" s="33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0"/>
      <c r="AA15" s="331"/>
      <c r="AB15" s="331"/>
      <c r="AC15" s="33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0"/>
      <c r="AA16" s="331"/>
      <c r="AB16" s="331"/>
      <c r="AC16" s="33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0"/>
      <c r="AA17" s="331"/>
      <c r="AB17" s="331"/>
      <c r="AC17" s="33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0"/>
      <c r="AA18" s="331"/>
      <c r="AB18" s="331"/>
      <c r="AC18" s="33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0"/>
      <c r="AA19" s="331"/>
      <c r="AB19" s="331"/>
      <c r="AC19" s="33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0"/>
      <c r="AA20" s="331"/>
      <c r="AB20" s="331"/>
      <c r="AC20" s="33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0"/>
      <c r="AA21" s="331"/>
      <c r="AB21" s="331"/>
      <c r="AC21" s="33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0"/>
      <c r="AA22" s="331"/>
      <c r="AB22" s="331"/>
      <c r="AC22" s="33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0"/>
      <c r="AA23" s="331"/>
      <c r="AB23" s="331"/>
      <c r="AC23" s="33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0"/>
      <c r="AA24" s="331"/>
      <c r="AB24" s="331"/>
      <c r="AC24" s="33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0"/>
      <c r="AA25" s="331"/>
      <c r="AB25" s="331"/>
      <c r="AC25" s="33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0"/>
      <c r="AA26" s="331"/>
      <c r="AB26" s="331"/>
      <c r="AC26" s="33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0"/>
      <c r="AA27" s="331"/>
      <c r="AB27" s="331"/>
      <c r="AC27" s="33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0"/>
      <c r="AA28" s="331"/>
      <c r="AB28" s="331"/>
      <c r="AC28" s="33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0"/>
      <c r="AA29" s="331"/>
      <c r="AB29" s="331"/>
      <c r="AC29" s="33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0"/>
      <c r="AA30" s="331"/>
      <c r="AB30" s="331"/>
      <c r="AC30" s="33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0"/>
      <c r="AA31" s="331"/>
      <c r="AB31" s="331"/>
      <c r="AC31" s="33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0"/>
      <c r="AA32" s="331"/>
      <c r="AB32" s="331"/>
      <c r="AC32" s="33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0"/>
      <c r="AA33" s="331"/>
      <c r="AB33" s="331"/>
      <c r="AC33" s="33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0"/>
      <c r="AA34" s="331"/>
      <c r="AB34" s="331"/>
      <c r="AC34" s="33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0"/>
      <c r="AA35" s="331"/>
      <c r="AB35" s="331"/>
      <c r="AC35" s="33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0"/>
      <c r="AA36" s="331"/>
      <c r="AB36" s="331"/>
      <c r="AC36" s="33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0"/>
      <c r="AA37" s="331"/>
      <c r="AB37" s="331"/>
      <c r="AC37" s="33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0"/>
      <c r="AA38" s="331"/>
      <c r="AB38" s="331"/>
      <c r="AC38" s="33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0"/>
      <c r="AA39" s="331"/>
      <c r="AB39" s="331"/>
      <c r="AC39" s="33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0"/>
      <c r="AA40" s="331"/>
      <c r="AB40" s="331"/>
      <c r="AC40" s="33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0"/>
      <c r="AA41" s="331"/>
      <c r="AB41" s="331"/>
      <c r="AC41" s="332"/>
    </row>
    <row r="42" spans="1:29" s="18" customFormat="1" ht="20.100000000000001" customHeight="1" thickBot="1" x14ac:dyDescent="0.25">
      <c r="A42" s="74" t="s">
        <v>47</v>
      </c>
      <c r="B42" s="365">
        <f>SUM(B5:B41)</f>
        <v>0</v>
      </c>
      <c r="C42" s="366"/>
      <c r="D42" s="362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3"/>
      <c r="Q42" s="363"/>
      <c r="R42" s="363"/>
      <c r="S42" s="363"/>
      <c r="T42" s="363"/>
      <c r="U42" s="363"/>
      <c r="V42" s="363"/>
      <c r="W42" s="363"/>
      <c r="X42" s="363"/>
      <c r="Y42" s="363"/>
      <c r="Z42" s="363"/>
      <c r="AA42" s="363"/>
      <c r="AB42" s="363"/>
      <c r="AC42" s="364"/>
    </row>
    <row r="43" spans="1:29" s="18" customFormat="1" ht="20.100000000000001" customHeight="1" x14ac:dyDescent="0.2">
      <c r="A43" s="163" t="s">
        <v>25</v>
      </c>
      <c r="B43" s="353"/>
      <c r="C43" s="353"/>
      <c r="D43" s="353"/>
      <c r="E43" s="353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353"/>
      <c r="T43" s="353"/>
      <c r="U43" s="353"/>
      <c r="V43" s="353"/>
      <c r="W43" s="353"/>
      <c r="X43" s="353"/>
      <c r="Y43" s="353"/>
      <c r="Z43" s="353"/>
      <c r="AA43" s="353"/>
      <c r="AB43" s="353"/>
      <c r="AC43" s="354"/>
    </row>
    <row r="44" spans="1:29" s="18" customFormat="1" ht="20.100000000000001" customHeight="1" x14ac:dyDescent="0.2">
      <c r="A44" s="330"/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M44" s="331"/>
      <c r="N44" s="331"/>
      <c r="O44" s="331"/>
      <c r="P44" s="331"/>
      <c r="Q44" s="331"/>
      <c r="R44" s="331"/>
      <c r="S44" s="331"/>
      <c r="T44" s="331"/>
      <c r="U44" s="331"/>
      <c r="V44" s="331"/>
      <c r="W44" s="331"/>
      <c r="X44" s="331"/>
      <c r="Y44" s="331"/>
      <c r="Z44" s="331"/>
      <c r="AA44" s="331"/>
      <c r="AB44" s="331"/>
      <c r="AC44" s="332"/>
    </row>
    <row r="45" spans="1:29" s="18" customFormat="1" ht="20.100000000000001" customHeight="1" thickBot="1" x14ac:dyDescent="0.25">
      <c r="A45" s="359"/>
      <c r="B45" s="360"/>
      <c r="C45" s="360"/>
      <c r="D45" s="360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360"/>
      <c r="Q45" s="360"/>
      <c r="R45" s="360"/>
      <c r="S45" s="360"/>
      <c r="T45" s="360"/>
      <c r="U45" s="360"/>
      <c r="V45" s="360"/>
      <c r="W45" s="360"/>
      <c r="X45" s="360"/>
      <c r="Y45" s="360"/>
      <c r="Z45" s="360"/>
      <c r="AA45" s="360"/>
      <c r="AB45" s="360"/>
      <c r="AC45" s="361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7" t="s">
        <v>29</v>
      </c>
      <c r="B1" s="388"/>
      <c r="C1" s="384" t="str">
        <f ca="1">IF(ISBLANK(INDIRECT("Cover!D3")),"",INDIRECT("Cover!D3"))</f>
        <v>*</v>
      </c>
      <c r="D1" s="384"/>
      <c r="E1" s="384"/>
      <c r="F1" s="384"/>
      <c r="G1" s="384"/>
      <c r="H1" s="384"/>
      <c r="I1" s="384"/>
      <c r="J1" s="47" t="s">
        <v>19</v>
      </c>
      <c r="K1" s="375" t="str">
        <f ca="1">IF(ISBLANK(INDIRECT("Cover!O2")),"",INDIRECT("Cover!O2"))</f>
        <v>*</v>
      </c>
      <c r="L1" s="375"/>
      <c r="M1" s="376"/>
    </row>
    <row r="2" spans="1:13" ht="20.100000000000001" customHeight="1" thickBot="1" x14ac:dyDescent="0.25">
      <c r="A2" s="389" t="s">
        <v>30</v>
      </c>
      <c r="B2" s="390"/>
      <c r="C2" s="383" t="str">
        <f ca="1">IF(ISBLANK(INDIRECT("Cover!D4")),"",INDIRECT("Cover!D4"))</f>
        <v>*</v>
      </c>
      <c r="D2" s="383"/>
      <c r="E2" s="383"/>
      <c r="F2" s="383"/>
      <c r="G2" s="383"/>
      <c r="H2" s="383"/>
      <c r="I2" s="383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0"/>
      <c r="B25" s="371"/>
      <c r="C25" s="372"/>
      <c r="D25" s="373" t="s">
        <v>47</v>
      </c>
      <c r="E25" s="374"/>
      <c r="F25" s="1">
        <f>ROUNDUP(SUM(F4:F24)*1.02,-1)</f>
        <v>0</v>
      </c>
      <c r="G25" s="381"/>
      <c r="H25" s="370"/>
      <c r="I25" s="371"/>
      <c r="J25" s="372"/>
      <c r="K25" s="373" t="s">
        <v>47</v>
      </c>
      <c r="L25" s="37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0"/>
      <c r="B47" s="371"/>
      <c r="C47" s="372"/>
      <c r="D47" s="373" t="s">
        <v>47</v>
      </c>
      <c r="E47" s="374"/>
      <c r="F47" s="1">
        <f>ROUNDUP(SUM(F26:F46)*1.02,-1)</f>
        <v>0</v>
      </c>
      <c r="G47" s="381"/>
      <c r="H47" s="370"/>
      <c r="I47" s="371"/>
      <c r="J47" s="372"/>
      <c r="K47" s="373" t="s">
        <v>47</v>
      </c>
      <c r="L47" s="374"/>
      <c r="M47" s="1">
        <f>ROUNDUP(SUM(M26:M46)*1.02,-1)</f>
        <v>0</v>
      </c>
    </row>
    <row r="48" spans="1:13" ht="9.9499999999999993" customHeight="1" thickBot="1" x14ac:dyDescent="0.25">
      <c r="A48" s="377"/>
      <c r="B48" s="378"/>
      <c r="C48" s="378"/>
      <c r="D48" s="378"/>
      <c r="E48" s="378"/>
      <c r="F48" s="379"/>
      <c r="G48" s="381"/>
      <c r="H48" s="377"/>
      <c r="I48" s="378"/>
      <c r="J48" s="378"/>
      <c r="K48" s="378"/>
      <c r="L48" s="378"/>
      <c r="M48" s="379"/>
    </row>
    <row r="49" spans="1:13" ht="20.100000000000001" customHeight="1" thickBot="1" x14ac:dyDescent="0.3">
      <c r="A49" s="385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1"/>
      <c r="H49" s="385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6"/>
      <c r="B50" s="55"/>
      <c r="C50" s="3"/>
      <c r="D50" s="56"/>
      <c r="E50" s="57"/>
      <c r="F50" s="58" t="str">
        <f>IF(ISBLANK(D50),"",ROUNDUP((D50*E50)*0.5*1.02,-1))</f>
        <v/>
      </c>
      <c r="G50" s="382"/>
      <c r="H50" s="386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K25:L25"/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1" t="s">
        <v>29</v>
      </c>
      <c r="B1" s="322"/>
      <c r="C1" s="351" t="str">
        <f ca="1">IF(ISBLANK(INDIRECT("Cover!D3")),"",INDIRECT("Cover!D3"))</f>
        <v>*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22" t="s">
        <v>19</v>
      </c>
      <c r="O1" s="333" t="str">
        <f ca="1">IF(ISBLANK(INDIRECT("Cover!O2")),"",INDIRECT("Cover!O2"))</f>
        <v>*</v>
      </c>
      <c r="P1" s="333"/>
      <c r="Q1" s="334"/>
      <c r="S1" s="408"/>
      <c r="T1" s="409"/>
      <c r="U1" s="409"/>
      <c r="V1" s="409"/>
      <c r="W1" s="409"/>
      <c r="X1" s="409"/>
    </row>
    <row r="2" spans="1:24" ht="20.100000000000001" customHeight="1" thickBot="1" x14ac:dyDescent="0.25">
      <c r="A2" s="323" t="s">
        <v>30</v>
      </c>
      <c r="B2" s="324"/>
      <c r="C2" s="402" t="str">
        <f ca="1">IF(ISBLANK(INDIRECT("Cover!D4")),"",INDIRECT("Cover!D4"))</f>
        <v>*</v>
      </c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0" t="s">
        <v>88</v>
      </c>
      <c r="T2" s="411"/>
      <c r="U2" s="411"/>
      <c r="V2" s="411"/>
      <c r="W2" s="411"/>
      <c r="X2" s="412"/>
    </row>
    <row r="3" spans="1:24" ht="20.100000000000001" customHeight="1" thickBot="1" x14ac:dyDescent="0.3">
      <c r="A3" s="34" t="s">
        <v>15</v>
      </c>
      <c r="B3" s="406" t="s">
        <v>16</v>
      </c>
      <c r="C3" s="407"/>
      <c r="D3" s="34"/>
      <c r="E3" s="406" t="s">
        <v>17</v>
      </c>
      <c r="F3" s="407"/>
      <c r="G3" s="34" t="s">
        <v>4</v>
      </c>
      <c r="H3" s="34" t="s">
        <v>18</v>
      </c>
      <c r="I3" s="403"/>
      <c r="J3" s="34" t="s">
        <v>15</v>
      </c>
      <c r="K3" s="406" t="s">
        <v>16</v>
      </c>
      <c r="L3" s="407"/>
      <c r="M3" s="34"/>
      <c r="N3" s="406" t="s">
        <v>17</v>
      </c>
      <c r="O3" s="407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5"/>
      <c r="C4" s="396"/>
      <c r="D4" s="112"/>
      <c r="E4" s="85"/>
      <c r="F4" s="113"/>
      <c r="G4" s="114"/>
      <c r="H4" s="115" t="str">
        <f>IF(ISBLANK(E4),"",IF(D4="X",((E4+(F4/12))*G4)/100*0.5,((E4+(F4/12))*G4)/100))</f>
        <v/>
      </c>
      <c r="I4" s="404"/>
      <c r="J4" s="111"/>
      <c r="K4" s="395"/>
      <c r="L4" s="396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1"/>
      <c r="C5" s="39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4"/>
      <c r="J5" s="39"/>
      <c r="K5" s="391"/>
      <c r="L5" s="39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1"/>
      <c r="C6" s="392"/>
      <c r="D6" s="40"/>
      <c r="E6" s="41"/>
      <c r="F6" s="42"/>
      <c r="G6" s="110"/>
      <c r="H6" s="44" t="str">
        <f t="shared" si="0"/>
        <v/>
      </c>
      <c r="I6" s="404"/>
      <c r="J6" s="39"/>
      <c r="K6" s="391"/>
      <c r="L6" s="392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1"/>
      <c r="C7" s="392"/>
      <c r="D7" s="40"/>
      <c r="E7" s="41"/>
      <c r="F7" s="42"/>
      <c r="G7" s="110"/>
      <c r="H7" s="44" t="str">
        <f t="shared" si="0"/>
        <v/>
      </c>
      <c r="I7" s="404"/>
      <c r="J7" s="39"/>
      <c r="K7" s="391"/>
      <c r="L7" s="392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1"/>
      <c r="C8" s="392"/>
      <c r="D8" s="40"/>
      <c r="E8" s="41"/>
      <c r="F8" s="42"/>
      <c r="G8" s="110"/>
      <c r="H8" s="44" t="str">
        <f t="shared" si="0"/>
        <v/>
      </c>
      <c r="I8" s="404"/>
      <c r="J8" s="39"/>
      <c r="K8" s="391"/>
      <c r="L8" s="392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1"/>
      <c r="C9" s="392"/>
      <c r="D9" s="40"/>
      <c r="E9" s="41"/>
      <c r="F9" s="42"/>
      <c r="G9" s="110"/>
      <c r="H9" s="44" t="str">
        <f t="shared" si="0"/>
        <v/>
      </c>
      <c r="I9" s="404"/>
      <c r="J9" s="39"/>
      <c r="K9" s="391"/>
      <c r="L9" s="392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1"/>
      <c r="C10" s="392"/>
      <c r="D10" s="40"/>
      <c r="E10" s="41"/>
      <c r="F10" s="42"/>
      <c r="G10" s="110"/>
      <c r="H10" s="44" t="str">
        <f t="shared" si="0"/>
        <v/>
      </c>
      <c r="I10" s="404"/>
      <c r="J10" s="39"/>
      <c r="K10" s="391"/>
      <c r="L10" s="39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1"/>
      <c r="C11" s="392"/>
      <c r="D11" s="40"/>
      <c r="E11" s="41"/>
      <c r="F11" s="42"/>
      <c r="G11" s="110"/>
      <c r="H11" s="44" t="str">
        <f t="shared" si="0"/>
        <v/>
      </c>
      <c r="I11" s="404"/>
      <c r="J11" s="39"/>
      <c r="K11" s="391"/>
      <c r="L11" s="39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1"/>
      <c r="C12" s="392"/>
      <c r="D12" s="40"/>
      <c r="E12" s="41"/>
      <c r="F12" s="42"/>
      <c r="G12" s="110"/>
      <c r="H12" s="44" t="str">
        <f t="shared" si="0"/>
        <v/>
      </c>
      <c r="I12" s="404"/>
      <c r="J12" s="39"/>
      <c r="K12" s="391"/>
      <c r="L12" s="39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1"/>
      <c r="C13" s="392"/>
      <c r="D13" s="40"/>
      <c r="E13" s="41"/>
      <c r="F13" s="42"/>
      <c r="G13" s="110"/>
      <c r="H13" s="44" t="str">
        <f t="shared" si="0"/>
        <v/>
      </c>
      <c r="I13" s="404"/>
      <c r="J13" s="39"/>
      <c r="K13" s="391"/>
      <c r="L13" s="39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1"/>
      <c r="C14" s="392"/>
      <c r="D14" s="40"/>
      <c r="E14" s="41"/>
      <c r="F14" s="42"/>
      <c r="G14" s="110"/>
      <c r="H14" s="44" t="str">
        <f t="shared" si="0"/>
        <v/>
      </c>
      <c r="I14" s="404"/>
      <c r="J14" s="39"/>
      <c r="K14" s="391"/>
      <c r="L14" s="39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1"/>
      <c r="C15" s="392"/>
      <c r="D15" s="40"/>
      <c r="E15" s="41"/>
      <c r="F15" s="42"/>
      <c r="G15" s="110"/>
      <c r="H15" s="44" t="str">
        <f t="shared" si="0"/>
        <v/>
      </c>
      <c r="I15" s="404"/>
      <c r="J15" s="39"/>
      <c r="K15" s="391"/>
      <c r="L15" s="39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1"/>
      <c r="C16" s="392"/>
      <c r="D16" s="40"/>
      <c r="E16" s="41"/>
      <c r="F16" s="42"/>
      <c r="G16" s="110"/>
      <c r="H16" s="44" t="str">
        <f t="shared" si="0"/>
        <v/>
      </c>
      <c r="I16" s="404"/>
      <c r="J16" s="39"/>
      <c r="K16" s="391"/>
      <c r="L16" s="39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1"/>
      <c r="C17" s="39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4"/>
      <c r="J17" s="39"/>
      <c r="K17" s="391"/>
      <c r="L17" s="39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1"/>
      <c r="C18" s="392"/>
      <c r="D18" s="40"/>
      <c r="E18" s="41"/>
      <c r="F18" s="42"/>
      <c r="G18" s="110"/>
      <c r="H18" s="44" t="str">
        <f t="shared" si="2"/>
        <v/>
      </c>
      <c r="I18" s="404"/>
      <c r="J18" s="39"/>
      <c r="K18" s="391"/>
      <c r="L18" s="39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1"/>
      <c r="C19" s="392"/>
      <c r="D19" s="40"/>
      <c r="E19" s="41"/>
      <c r="F19" s="42"/>
      <c r="G19" s="110"/>
      <c r="H19" s="44" t="str">
        <f t="shared" si="2"/>
        <v/>
      </c>
      <c r="I19" s="404"/>
      <c r="J19" s="39"/>
      <c r="K19" s="391"/>
      <c r="L19" s="39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1"/>
      <c r="C20" s="392"/>
      <c r="D20" s="40"/>
      <c r="E20" s="41"/>
      <c r="F20" s="42"/>
      <c r="G20" s="110"/>
      <c r="H20" s="44" t="str">
        <f t="shared" si="2"/>
        <v/>
      </c>
      <c r="I20" s="404"/>
      <c r="J20" s="39"/>
      <c r="K20" s="391"/>
      <c r="L20" s="39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1"/>
      <c r="C21" s="392"/>
      <c r="D21" s="40"/>
      <c r="E21" s="41"/>
      <c r="F21" s="42"/>
      <c r="G21" s="110"/>
      <c r="H21" s="44" t="str">
        <f t="shared" si="2"/>
        <v/>
      </c>
      <c r="I21" s="404"/>
      <c r="J21" s="39"/>
      <c r="K21" s="391"/>
      <c r="L21" s="39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1"/>
      <c r="C22" s="392"/>
      <c r="D22" s="40"/>
      <c r="E22" s="41"/>
      <c r="F22" s="42"/>
      <c r="G22" s="110"/>
      <c r="H22" s="44" t="str">
        <f t="shared" si="2"/>
        <v/>
      </c>
      <c r="I22" s="404"/>
      <c r="J22" s="39"/>
      <c r="K22" s="391"/>
      <c r="L22" s="39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1"/>
      <c r="C23" s="392"/>
      <c r="D23" s="40"/>
      <c r="E23" s="41"/>
      <c r="F23" s="42"/>
      <c r="G23" s="110"/>
      <c r="H23" s="44" t="str">
        <f t="shared" si="2"/>
        <v/>
      </c>
      <c r="I23" s="404"/>
      <c r="J23" s="39"/>
      <c r="K23" s="391"/>
      <c r="L23" s="39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1"/>
      <c r="C24" s="392"/>
      <c r="D24" s="40"/>
      <c r="E24" s="41"/>
      <c r="F24" s="42"/>
      <c r="G24" s="110"/>
      <c r="H24" s="44" t="str">
        <f t="shared" si="2"/>
        <v/>
      </c>
      <c r="I24" s="404"/>
      <c r="J24" s="39"/>
      <c r="K24" s="391"/>
      <c r="L24" s="39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1"/>
      <c r="C25" s="392"/>
      <c r="D25" s="40"/>
      <c r="E25" s="41"/>
      <c r="F25" s="42"/>
      <c r="G25" s="110"/>
      <c r="H25" s="44" t="str">
        <f t="shared" si="0"/>
        <v/>
      </c>
      <c r="I25" s="404"/>
      <c r="J25" s="39"/>
      <c r="K25" s="391"/>
      <c r="L25" s="39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1"/>
      <c r="C26" s="392"/>
      <c r="D26" s="40"/>
      <c r="E26" s="41"/>
      <c r="F26" s="42"/>
      <c r="G26" s="110"/>
      <c r="H26" s="44" t="str">
        <f t="shared" si="0"/>
        <v/>
      </c>
      <c r="I26" s="404"/>
      <c r="J26" s="39"/>
      <c r="K26" s="391"/>
      <c r="L26" s="39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3"/>
      <c r="C27" s="394"/>
      <c r="D27" s="117"/>
      <c r="E27" s="93"/>
      <c r="F27" s="118"/>
      <c r="G27" s="119"/>
      <c r="H27" s="120" t="str">
        <f t="shared" si="0"/>
        <v/>
      </c>
      <c r="I27" s="404"/>
      <c r="J27" s="116"/>
      <c r="K27" s="393"/>
      <c r="L27" s="39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99"/>
      <c r="B28" s="400"/>
      <c r="C28" s="400"/>
      <c r="D28" s="401"/>
      <c r="E28" s="397" t="s">
        <v>47</v>
      </c>
      <c r="F28" s="398"/>
      <c r="G28" s="398"/>
      <c r="H28" s="5">
        <f>ROUNDUP(SUM(H4:H27)*U5,0)</f>
        <v>0</v>
      </c>
      <c r="I28" s="404"/>
      <c r="J28" s="399"/>
      <c r="K28" s="400"/>
      <c r="L28" s="400"/>
      <c r="M28" s="401"/>
      <c r="N28" s="397" t="s">
        <v>47</v>
      </c>
      <c r="O28" s="398"/>
      <c r="P28" s="398"/>
      <c r="Q28" s="5">
        <f>ROUNDUP(SUM(Q4:Q27)*X5,0)</f>
        <v>0</v>
      </c>
    </row>
    <row r="29" spans="1:17" ht="20.100000000000001" customHeight="1" x14ac:dyDescent="0.2">
      <c r="A29" s="111"/>
      <c r="B29" s="395"/>
      <c r="C29" s="39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4"/>
      <c r="J29" s="111"/>
      <c r="K29" s="395"/>
      <c r="L29" s="39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1"/>
      <c r="C30" s="39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4"/>
      <c r="J30" s="39"/>
      <c r="K30" s="391"/>
      <c r="L30" s="39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1"/>
      <c r="C31" s="392"/>
      <c r="D31" s="40"/>
      <c r="E31" s="41"/>
      <c r="F31" s="42"/>
      <c r="G31" s="110"/>
      <c r="H31" s="44" t="str">
        <f t="shared" si="4"/>
        <v/>
      </c>
      <c r="I31" s="404"/>
      <c r="J31" s="39"/>
      <c r="K31" s="391"/>
      <c r="L31" s="39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1"/>
      <c r="C32" s="392"/>
      <c r="D32" s="40"/>
      <c r="E32" s="41"/>
      <c r="F32" s="42"/>
      <c r="G32" s="110"/>
      <c r="H32" s="44" t="str">
        <f t="shared" si="4"/>
        <v/>
      </c>
      <c r="I32" s="404"/>
      <c r="J32" s="39"/>
      <c r="K32" s="391"/>
      <c r="L32" s="39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1"/>
      <c r="C33" s="392"/>
      <c r="D33" s="40"/>
      <c r="E33" s="41"/>
      <c r="F33" s="42"/>
      <c r="G33" s="110"/>
      <c r="H33" s="44" t="str">
        <f t="shared" si="4"/>
        <v/>
      </c>
      <c r="I33" s="404"/>
      <c r="J33" s="39"/>
      <c r="K33" s="391"/>
      <c r="L33" s="39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1"/>
      <c r="C34" s="392"/>
      <c r="D34" s="40"/>
      <c r="E34" s="41"/>
      <c r="F34" s="42"/>
      <c r="G34" s="110"/>
      <c r="H34" s="44" t="str">
        <f t="shared" si="4"/>
        <v/>
      </c>
      <c r="I34" s="404"/>
      <c r="J34" s="39"/>
      <c r="K34" s="391"/>
      <c r="L34" s="39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1"/>
      <c r="C35" s="392"/>
      <c r="D35" s="40"/>
      <c r="E35" s="41"/>
      <c r="F35" s="42"/>
      <c r="G35" s="110"/>
      <c r="H35" s="44" t="str">
        <f t="shared" si="4"/>
        <v/>
      </c>
      <c r="I35" s="404"/>
      <c r="J35" s="39"/>
      <c r="K35" s="391"/>
      <c r="L35" s="39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1"/>
      <c r="C36" s="392"/>
      <c r="D36" s="40"/>
      <c r="E36" s="41"/>
      <c r="F36" s="42"/>
      <c r="G36" s="110"/>
      <c r="H36" s="44" t="str">
        <f t="shared" si="4"/>
        <v/>
      </c>
      <c r="I36" s="404"/>
      <c r="J36" s="39"/>
      <c r="K36" s="391"/>
      <c r="L36" s="39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1"/>
      <c r="C37" s="392"/>
      <c r="D37" s="40"/>
      <c r="E37" s="41"/>
      <c r="F37" s="42"/>
      <c r="G37" s="110"/>
      <c r="H37" s="44" t="str">
        <f t="shared" si="4"/>
        <v/>
      </c>
      <c r="I37" s="404"/>
      <c r="J37" s="39"/>
      <c r="K37" s="391"/>
      <c r="L37" s="39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1"/>
      <c r="C38" s="392"/>
      <c r="D38" s="40"/>
      <c r="E38" s="41"/>
      <c r="F38" s="42"/>
      <c r="G38" s="110"/>
      <c r="H38" s="44" t="str">
        <f t="shared" si="4"/>
        <v/>
      </c>
      <c r="I38" s="404"/>
      <c r="J38" s="39"/>
      <c r="K38" s="391"/>
      <c r="L38" s="39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1"/>
      <c r="C39" s="392"/>
      <c r="D39" s="40"/>
      <c r="E39" s="41"/>
      <c r="F39" s="42"/>
      <c r="G39" s="110"/>
      <c r="H39" s="44" t="str">
        <f t="shared" si="4"/>
        <v/>
      </c>
      <c r="I39" s="404"/>
      <c r="J39" s="39"/>
      <c r="K39" s="391"/>
      <c r="L39" s="39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1"/>
      <c r="C40" s="392"/>
      <c r="D40" s="40"/>
      <c r="E40" s="41"/>
      <c r="F40" s="42"/>
      <c r="G40" s="110"/>
      <c r="H40" s="44" t="str">
        <f t="shared" si="4"/>
        <v/>
      </c>
      <c r="I40" s="404"/>
      <c r="J40" s="39"/>
      <c r="K40" s="391"/>
      <c r="L40" s="39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1"/>
      <c r="C41" s="39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4"/>
      <c r="J41" s="39"/>
      <c r="K41" s="391"/>
      <c r="L41" s="39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1"/>
      <c r="C42" s="392"/>
      <c r="D42" s="40"/>
      <c r="E42" s="41"/>
      <c r="F42" s="42"/>
      <c r="G42" s="110"/>
      <c r="H42" s="44" t="str">
        <f t="shared" si="6"/>
        <v/>
      </c>
      <c r="I42" s="404"/>
      <c r="J42" s="39"/>
      <c r="K42" s="391"/>
      <c r="L42" s="39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1"/>
      <c r="C43" s="392"/>
      <c r="D43" s="40"/>
      <c r="E43" s="41"/>
      <c r="F43" s="42"/>
      <c r="G43" s="110"/>
      <c r="H43" s="44" t="str">
        <f t="shared" si="6"/>
        <v/>
      </c>
      <c r="I43" s="404"/>
      <c r="J43" s="39"/>
      <c r="K43" s="391"/>
      <c r="L43" s="39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1"/>
      <c r="C44" s="392"/>
      <c r="D44" s="40"/>
      <c r="E44" s="41"/>
      <c r="F44" s="42"/>
      <c r="G44" s="110"/>
      <c r="H44" s="44" t="str">
        <f t="shared" si="6"/>
        <v/>
      </c>
      <c r="I44" s="404"/>
      <c r="J44" s="39"/>
      <c r="K44" s="391"/>
      <c r="L44" s="39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1"/>
      <c r="C45" s="392"/>
      <c r="D45" s="40"/>
      <c r="E45" s="41"/>
      <c r="F45" s="42"/>
      <c r="G45" s="110"/>
      <c r="H45" s="44" t="str">
        <f t="shared" si="6"/>
        <v/>
      </c>
      <c r="I45" s="404"/>
      <c r="J45" s="39"/>
      <c r="K45" s="391"/>
      <c r="L45" s="39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1"/>
      <c r="C46" s="392"/>
      <c r="D46" s="40"/>
      <c r="E46" s="41"/>
      <c r="F46" s="42"/>
      <c r="G46" s="110"/>
      <c r="H46" s="44" t="str">
        <f t="shared" si="6"/>
        <v/>
      </c>
      <c r="I46" s="404"/>
      <c r="J46" s="39"/>
      <c r="K46" s="391"/>
      <c r="L46" s="39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1"/>
      <c r="C47" s="392"/>
      <c r="D47" s="40"/>
      <c r="E47" s="41"/>
      <c r="F47" s="42"/>
      <c r="G47" s="110"/>
      <c r="H47" s="44" t="str">
        <f t="shared" si="6"/>
        <v/>
      </c>
      <c r="I47" s="404"/>
      <c r="J47" s="39"/>
      <c r="K47" s="391"/>
      <c r="L47" s="39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1"/>
      <c r="C48" s="392"/>
      <c r="D48" s="40"/>
      <c r="E48" s="41"/>
      <c r="F48" s="42"/>
      <c r="G48" s="110"/>
      <c r="H48" s="44" t="str">
        <f t="shared" si="6"/>
        <v/>
      </c>
      <c r="I48" s="404"/>
      <c r="J48" s="39"/>
      <c r="K48" s="391"/>
      <c r="L48" s="39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1"/>
      <c r="C49" s="392"/>
      <c r="D49" s="40"/>
      <c r="E49" s="41"/>
      <c r="F49" s="42"/>
      <c r="G49" s="110"/>
      <c r="H49" s="44" t="str">
        <f t="shared" si="6"/>
        <v/>
      </c>
      <c r="I49" s="404"/>
      <c r="J49" s="39"/>
      <c r="K49" s="391"/>
      <c r="L49" s="39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1"/>
      <c r="C50" s="392"/>
      <c r="D50" s="40"/>
      <c r="E50" s="41"/>
      <c r="F50" s="42"/>
      <c r="G50" s="110"/>
      <c r="H50" s="44" t="str">
        <f t="shared" si="6"/>
        <v/>
      </c>
      <c r="I50" s="404"/>
      <c r="J50" s="39"/>
      <c r="K50" s="391"/>
      <c r="L50" s="39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1"/>
      <c r="C51" s="392"/>
      <c r="D51" s="40"/>
      <c r="E51" s="41"/>
      <c r="F51" s="42"/>
      <c r="G51" s="110"/>
      <c r="H51" s="44" t="str">
        <f t="shared" si="6"/>
        <v/>
      </c>
      <c r="I51" s="404"/>
      <c r="J51" s="39"/>
      <c r="K51" s="391"/>
      <c r="L51" s="39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3"/>
      <c r="C52" s="394"/>
      <c r="D52" s="117"/>
      <c r="E52" s="93"/>
      <c r="F52" s="118"/>
      <c r="G52" s="119"/>
      <c r="H52" s="120" t="str">
        <f t="shared" si="6"/>
        <v/>
      </c>
      <c r="I52" s="404"/>
      <c r="J52" s="116"/>
      <c r="K52" s="393"/>
      <c r="L52" s="39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99"/>
      <c r="B53" s="400"/>
      <c r="C53" s="400"/>
      <c r="D53" s="401"/>
      <c r="E53" s="397" t="s">
        <v>47</v>
      </c>
      <c r="F53" s="398"/>
      <c r="G53" s="398"/>
      <c r="H53" s="5">
        <f>ROUNDUP(SUM(H29:H52)*U8,0)</f>
        <v>0</v>
      </c>
      <c r="I53" s="405"/>
      <c r="J53" s="399"/>
      <c r="K53" s="400"/>
      <c r="L53" s="400"/>
      <c r="M53" s="401"/>
      <c r="N53" s="397" t="s">
        <v>47</v>
      </c>
      <c r="O53" s="398"/>
      <c r="P53" s="398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1" t="s">
        <v>29</v>
      </c>
      <c r="B1" s="322"/>
      <c r="C1" s="428" t="str">
        <f ca="1">IF(ISBLANK(INDIRECT("Cover!D3")),"",INDIRECT("Cover!D3"))</f>
        <v>*</v>
      </c>
      <c r="D1" s="428"/>
      <c r="E1" s="428"/>
      <c r="F1" s="428"/>
      <c r="G1" s="428"/>
      <c r="H1" s="428"/>
      <c r="I1" s="322" t="s">
        <v>19</v>
      </c>
      <c r="J1" s="322"/>
      <c r="K1" s="333" t="str">
        <f ca="1">IF(ISBLANK(INDIRECT("Cover!O2")),"",INDIRECT("Cover!O2"))</f>
        <v>*</v>
      </c>
      <c r="L1" s="333"/>
      <c r="M1" s="334"/>
    </row>
    <row r="2" spans="1:13" ht="20.100000000000001" customHeight="1" thickBot="1" x14ac:dyDescent="0.25">
      <c r="A2" s="323" t="s">
        <v>30</v>
      </c>
      <c r="B2" s="324"/>
      <c r="C2" s="402" t="str">
        <f ca="1">IF(ISBLANK(INDIRECT("Cover!D4")),"",INDIRECT("Cover!D4"))</f>
        <v>*</v>
      </c>
      <c r="D2" s="402"/>
      <c r="E2" s="402"/>
      <c r="F2" s="402"/>
      <c r="G2" s="402"/>
      <c r="H2" s="402"/>
      <c r="I2" s="324" t="s">
        <v>36</v>
      </c>
      <c r="J2" s="324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06" t="s">
        <v>20</v>
      </c>
      <c r="C3" s="413"/>
      <c r="D3" s="407"/>
      <c r="E3" s="34" t="s">
        <v>0</v>
      </c>
      <c r="F3" s="403"/>
      <c r="G3" s="34" t="s">
        <v>15</v>
      </c>
      <c r="H3" s="406" t="s">
        <v>40</v>
      </c>
      <c r="I3" s="413"/>
      <c r="J3" s="413"/>
      <c r="K3" s="413"/>
      <c r="L3" s="407"/>
      <c r="M3" s="34" t="s">
        <v>4</v>
      </c>
    </row>
    <row r="4" spans="1:13" ht="20.100000000000001" customHeight="1" x14ac:dyDescent="0.2">
      <c r="A4" s="75"/>
      <c r="B4" s="414"/>
      <c r="C4" s="415"/>
      <c r="D4" s="416"/>
      <c r="E4" s="77"/>
      <c r="F4" s="404"/>
      <c r="G4" s="75"/>
      <c r="H4" s="414"/>
      <c r="I4" s="415"/>
      <c r="J4" s="415"/>
      <c r="K4" s="415"/>
      <c r="L4" s="416"/>
      <c r="M4" s="77"/>
    </row>
    <row r="5" spans="1:13" ht="20.100000000000001" customHeight="1" x14ac:dyDescent="0.2">
      <c r="A5" s="35"/>
      <c r="B5" s="417"/>
      <c r="C5" s="418"/>
      <c r="D5" s="419"/>
      <c r="E5" s="36"/>
      <c r="F5" s="404"/>
      <c r="G5" s="35"/>
      <c r="H5" s="417"/>
      <c r="I5" s="418"/>
      <c r="J5" s="418"/>
      <c r="K5" s="418"/>
      <c r="L5" s="419"/>
      <c r="M5" s="36"/>
    </row>
    <row r="6" spans="1:13" ht="20.100000000000001" customHeight="1" x14ac:dyDescent="0.2">
      <c r="A6" s="35"/>
      <c r="B6" s="417"/>
      <c r="C6" s="418"/>
      <c r="D6" s="419"/>
      <c r="E6" s="36"/>
      <c r="F6" s="404"/>
      <c r="G6" s="35"/>
      <c r="H6" s="417"/>
      <c r="I6" s="418"/>
      <c r="J6" s="418"/>
      <c r="K6" s="418"/>
      <c r="L6" s="419"/>
      <c r="M6" s="36"/>
    </row>
    <row r="7" spans="1:13" ht="20.100000000000001" customHeight="1" x14ac:dyDescent="0.2">
      <c r="A7" s="35"/>
      <c r="B7" s="417"/>
      <c r="C7" s="418"/>
      <c r="D7" s="419"/>
      <c r="E7" s="36"/>
      <c r="F7" s="404"/>
      <c r="G7" s="35"/>
      <c r="H7" s="417"/>
      <c r="I7" s="418"/>
      <c r="J7" s="418"/>
      <c r="K7" s="418"/>
      <c r="L7" s="419"/>
      <c r="M7" s="36"/>
    </row>
    <row r="8" spans="1:13" ht="20.100000000000001" customHeight="1" x14ac:dyDescent="0.2">
      <c r="A8" s="35"/>
      <c r="B8" s="417"/>
      <c r="C8" s="418"/>
      <c r="D8" s="419"/>
      <c r="E8" s="36"/>
      <c r="F8" s="404"/>
      <c r="G8" s="35"/>
      <c r="H8" s="417"/>
      <c r="I8" s="418"/>
      <c r="J8" s="418"/>
      <c r="K8" s="418"/>
      <c r="L8" s="419"/>
      <c r="M8" s="36"/>
    </row>
    <row r="9" spans="1:13" ht="20.100000000000001" customHeight="1" x14ac:dyDescent="0.2">
      <c r="A9" s="35"/>
      <c r="B9" s="417"/>
      <c r="C9" s="418"/>
      <c r="D9" s="419"/>
      <c r="E9" s="36"/>
      <c r="F9" s="404"/>
      <c r="G9" s="35"/>
      <c r="H9" s="417"/>
      <c r="I9" s="418"/>
      <c r="J9" s="418"/>
      <c r="K9" s="418"/>
      <c r="L9" s="419"/>
      <c r="M9" s="36"/>
    </row>
    <row r="10" spans="1:13" ht="20.100000000000001" customHeight="1" x14ac:dyDescent="0.2">
      <c r="A10" s="35"/>
      <c r="B10" s="417"/>
      <c r="C10" s="418"/>
      <c r="D10" s="419"/>
      <c r="E10" s="36"/>
      <c r="F10" s="404"/>
      <c r="G10" s="35"/>
      <c r="H10" s="417"/>
      <c r="I10" s="418"/>
      <c r="J10" s="418"/>
      <c r="K10" s="418"/>
      <c r="L10" s="419"/>
      <c r="M10" s="36"/>
    </row>
    <row r="11" spans="1:13" ht="20.100000000000001" customHeight="1" thickBot="1" x14ac:dyDescent="0.25">
      <c r="A11" s="121"/>
      <c r="B11" s="420"/>
      <c r="C11" s="421"/>
      <c r="D11" s="422"/>
      <c r="E11" s="123"/>
      <c r="F11" s="404"/>
      <c r="G11" s="121"/>
      <c r="H11" s="420"/>
      <c r="I11" s="421"/>
      <c r="J11" s="421"/>
      <c r="K11" s="421"/>
      <c r="L11" s="422"/>
      <c r="M11" s="123"/>
    </row>
    <row r="12" spans="1:13" ht="20.100000000000001" customHeight="1" thickBot="1" x14ac:dyDescent="0.25">
      <c r="A12" s="423"/>
      <c r="B12" s="424"/>
      <c r="C12" s="425"/>
      <c r="D12" s="4" t="s">
        <v>47</v>
      </c>
      <c r="E12" s="5">
        <f>ROUNDUP(SUM(E4:E11)*1.1,-3)</f>
        <v>0</v>
      </c>
      <c r="F12" s="404"/>
      <c r="G12" s="423"/>
      <c r="H12" s="424"/>
      <c r="I12" s="425"/>
      <c r="J12" s="397" t="s">
        <v>47</v>
      </c>
      <c r="K12" s="398"/>
      <c r="L12" s="398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06" t="s">
        <v>41</v>
      </c>
      <c r="C13" s="413"/>
      <c r="D13" s="407"/>
      <c r="E13" s="34" t="s">
        <v>4</v>
      </c>
      <c r="F13" s="404"/>
      <c r="G13" s="34" t="s">
        <v>15</v>
      </c>
      <c r="H13" s="406" t="s">
        <v>42</v>
      </c>
      <c r="I13" s="413"/>
      <c r="J13" s="413"/>
      <c r="K13" s="413"/>
      <c r="L13" s="407"/>
      <c r="M13" s="24" t="s">
        <v>0</v>
      </c>
    </row>
    <row r="14" spans="1:13" ht="20.100000000000001" customHeight="1" x14ac:dyDescent="0.2">
      <c r="A14" s="75"/>
      <c r="B14" s="414"/>
      <c r="C14" s="415"/>
      <c r="D14" s="416"/>
      <c r="E14" s="77"/>
      <c r="F14" s="404"/>
      <c r="G14" s="75"/>
      <c r="H14" s="414"/>
      <c r="I14" s="415"/>
      <c r="J14" s="415"/>
      <c r="K14" s="415"/>
      <c r="L14" s="416"/>
      <c r="M14" s="77"/>
    </row>
    <row r="15" spans="1:13" ht="20.100000000000001" customHeight="1" x14ac:dyDescent="0.2">
      <c r="A15" s="35"/>
      <c r="B15" s="417"/>
      <c r="C15" s="418"/>
      <c r="D15" s="419"/>
      <c r="E15" s="36"/>
      <c r="F15" s="404"/>
      <c r="G15" s="35"/>
      <c r="H15" s="417"/>
      <c r="I15" s="418"/>
      <c r="J15" s="418"/>
      <c r="K15" s="418"/>
      <c r="L15" s="419"/>
      <c r="M15" s="36"/>
    </row>
    <row r="16" spans="1:13" ht="20.100000000000001" customHeight="1" x14ac:dyDescent="0.2">
      <c r="A16" s="35"/>
      <c r="B16" s="417"/>
      <c r="C16" s="418"/>
      <c r="D16" s="419"/>
      <c r="E16" s="36"/>
      <c r="F16" s="404"/>
      <c r="G16" s="35"/>
      <c r="H16" s="417"/>
      <c r="I16" s="418"/>
      <c r="J16" s="418"/>
      <c r="K16" s="418"/>
      <c r="L16" s="419"/>
      <c r="M16" s="36"/>
    </row>
    <row r="17" spans="1:13" ht="20.100000000000001" customHeight="1" x14ac:dyDescent="0.2">
      <c r="A17" s="35"/>
      <c r="B17" s="417"/>
      <c r="C17" s="418"/>
      <c r="D17" s="419"/>
      <c r="E17" s="36"/>
      <c r="F17" s="404"/>
      <c r="G17" s="35"/>
      <c r="H17" s="417"/>
      <c r="I17" s="418"/>
      <c r="J17" s="418"/>
      <c r="K17" s="418"/>
      <c r="L17" s="419"/>
      <c r="M17" s="36"/>
    </row>
    <row r="18" spans="1:13" ht="20.100000000000001" customHeight="1" x14ac:dyDescent="0.2">
      <c r="A18" s="35"/>
      <c r="B18" s="417"/>
      <c r="C18" s="418"/>
      <c r="D18" s="419"/>
      <c r="E18" s="36"/>
      <c r="F18" s="404"/>
      <c r="G18" s="35"/>
      <c r="H18" s="417"/>
      <c r="I18" s="418"/>
      <c r="J18" s="418"/>
      <c r="K18" s="418"/>
      <c r="L18" s="419"/>
      <c r="M18" s="36"/>
    </row>
    <row r="19" spans="1:13" ht="20.100000000000001" customHeight="1" x14ac:dyDescent="0.2">
      <c r="A19" s="35"/>
      <c r="B19" s="417"/>
      <c r="C19" s="418"/>
      <c r="D19" s="419"/>
      <c r="E19" s="36"/>
      <c r="F19" s="404"/>
      <c r="G19" s="35"/>
      <c r="H19" s="417"/>
      <c r="I19" s="418"/>
      <c r="J19" s="418"/>
      <c r="K19" s="418"/>
      <c r="L19" s="419"/>
      <c r="M19" s="36"/>
    </row>
    <row r="20" spans="1:13" ht="20.100000000000001" customHeight="1" x14ac:dyDescent="0.2">
      <c r="A20" s="35"/>
      <c r="B20" s="417"/>
      <c r="C20" s="418"/>
      <c r="D20" s="419"/>
      <c r="E20" s="36"/>
      <c r="F20" s="404"/>
      <c r="G20" s="35"/>
      <c r="H20" s="417"/>
      <c r="I20" s="418"/>
      <c r="J20" s="418"/>
      <c r="K20" s="418"/>
      <c r="L20" s="419"/>
      <c r="M20" s="36"/>
    </row>
    <row r="21" spans="1:13" ht="20.100000000000001" customHeight="1" thickBot="1" x14ac:dyDescent="0.25">
      <c r="A21" s="121"/>
      <c r="B21" s="420"/>
      <c r="C21" s="421"/>
      <c r="D21" s="422"/>
      <c r="E21" s="123"/>
      <c r="F21" s="404"/>
      <c r="G21" s="121"/>
      <c r="H21" s="420"/>
      <c r="I21" s="421"/>
      <c r="J21" s="421"/>
      <c r="K21" s="421"/>
      <c r="L21" s="422"/>
      <c r="M21" s="123"/>
    </row>
    <row r="22" spans="1:13" ht="20.100000000000001" customHeight="1" thickBot="1" x14ac:dyDescent="0.25">
      <c r="A22" s="423"/>
      <c r="B22" s="424"/>
      <c r="C22" s="425"/>
      <c r="D22" s="4" t="s">
        <v>47</v>
      </c>
      <c r="E22" s="5">
        <f>ROUNDUP(SUM(E14:E21)*1.02,-1)</f>
        <v>0</v>
      </c>
      <c r="F22" s="404"/>
      <c r="G22" s="423"/>
      <c r="H22" s="424"/>
      <c r="I22" s="425"/>
      <c r="J22" s="397" t="s">
        <v>47</v>
      </c>
      <c r="K22" s="398"/>
      <c r="L22" s="398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06" t="s">
        <v>37</v>
      </c>
      <c r="C23" s="413"/>
      <c r="D23" s="407"/>
      <c r="E23" s="34" t="s">
        <v>4</v>
      </c>
      <c r="F23" s="404"/>
      <c r="G23" s="34" t="s">
        <v>15</v>
      </c>
      <c r="H23" s="406" t="s">
        <v>38</v>
      </c>
      <c r="I23" s="413"/>
      <c r="J23" s="413"/>
      <c r="K23" s="413"/>
      <c r="L23" s="407"/>
      <c r="M23" s="34" t="s">
        <v>4</v>
      </c>
    </row>
    <row r="24" spans="1:13" ht="20.100000000000001" customHeight="1" x14ac:dyDescent="0.2">
      <c r="A24" s="75"/>
      <c r="B24" s="414"/>
      <c r="C24" s="415"/>
      <c r="D24" s="416"/>
      <c r="E24" s="77"/>
      <c r="F24" s="404"/>
      <c r="G24" s="75"/>
      <c r="H24" s="414"/>
      <c r="I24" s="415"/>
      <c r="J24" s="415"/>
      <c r="K24" s="415"/>
      <c r="L24" s="416"/>
      <c r="M24" s="77"/>
    </row>
    <row r="25" spans="1:13" ht="20.100000000000001" customHeight="1" x14ac:dyDescent="0.2">
      <c r="A25" s="35"/>
      <c r="B25" s="417"/>
      <c r="C25" s="418"/>
      <c r="D25" s="419"/>
      <c r="E25" s="36"/>
      <c r="F25" s="404"/>
      <c r="G25" s="35"/>
      <c r="H25" s="417"/>
      <c r="I25" s="418"/>
      <c r="J25" s="418"/>
      <c r="K25" s="418"/>
      <c r="L25" s="419"/>
      <c r="M25" s="36"/>
    </row>
    <row r="26" spans="1:13" ht="20.100000000000001" customHeight="1" x14ac:dyDescent="0.2">
      <c r="A26" s="35"/>
      <c r="B26" s="417"/>
      <c r="C26" s="418"/>
      <c r="D26" s="419"/>
      <c r="E26" s="36"/>
      <c r="F26" s="404"/>
      <c r="G26" s="35"/>
      <c r="H26" s="417"/>
      <c r="I26" s="418"/>
      <c r="J26" s="418"/>
      <c r="K26" s="418"/>
      <c r="L26" s="419"/>
      <c r="M26" s="36"/>
    </row>
    <row r="27" spans="1:13" ht="20.100000000000001" customHeight="1" x14ac:dyDescent="0.2">
      <c r="A27" s="35"/>
      <c r="B27" s="417"/>
      <c r="C27" s="418"/>
      <c r="D27" s="419"/>
      <c r="E27" s="36"/>
      <c r="F27" s="404"/>
      <c r="G27" s="35"/>
      <c r="H27" s="417"/>
      <c r="I27" s="418"/>
      <c r="J27" s="418"/>
      <c r="K27" s="418"/>
      <c r="L27" s="419"/>
      <c r="M27" s="36"/>
    </row>
    <row r="28" spans="1:13" ht="20.100000000000001" customHeight="1" x14ac:dyDescent="0.2">
      <c r="A28" s="35"/>
      <c r="B28" s="417"/>
      <c r="C28" s="418"/>
      <c r="D28" s="419"/>
      <c r="E28" s="36"/>
      <c r="F28" s="404"/>
      <c r="G28" s="35"/>
      <c r="H28" s="417"/>
      <c r="I28" s="418"/>
      <c r="J28" s="418"/>
      <c r="K28" s="418"/>
      <c r="L28" s="419"/>
      <c r="M28" s="36"/>
    </row>
    <row r="29" spans="1:13" ht="20.100000000000001" customHeight="1" x14ac:dyDescent="0.2">
      <c r="A29" s="35"/>
      <c r="B29" s="417"/>
      <c r="C29" s="418"/>
      <c r="D29" s="419"/>
      <c r="E29" s="36"/>
      <c r="F29" s="404"/>
      <c r="G29" s="35"/>
      <c r="H29" s="417"/>
      <c r="I29" s="418"/>
      <c r="J29" s="418"/>
      <c r="K29" s="418"/>
      <c r="L29" s="419"/>
      <c r="M29" s="36"/>
    </row>
    <row r="30" spans="1:13" ht="20.100000000000001" customHeight="1" x14ac:dyDescent="0.2">
      <c r="A30" s="35"/>
      <c r="B30" s="417"/>
      <c r="C30" s="418"/>
      <c r="D30" s="419"/>
      <c r="E30" s="36"/>
      <c r="F30" s="404"/>
      <c r="G30" s="35"/>
      <c r="H30" s="417"/>
      <c r="I30" s="418"/>
      <c r="J30" s="418"/>
      <c r="K30" s="418"/>
      <c r="L30" s="419"/>
      <c r="M30" s="36"/>
    </row>
    <row r="31" spans="1:13" ht="20.100000000000001" customHeight="1" thickBot="1" x14ac:dyDescent="0.25">
      <c r="A31" s="121"/>
      <c r="B31" s="420"/>
      <c r="C31" s="421"/>
      <c r="D31" s="422"/>
      <c r="E31" s="123"/>
      <c r="F31" s="404"/>
      <c r="G31" s="121"/>
      <c r="H31" s="420"/>
      <c r="I31" s="421"/>
      <c r="J31" s="421"/>
      <c r="K31" s="421"/>
      <c r="L31" s="422"/>
      <c r="M31" s="123"/>
    </row>
    <row r="32" spans="1:13" ht="20.100000000000001" customHeight="1" thickBot="1" x14ac:dyDescent="0.25">
      <c r="A32" s="423"/>
      <c r="B32" s="424"/>
      <c r="C32" s="425"/>
      <c r="D32" s="4" t="s">
        <v>47</v>
      </c>
      <c r="E32" s="5">
        <f>ROUNDUP(SUM(E24:E31)*1.02,-1)</f>
        <v>0</v>
      </c>
      <c r="F32" s="404"/>
      <c r="G32" s="423"/>
      <c r="H32" s="424"/>
      <c r="I32" s="425"/>
      <c r="J32" s="397" t="s">
        <v>47</v>
      </c>
      <c r="K32" s="426"/>
      <c r="L32" s="426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06" t="s">
        <v>49</v>
      </c>
      <c r="C33" s="413"/>
      <c r="D33" s="407"/>
      <c r="E33" s="34" t="s">
        <v>48</v>
      </c>
      <c r="F33" s="404"/>
      <c r="G33" s="34" t="s">
        <v>15</v>
      </c>
      <c r="H33" s="406" t="s">
        <v>39</v>
      </c>
      <c r="I33" s="413"/>
      <c r="J33" s="413"/>
      <c r="K33" s="413"/>
      <c r="L33" s="407"/>
      <c r="M33" s="34" t="s">
        <v>4</v>
      </c>
    </row>
    <row r="34" spans="1:13" ht="20.100000000000001" customHeight="1" x14ac:dyDescent="0.2">
      <c r="A34" s="75"/>
      <c r="B34" s="414"/>
      <c r="C34" s="415"/>
      <c r="D34" s="416"/>
      <c r="E34" s="77"/>
      <c r="F34" s="404"/>
      <c r="G34" s="75"/>
      <c r="H34" s="414"/>
      <c r="I34" s="415"/>
      <c r="J34" s="415"/>
      <c r="K34" s="415"/>
      <c r="L34" s="416"/>
      <c r="M34" s="77"/>
    </row>
    <row r="35" spans="1:13" ht="20.100000000000001" customHeight="1" x14ac:dyDescent="0.2">
      <c r="A35" s="35"/>
      <c r="B35" s="417"/>
      <c r="C35" s="418"/>
      <c r="D35" s="419"/>
      <c r="E35" s="36"/>
      <c r="F35" s="404"/>
      <c r="G35" s="35"/>
      <c r="H35" s="417"/>
      <c r="I35" s="418"/>
      <c r="J35" s="418"/>
      <c r="K35" s="418"/>
      <c r="L35" s="419"/>
      <c r="M35" s="36"/>
    </row>
    <row r="36" spans="1:13" ht="20.100000000000001" customHeight="1" x14ac:dyDescent="0.2">
      <c r="A36" s="35"/>
      <c r="B36" s="417"/>
      <c r="C36" s="418"/>
      <c r="D36" s="419"/>
      <c r="E36" s="36"/>
      <c r="F36" s="404"/>
      <c r="G36" s="35"/>
      <c r="H36" s="417"/>
      <c r="I36" s="418"/>
      <c r="J36" s="418"/>
      <c r="K36" s="418"/>
      <c r="L36" s="419"/>
      <c r="M36" s="36"/>
    </row>
    <row r="37" spans="1:13" ht="20.100000000000001" customHeight="1" x14ac:dyDescent="0.2">
      <c r="A37" s="35"/>
      <c r="B37" s="417"/>
      <c r="C37" s="418"/>
      <c r="D37" s="419"/>
      <c r="E37" s="36"/>
      <c r="F37" s="404"/>
      <c r="G37" s="35"/>
      <c r="H37" s="417"/>
      <c r="I37" s="418"/>
      <c r="J37" s="418"/>
      <c r="K37" s="418"/>
      <c r="L37" s="419"/>
      <c r="M37" s="36"/>
    </row>
    <row r="38" spans="1:13" ht="20.100000000000001" customHeight="1" x14ac:dyDescent="0.2">
      <c r="A38" s="35"/>
      <c r="B38" s="417"/>
      <c r="C38" s="418"/>
      <c r="D38" s="419"/>
      <c r="E38" s="36"/>
      <c r="F38" s="404"/>
      <c r="G38" s="35"/>
      <c r="H38" s="417"/>
      <c r="I38" s="418"/>
      <c r="J38" s="418"/>
      <c r="K38" s="418"/>
      <c r="L38" s="419"/>
      <c r="M38" s="36"/>
    </row>
    <row r="39" spans="1:13" ht="20.100000000000001" customHeight="1" x14ac:dyDescent="0.2">
      <c r="A39" s="35"/>
      <c r="B39" s="417"/>
      <c r="C39" s="418"/>
      <c r="D39" s="419"/>
      <c r="E39" s="36"/>
      <c r="F39" s="404"/>
      <c r="G39" s="35"/>
      <c r="H39" s="417"/>
      <c r="I39" s="418"/>
      <c r="J39" s="418"/>
      <c r="K39" s="418"/>
      <c r="L39" s="419"/>
      <c r="M39" s="36"/>
    </row>
    <row r="40" spans="1:13" ht="20.100000000000001" customHeight="1" x14ac:dyDescent="0.2">
      <c r="A40" s="35"/>
      <c r="B40" s="417"/>
      <c r="C40" s="418"/>
      <c r="D40" s="419"/>
      <c r="E40" s="36"/>
      <c r="F40" s="404"/>
      <c r="G40" s="35"/>
      <c r="H40" s="417"/>
      <c r="I40" s="418"/>
      <c r="J40" s="418"/>
      <c r="K40" s="418"/>
      <c r="L40" s="419"/>
      <c r="M40" s="36"/>
    </row>
    <row r="41" spans="1:13" ht="20.100000000000001" customHeight="1" thickBot="1" x14ac:dyDescent="0.25">
      <c r="A41" s="121"/>
      <c r="B41" s="420"/>
      <c r="C41" s="421"/>
      <c r="D41" s="422"/>
      <c r="E41" s="123"/>
      <c r="F41" s="404"/>
      <c r="G41" s="121"/>
      <c r="H41" s="420"/>
      <c r="I41" s="421"/>
      <c r="J41" s="421"/>
      <c r="K41" s="421"/>
      <c r="L41" s="422"/>
      <c r="M41" s="123"/>
    </row>
    <row r="42" spans="1:13" ht="20.100000000000001" customHeight="1" thickBot="1" x14ac:dyDescent="0.25">
      <c r="A42" s="423"/>
      <c r="B42" s="424"/>
      <c r="C42" s="425"/>
      <c r="D42" s="4" t="s">
        <v>47</v>
      </c>
      <c r="E42" s="5">
        <f>SUM(E34:E41)</f>
        <v>0</v>
      </c>
      <c r="F42" s="404"/>
      <c r="G42" s="423"/>
      <c r="H42" s="424"/>
      <c r="I42" s="425"/>
      <c r="J42" s="397" t="s">
        <v>47</v>
      </c>
      <c r="K42" s="398"/>
      <c r="L42" s="398"/>
      <c r="M42" s="5">
        <f>ROUNDUP(SUM(M34:M41)*1.02,-1)</f>
        <v>0</v>
      </c>
    </row>
    <row r="43" spans="1:13" ht="20.100000000000001" customHeight="1" thickBot="1" x14ac:dyDescent="0.3">
      <c r="A43" s="429" t="s">
        <v>24</v>
      </c>
      <c r="B43" s="430"/>
      <c r="C43" s="430"/>
      <c r="D43" s="430"/>
      <c r="E43" s="431"/>
      <c r="F43" s="404"/>
      <c r="G43" s="429" t="s">
        <v>24</v>
      </c>
      <c r="H43" s="430"/>
      <c r="I43" s="430"/>
      <c r="J43" s="430"/>
      <c r="K43" s="430"/>
      <c r="L43" s="430"/>
      <c r="M43" s="431"/>
    </row>
    <row r="44" spans="1:13" ht="20.100000000000001" customHeight="1" thickBot="1" x14ac:dyDescent="0.3">
      <c r="A44" s="34" t="s">
        <v>15</v>
      </c>
      <c r="B44" s="427" t="s">
        <v>16</v>
      </c>
      <c r="C44" s="427"/>
      <c r="D44" s="34" t="s">
        <v>12</v>
      </c>
      <c r="E44" s="34" t="s">
        <v>0</v>
      </c>
      <c r="F44" s="404"/>
      <c r="G44" s="34" t="s">
        <v>15</v>
      </c>
      <c r="H44" s="427" t="s">
        <v>16</v>
      </c>
      <c r="I44" s="427"/>
      <c r="J44" s="406" t="s">
        <v>12</v>
      </c>
      <c r="K44" s="413"/>
      <c r="L44" s="407"/>
      <c r="M44" s="34" t="s">
        <v>0</v>
      </c>
    </row>
    <row r="45" spans="1:13" ht="20.100000000000001" customHeight="1" x14ac:dyDescent="0.2">
      <c r="A45" s="75"/>
      <c r="B45" s="414"/>
      <c r="C45" s="416"/>
      <c r="D45" s="76"/>
      <c r="E45" s="77"/>
      <c r="F45" s="404"/>
      <c r="G45" s="75"/>
      <c r="H45" s="414"/>
      <c r="I45" s="416"/>
      <c r="J45" s="414"/>
      <c r="K45" s="415"/>
      <c r="L45" s="416"/>
      <c r="M45" s="77"/>
    </row>
    <row r="46" spans="1:13" ht="20.100000000000001" customHeight="1" x14ac:dyDescent="0.2">
      <c r="A46" s="35"/>
      <c r="B46" s="417"/>
      <c r="C46" s="419"/>
      <c r="D46" s="76"/>
      <c r="E46" s="36"/>
      <c r="F46" s="404"/>
      <c r="G46" s="35"/>
      <c r="H46" s="417"/>
      <c r="I46" s="419"/>
      <c r="J46" s="417"/>
      <c r="K46" s="418"/>
      <c r="L46" s="419"/>
      <c r="M46" s="36"/>
    </row>
    <row r="47" spans="1:13" ht="20.100000000000001" customHeight="1" x14ac:dyDescent="0.2">
      <c r="A47" s="35"/>
      <c r="B47" s="417"/>
      <c r="C47" s="419"/>
      <c r="D47" s="122"/>
      <c r="E47" s="123"/>
      <c r="F47" s="404"/>
      <c r="G47" s="35"/>
      <c r="H47" s="417"/>
      <c r="I47" s="419"/>
      <c r="J47" s="417"/>
      <c r="K47" s="418"/>
      <c r="L47" s="419"/>
      <c r="M47" s="36"/>
    </row>
    <row r="48" spans="1:13" ht="20.100000000000001" customHeight="1" thickBot="1" x14ac:dyDescent="0.25">
      <c r="A48" s="121"/>
      <c r="B48" s="420"/>
      <c r="C48" s="422"/>
      <c r="D48" s="122"/>
      <c r="E48" s="123"/>
      <c r="F48" s="404"/>
      <c r="G48" s="121"/>
      <c r="H48" s="420"/>
      <c r="I48" s="422"/>
      <c r="J48" s="420"/>
      <c r="K48" s="421"/>
      <c r="L48" s="422"/>
      <c r="M48" s="123"/>
    </row>
    <row r="49" spans="1:13" ht="20.100000000000001" customHeight="1" thickBot="1" x14ac:dyDescent="0.25">
      <c r="A49" s="423"/>
      <c r="B49" s="424"/>
      <c r="C49" s="425"/>
      <c r="D49" s="4" t="s">
        <v>47</v>
      </c>
      <c r="E49" s="5">
        <f>SUM(E44:E48)</f>
        <v>0</v>
      </c>
      <c r="F49" s="405"/>
      <c r="G49" s="423"/>
      <c r="H49" s="424"/>
      <c r="I49" s="425"/>
      <c r="J49" s="397" t="s">
        <v>47</v>
      </c>
      <c r="K49" s="398"/>
      <c r="L49" s="398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2" sqref="D2:G2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41" t="s">
        <v>52</v>
      </c>
      <c r="B1" s="442"/>
      <c r="C1" s="442"/>
      <c r="D1" s="443" t="s">
        <v>120</v>
      </c>
      <c r="E1" s="443"/>
      <c r="F1" s="443"/>
      <c r="G1" s="443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7" t="s">
        <v>207</v>
      </c>
      <c r="B2" s="448"/>
      <c r="C2" s="448"/>
      <c r="D2" s="449" t="s">
        <v>82</v>
      </c>
      <c r="E2" s="449"/>
      <c r="F2" s="449"/>
      <c r="G2" s="449"/>
      <c r="H2" s="432" t="s">
        <v>143</v>
      </c>
      <c r="I2" s="432"/>
      <c r="J2" s="433" t="str">
        <f ca="1">INDEX(INDIRECT("ProjectTypes[Category]"),MATCH(INDIRECT("ProjectCat"),INDIRECT("ProjectTypes[Type]"),0))</f>
        <v/>
      </c>
      <c r="K2" s="433"/>
      <c r="L2" s="433"/>
      <c r="M2" s="440" t="s">
        <v>55</v>
      </c>
      <c r="N2" s="440"/>
      <c r="O2" s="445" t="s">
        <v>120</v>
      </c>
      <c r="P2" s="445"/>
      <c r="Q2" s="445"/>
      <c r="R2" s="446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39" t="s">
        <v>62</v>
      </c>
      <c r="B3" s="440"/>
      <c r="C3" s="440"/>
      <c r="D3" s="453" t="s">
        <v>120</v>
      </c>
      <c r="E3" s="453"/>
      <c r="F3" s="453"/>
      <c r="G3" s="453"/>
      <c r="H3" s="453"/>
      <c r="I3" s="453"/>
      <c r="J3" s="453"/>
      <c r="K3" s="453"/>
      <c r="L3" s="453"/>
      <c r="M3" s="440" t="s">
        <v>56</v>
      </c>
      <c r="N3" s="440"/>
      <c r="O3" s="454" t="s">
        <v>120</v>
      </c>
      <c r="P3" s="454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39" t="s">
        <v>53</v>
      </c>
      <c r="B4" s="440"/>
      <c r="C4" s="440"/>
      <c r="D4" s="453" t="s">
        <v>120</v>
      </c>
      <c r="E4" s="453"/>
      <c r="F4" s="453"/>
      <c r="G4" s="453"/>
      <c r="H4" s="453"/>
      <c r="I4" s="453"/>
      <c r="J4" s="453"/>
      <c r="K4" s="453"/>
      <c r="L4" s="453"/>
      <c r="M4" s="440" t="s">
        <v>57</v>
      </c>
      <c r="N4" s="440"/>
      <c r="O4" s="453" t="s">
        <v>120</v>
      </c>
      <c r="P4" s="453"/>
      <c r="Q4" s="453"/>
      <c r="R4" s="457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39" t="s">
        <v>54</v>
      </c>
      <c r="B5" s="440"/>
      <c r="C5" s="440"/>
      <c r="D5" s="453" t="s">
        <v>120</v>
      </c>
      <c r="E5" s="453"/>
      <c r="F5" s="453"/>
      <c r="G5" s="453"/>
      <c r="H5" s="453"/>
      <c r="I5" s="453"/>
      <c r="J5" s="453"/>
      <c r="K5" s="453"/>
      <c r="L5" s="453"/>
      <c r="M5" s="440" t="s">
        <v>71</v>
      </c>
      <c r="N5" s="440"/>
      <c r="O5" s="440"/>
      <c r="P5" s="440"/>
      <c r="Q5" s="436" t="s">
        <v>119</v>
      </c>
      <c r="R5" s="455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6"/>
      <c r="B6" s="467"/>
      <c r="C6" s="467"/>
      <c r="D6" s="453"/>
      <c r="E6" s="453"/>
      <c r="F6" s="453"/>
      <c r="G6" s="453"/>
      <c r="H6" s="453"/>
      <c r="I6" s="453"/>
      <c r="J6" s="453"/>
      <c r="K6" s="453"/>
      <c r="L6" s="453"/>
      <c r="M6" s="440" t="s">
        <v>83</v>
      </c>
      <c r="N6" s="440"/>
      <c r="O6" s="440"/>
      <c r="P6" s="440"/>
      <c r="Q6" s="454" t="s">
        <v>120</v>
      </c>
      <c r="R6" s="463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8"/>
      <c r="B7" s="469"/>
      <c r="C7" s="469"/>
      <c r="D7" s="453"/>
      <c r="E7" s="453"/>
      <c r="F7" s="453"/>
      <c r="G7" s="453"/>
      <c r="H7" s="453"/>
      <c r="I7" s="453"/>
      <c r="J7" s="453"/>
      <c r="K7" s="453"/>
      <c r="L7" s="453"/>
      <c r="M7" s="440"/>
      <c r="N7" s="440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7" t="s">
        <v>63</v>
      </c>
      <c r="B8" s="473"/>
      <c r="C8" s="473"/>
      <c r="D8" s="445" t="s">
        <v>120</v>
      </c>
      <c r="E8" s="445"/>
      <c r="F8" s="445"/>
      <c r="G8" s="473" t="s">
        <v>60</v>
      </c>
      <c r="H8" s="473"/>
      <c r="I8" s="449" t="s">
        <v>120</v>
      </c>
      <c r="J8" s="449"/>
      <c r="K8" s="473" t="s">
        <v>58</v>
      </c>
      <c r="L8" s="473"/>
      <c r="M8" s="449" t="s">
        <v>120</v>
      </c>
      <c r="N8" s="464"/>
      <c r="O8" s="464"/>
      <c r="P8" s="464"/>
      <c r="Q8" s="464"/>
      <c r="R8" s="465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39" t="s">
        <v>64</v>
      </c>
      <c r="B9" s="440"/>
      <c r="C9" s="440"/>
      <c r="D9" s="436" t="s">
        <v>120</v>
      </c>
      <c r="E9" s="436"/>
      <c r="F9" s="436"/>
      <c r="G9" s="440" t="s">
        <v>61</v>
      </c>
      <c r="H9" s="440"/>
      <c r="I9" s="436" t="s">
        <v>120</v>
      </c>
      <c r="J9" s="436"/>
      <c r="K9" s="440" t="s">
        <v>59</v>
      </c>
      <c r="L9" s="440"/>
      <c r="M9" s="436" t="s">
        <v>120</v>
      </c>
      <c r="N9" s="437"/>
      <c r="O9" s="437"/>
      <c r="P9" s="437"/>
      <c r="Q9" s="437"/>
      <c r="R9" s="43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39" t="s">
        <v>65</v>
      </c>
      <c r="B10" s="440"/>
      <c r="C10" s="440"/>
      <c r="D10" s="436" t="s">
        <v>120</v>
      </c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55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75"/>
      <c r="B11" s="476"/>
      <c r="C11" s="476"/>
      <c r="D11" s="436"/>
      <c r="E11" s="436"/>
      <c r="F11" s="436"/>
      <c r="G11" s="436"/>
      <c r="H11" s="436"/>
      <c r="I11" s="436"/>
      <c r="J11" s="436"/>
      <c r="K11" s="436"/>
      <c r="L11" s="436"/>
      <c r="M11" s="436"/>
      <c r="N11" s="436"/>
      <c r="O11" s="436"/>
      <c r="P11" s="436"/>
      <c r="Q11" s="436"/>
      <c r="R11" s="455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39" t="s">
        <v>72</v>
      </c>
      <c r="B12" s="440"/>
      <c r="C12" s="440"/>
      <c r="D12" s="474" t="s">
        <v>120</v>
      </c>
      <c r="E12" s="474"/>
      <c r="F12" s="474"/>
      <c r="G12" s="474"/>
      <c r="H12" s="474"/>
      <c r="I12" s="474"/>
      <c r="J12" s="474"/>
      <c r="K12" s="440" t="s">
        <v>222</v>
      </c>
      <c r="L12" s="440"/>
      <c r="M12" s="436"/>
      <c r="N12" s="437"/>
      <c r="O12" s="437"/>
      <c r="P12" s="437"/>
      <c r="Q12" s="437"/>
      <c r="R12" s="438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1" t="s">
        <v>66</v>
      </c>
      <c r="B13" s="462"/>
      <c r="C13" s="458" t="s">
        <v>35</v>
      </c>
      <c r="D13" s="458"/>
      <c r="E13" s="458"/>
      <c r="F13" s="459" t="s">
        <v>120</v>
      </c>
      <c r="G13" s="459"/>
      <c r="H13" s="459"/>
      <c r="I13" s="459"/>
      <c r="J13" s="459"/>
      <c r="K13" s="459"/>
      <c r="L13" s="459"/>
      <c r="M13" s="459"/>
      <c r="N13" s="459"/>
      <c r="O13" s="459"/>
      <c r="P13" s="459"/>
      <c r="Q13" s="459"/>
      <c r="R13" s="460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50" t="s">
        <v>134</v>
      </c>
      <c r="C14" s="451"/>
      <c r="D14" s="451"/>
      <c r="E14" s="451"/>
      <c r="F14" s="451"/>
      <c r="G14" s="451"/>
      <c r="H14" s="451"/>
      <c r="I14" s="451"/>
      <c r="J14" s="451"/>
      <c r="K14" s="451"/>
      <c r="L14" s="451"/>
      <c r="M14" s="451"/>
      <c r="N14" s="451"/>
      <c r="O14" s="451"/>
      <c r="P14" s="451"/>
      <c r="Q14" s="451"/>
      <c r="R14" s="452"/>
      <c r="S14" s="131"/>
    </row>
    <row r="15" spans="1:33" s="18" customFormat="1" ht="20.100000000000001" customHeight="1" x14ac:dyDescent="0.2">
      <c r="A15" s="125" t="s">
        <v>133</v>
      </c>
      <c r="B15" s="450" t="s">
        <v>135</v>
      </c>
      <c r="C15" s="451"/>
      <c r="D15" s="451"/>
      <c r="E15" s="451"/>
      <c r="F15" s="451"/>
      <c r="G15" s="451"/>
      <c r="H15" s="451"/>
      <c r="I15" s="451"/>
      <c r="J15" s="451"/>
      <c r="K15" s="451"/>
      <c r="L15" s="451"/>
      <c r="M15" s="451"/>
      <c r="N15" s="451"/>
      <c r="O15" s="451"/>
      <c r="P15" s="451"/>
      <c r="Q15" s="451"/>
      <c r="R15" s="452"/>
      <c r="S15" s="131"/>
    </row>
    <row r="16" spans="1:33" s="18" customFormat="1" ht="20.100000000000001" customHeight="1" x14ac:dyDescent="0.2">
      <c r="A16" s="125" t="s">
        <v>133</v>
      </c>
      <c r="B16" s="450" t="s">
        <v>136</v>
      </c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M16" s="451"/>
      <c r="N16" s="451"/>
      <c r="O16" s="451"/>
      <c r="P16" s="451"/>
      <c r="Q16" s="451"/>
      <c r="R16" s="452"/>
      <c r="S16" s="131"/>
    </row>
    <row r="17" spans="1:19" s="18" customFormat="1" ht="20.100000000000001" customHeight="1" x14ac:dyDescent="0.2">
      <c r="A17" s="125"/>
      <c r="B17" s="451"/>
      <c r="C17" s="451"/>
      <c r="D17" s="451"/>
      <c r="E17" s="451"/>
      <c r="F17" s="451"/>
      <c r="G17" s="451"/>
      <c r="H17" s="451"/>
      <c r="I17" s="451"/>
      <c r="J17" s="451"/>
      <c r="K17" s="451"/>
      <c r="L17" s="451"/>
      <c r="M17" s="451"/>
      <c r="N17" s="451"/>
      <c r="O17" s="451"/>
      <c r="P17" s="451"/>
      <c r="Q17" s="451"/>
      <c r="R17" s="452"/>
      <c r="S17" s="131"/>
    </row>
    <row r="18" spans="1:19" s="18" customFormat="1" ht="20.100000000000001" customHeight="1" x14ac:dyDescent="0.2">
      <c r="A18" s="125"/>
      <c r="B18" s="451"/>
      <c r="C18" s="451"/>
      <c r="D18" s="451"/>
      <c r="E18" s="451"/>
      <c r="F18" s="451"/>
      <c r="G18" s="451"/>
      <c r="H18" s="451"/>
      <c r="I18" s="451"/>
      <c r="J18" s="451"/>
      <c r="K18" s="451"/>
      <c r="L18" s="451"/>
      <c r="M18" s="451"/>
      <c r="N18" s="451"/>
      <c r="O18" s="451"/>
      <c r="P18" s="451"/>
      <c r="Q18" s="451"/>
      <c r="R18" s="452"/>
      <c r="S18" s="131"/>
    </row>
    <row r="19" spans="1:19" s="18" customFormat="1" ht="20.100000000000001" customHeight="1" x14ac:dyDescent="0.2">
      <c r="A19" s="125"/>
      <c r="B19" s="451"/>
      <c r="C19" s="451"/>
      <c r="D19" s="451"/>
      <c r="E19" s="451"/>
      <c r="F19" s="451"/>
      <c r="G19" s="451"/>
      <c r="H19" s="451"/>
      <c r="I19" s="451"/>
      <c r="J19" s="451"/>
      <c r="K19" s="451"/>
      <c r="L19" s="451"/>
      <c r="M19" s="451"/>
      <c r="N19" s="451"/>
      <c r="O19" s="451"/>
      <c r="P19" s="451"/>
      <c r="Q19" s="451"/>
      <c r="R19" s="452"/>
      <c r="S19" s="131"/>
    </row>
    <row r="20" spans="1:19" s="18" customFormat="1" ht="20.100000000000001" customHeight="1" x14ac:dyDescent="0.2">
      <c r="A20" s="125"/>
      <c r="B20" s="451"/>
      <c r="C20" s="451"/>
      <c r="D20" s="451"/>
      <c r="E20" s="451"/>
      <c r="F20" s="451"/>
      <c r="G20" s="451"/>
      <c r="H20" s="451"/>
      <c r="I20" s="451"/>
      <c r="J20" s="451"/>
      <c r="K20" s="451"/>
      <c r="L20" s="451"/>
      <c r="M20" s="451"/>
      <c r="N20" s="451"/>
      <c r="O20" s="451"/>
      <c r="P20" s="451"/>
      <c r="Q20" s="451"/>
      <c r="R20" s="452"/>
      <c r="S20" s="131"/>
    </row>
    <row r="21" spans="1:19" s="18" customFormat="1" ht="20.100000000000001" customHeight="1" x14ac:dyDescent="0.2">
      <c r="A21" s="125"/>
      <c r="B21" s="451"/>
      <c r="C21" s="451"/>
      <c r="D21" s="451"/>
      <c r="E21" s="451"/>
      <c r="F21" s="451"/>
      <c r="G21" s="451"/>
      <c r="H21" s="451"/>
      <c r="I21" s="451"/>
      <c r="J21" s="451"/>
      <c r="K21" s="451"/>
      <c r="L21" s="451"/>
      <c r="M21" s="451"/>
      <c r="N21" s="451"/>
      <c r="O21" s="451"/>
      <c r="P21" s="451"/>
      <c r="Q21" s="451"/>
      <c r="R21" s="452"/>
      <c r="S21" s="131"/>
    </row>
    <row r="22" spans="1:19" s="18" customFormat="1" ht="20.100000000000001" customHeight="1" x14ac:dyDescent="0.2">
      <c r="A22" s="125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2"/>
      <c r="S22" s="131"/>
    </row>
    <row r="23" spans="1:19" s="18" customFormat="1" ht="20.100000000000001" customHeight="1" x14ac:dyDescent="0.2">
      <c r="A23" s="125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2"/>
      <c r="S23" s="131"/>
    </row>
    <row r="24" spans="1:19" s="18" customFormat="1" ht="20.100000000000001" customHeight="1" x14ac:dyDescent="0.2">
      <c r="A24" s="125"/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2"/>
      <c r="S24" s="131"/>
    </row>
    <row r="25" spans="1:19" s="18" customFormat="1" ht="20.100000000000001" customHeight="1" x14ac:dyDescent="0.2">
      <c r="A25" s="125"/>
      <c r="B25" s="451"/>
      <c r="C25" s="451"/>
      <c r="D25" s="451"/>
      <c r="E25" s="451"/>
      <c r="F25" s="451"/>
      <c r="G25" s="451"/>
      <c r="H25" s="451"/>
      <c r="I25" s="451"/>
      <c r="J25" s="451"/>
      <c r="K25" s="451"/>
      <c r="L25" s="451"/>
      <c r="M25" s="451"/>
      <c r="N25" s="451"/>
      <c r="O25" s="451"/>
      <c r="P25" s="451"/>
      <c r="Q25" s="451"/>
      <c r="R25" s="452"/>
      <c r="S25" s="131"/>
    </row>
    <row r="26" spans="1:19" s="18" customFormat="1" ht="20.100000000000001" customHeight="1" x14ac:dyDescent="0.2">
      <c r="A26" s="125"/>
      <c r="B26" s="451"/>
      <c r="C26" s="451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2"/>
      <c r="S26" s="131"/>
    </row>
    <row r="27" spans="1:19" s="18" customFormat="1" ht="20.100000000000001" customHeight="1" x14ac:dyDescent="0.2">
      <c r="A27" s="125"/>
      <c r="B27" s="451"/>
      <c r="C27" s="451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2"/>
      <c r="S27" s="131"/>
    </row>
    <row r="28" spans="1:19" s="18" customFormat="1" ht="20.100000000000001" customHeight="1" x14ac:dyDescent="0.2">
      <c r="A28" s="125"/>
      <c r="B28" s="451"/>
      <c r="C28" s="451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2"/>
      <c r="S28" s="131"/>
    </row>
    <row r="29" spans="1:19" s="18" customFormat="1" ht="20.100000000000001" customHeight="1" x14ac:dyDescent="0.2">
      <c r="A29" s="125" t="s">
        <v>137</v>
      </c>
      <c r="B29" s="450" t="s">
        <v>138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2"/>
      <c r="S29" s="131"/>
    </row>
    <row r="30" spans="1:19" s="18" customFormat="1" ht="20.100000000000001" customHeight="1" x14ac:dyDescent="0.2">
      <c r="A30" s="125" t="s">
        <v>137</v>
      </c>
      <c r="B30" s="450" t="s">
        <v>139</v>
      </c>
      <c r="C30" s="451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2"/>
      <c r="S30" s="131"/>
    </row>
    <row r="31" spans="1:19" s="18" customFormat="1" ht="20.100000000000001" customHeight="1" x14ac:dyDescent="0.2">
      <c r="A31" s="125" t="s">
        <v>137</v>
      </c>
      <c r="B31" s="450" t="s">
        <v>140</v>
      </c>
      <c r="C31" s="451"/>
      <c r="D31" s="451"/>
      <c r="E31" s="451"/>
      <c r="F31" s="451"/>
      <c r="G31" s="451"/>
      <c r="H31" s="451"/>
      <c r="I31" s="451"/>
      <c r="J31" s="451"/>
      <c r="K31" s="451"/>
      <c r="L31" s="451"/>
      <c r="M31" s="451"/>
      <c r="N31" s="451"/>
      <c r="O31" s="451"/>
      <c r="P31" s="451"/>
      <c r="Q31" s="451"/>
      <c r="R31" s="452"/>
      <c r="S31" s="131"/>
    </row>
    <row r="32" spans="1:19" s="18" customFormat="1" ht="20.100000000000001" customHeight="1" x14ac:dyDescent="0.2">
      <c r="A32" s="125"/>
      <c r="B32" s="450" t="s">
        <v>141</v>
      </c>
      <c r="C32" s="451"/>
      <c r="D32" s="451"/>
      <c r="E32" s="451"/>
      <c r="F32" s="451"/>
      <c r="G32" s="451"/>
      <c r="H32" s="451"/>
      <c r="I32" s="451"/>
      <c r="J32" s="451"/>
      <c r="K32" s="451"/>
      <c r="L32" s="451"/>
      <c r="M32" s="451"/>
      <c r="N32" s="451"/>
      <c r="O32" s="451"/>
      <c r="P32" s="451"/>
      <c r="Q32" s="451"/>
      <c r="R32" s="452"/>
      <c r="S32" s="131"/>
    </row>
    <row r="33" spans="1:19" s="18" customFormat="1" ht="20.100000000000001" customHeight="1" x14ac:dyDescent="0.2">
      <c r="A33" s="125"/>
      <c r="B33" s="450" t="s">
        <v>142</v>
      </c>
      <c r="C33" s="451"/>
      <c r="D33" s="451"/>
      <c r="E33" s="451"/>
      <c r="F33" s="451"/>
      <c r="G33" s="451"/>
      <c r="H33" s="451"/>
      <c r="I33" s="451"/>
      <c r="J33" s="451"/>
      <c r="K33" s="451"/>
      <c r="L33" s="451"/>
      <c r="M33" s="451"/>
      <c r="N33" s="451"/>
      <c r="O33" s="451"/>
      <c r="P33" s="451"/>
      <c r="Q33" s="451"/>
      <c r="R33" s="452"/>
      <c r="S33" s="131"/>
    </row>
    <row r="34" spans="1:19" s="18" customFormat="1" ht="20.100000000000001" customHeight="1" x14ac:dyDescent="0.2">
      <c r="A34" s="125"/>
      <c r="B34" s="451"/>
      <c r="C34" s="451"/>
      <c r="D34" s="451"/>
      <c r="E34" s="451"/>
      <c r="F34" s="451"/>
      <c r="G34" s="451"/>
      <c r="H34" s="451"/>
      <c r="I34" s="451"/>
      <c r="J34" s="451"/>
      <c r="K34" s="451"/>
      <c r="L34" s="451"/>
      <c r="M34" s="451"/>
      <c r="N34" s="451"/>
      <c r="O34" s="451"/>
      <c r="P34" s="451"/>
      <c r="Q34" s="451"/>
      <c r="R34" s="452"/>
      <c r="S34" s="131"/>
    </row>
    <row r="35" spans="1:19" s="18" customFormat="1" ht="20.100000000000001" customHeight="1" x14ac:dyDescent="0.2">
      <c r="A35" s="125"/>
      <c r="B35" s="451"/>
      <c r="C35" s="451"/>
      <c r="D35" s="451"/>
      <c r="E35" s="451"/>
      <c r="F35" s="451"/>
      <c r="G35" s="451"/>
      <c r="H35" s="451"/>
      <c r="I35" s="451"/>
      <c r="J35" s="451"/>
      <c r="K35" s="451"/>
      <c r="L35" s="451"/>
      <c r="M35" s="451"/>
      <c r="N35" s="451"/>
      <c r="O35" s="451"/>
      <c r="P35" s="451"/>
      <c r="Q35" s="451"/>
      <c r="R35" s="452"/>
      <c r="S35" s="131"/>
    </row>
    <row r="36" spans="1:19" s="18" customFormat="1" ht="20.100000000000001" customHeight="1" thickBot="1" x14ac:dyDescent="0.25">
      <c r="A36" s="152"/>
      <c r="B36" s="451"/>
      <c r="C36" s="451"/>
      <c r="D36" s="451"/>
      <c r="E36" s="451"/>
      <c r="F36" s="451"/>
      <c r="G36" s="451"/>
      <c r="H36" s="451"/>
      <c r="I36" s="451"/>
      <c r="J36" s="451"/>
      <c r="K36" s="451"/>
      <c r="L36" s="451"/>
      <c r="M36" s="451"/>
      <c r="N36" s="451"/>
      <c r="O36" s="451"/>
      <c r="P36" s="451"/>
      <c r="Q36" s="451"/>
      <c r="R36" s="452"/>
      <c r="S36" s="131"/>
    </row>
    <row r="37" spans="1:19" s="19" customFormat="1" ht="20.100000000000001" customHeight="1" thickBot="1" x14ac:dyDescent="0.3">
      <c r="A37" s="477" t="s">
        <v>70</v>
      </c>
      <c r="B37" s="478"/>
      <c r="C37" s="478"/>
      <c r="D37" s="478"/>
      <c r="E37" s="478"/>
      <c r="F37" s="478"/>
      <c r="G37" s="478"/>
      <c r="H37" s="479"/>
      <c r="I37" s="477" t="s">
        <v>69</v>
      </c>
      <c r="J37" s="478"/>
      <c r="K37" s="478"/>
      <c r="L37" s="478"/>
      <c r="M37" s="478"/>
      <c r="N37" s="478"/>
      <c r="O37" s="478"/>
      <c r="P37" s="478"/>
      <c r="Q37" s="478"/>
      <c r="R37" s="479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4" t="s">
        <v>16</v>
      </c>
      <c r="K38" s="435"/>
      <c r="L38" s="135" t="s">
        <v>0</v>
      </c>
      <c r="M38" s="136" t="s">
        <v>15</v>
      </c>
      <c r="N38" s="434" t="s">
        <v>16</v>
      </c>
      <c r="O38" s="456"/>
      <c r="P38" s="456"/>
      <c r="Q38" s="435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7"/>
      <c r="K39" s="419"/>
      <c r="L39" s="143"/>
      <c r="M39" s="144"/>
      <c r="N39" s="417"/>
      <c r="O39" s="418"/>
      <c r="P39" s="418"/>
      <c r="Q39" s="419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7"/>
      <c r="K40" s="419"/>
      <c r="L40" s="143"/>
      <c r="M40" s="144"/>
      <c r="N40" s="417"/>
      <c r="O40" s="418"/>
      <c r="P40" s="418"/>
      <c r="Q40" s="419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7"/>
      <c r="K41" s="419"/>
      <c r="L41" s="143"/>
      <c r="M41" s="144"/>
      <c r="N41" s="417"/>
      <c r="O41" s="418"/>
      <c r="P41" s="418"/>
      <c r="Q41" s="419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7"/>
      <c r="K42" s="419"/>
      <c r="L42" s="143"/>
      <c r="M42" s="144"/>
      <c r="N42" s="417"/>
      <c r="O42" s="418"/>
      <c r="P42" s="418"/>
      <c r="Q42" s="419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7"/>
      <c r="K43" s="419"/>
      <c r="L43" s="143"/>
      <c r="M43" s="144"/>
      <c r="N43" s="417"/>
      <c r="O43" s="418"/>
      <c r="P43" s="418"/>
      <c r="Q43" s="419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7"/>
      <c r="K44" s="419"/>
      <c r="L44" s="143"/>
      <c r="M44" s="144"/>
      <c r="N44" s="417"/>
      <c r="O44" s="418"/>
      <c r="P44" s="418"/>
      <c r="Q44" s="419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7"/>
      <c r="K45" s="419"/>
      <c r="L45" s="143"/>
      <c r="M45" s="144"/>
      <c r="N45" s="417"/>
      <c r="O45" s="418"/>
      <c r="P45" s="418"/>
      <c r="Q45" s="419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7"/>
      <c r="K46" s="419"/>
      <c r="L46" s="143"/>
      <c r="M46" s="144"/>
      <c r="N46" s="417"/>
      <c r="O46" s="418"/>
      <c r="P46" s="418"/>
      <c r="Q46" s="419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7"/>
      <c r="K47" s="419"/>
      <c r="L47" s="143"/>
      <c r="M47" s="144"/>
      <c r="N47" s="417"/>
      <c r="O47" s="418"/>
      <c r="P47" s="418"/>
      <c r="Q47" s="419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7"/>
      <c r="K48" s="419"/>
      <c r="L48" s="143"/>
      <c r="M48" s="144"/>
      <c r="N48" s="417"/>
      <c r="O48" s="418"/>
      <c r="P48" s="418"/>
      <c r="Q48" s="419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7"/>
      <c r="K49" s="419"/>
      <c r="L49" s="143"/>
      <c r="M49" s="144"/>
      <c r="N49" s="417"/>
      <c r="O49" s="418"/>
      <c r="P49" s="418"/>
      <c r="Q49" s="419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7"/>
      <c r="K50" s="419"/>
      <c r="L50" s="143"/>
      <c r="M50" s="144"/>
      <c r="N50" s="417"/>
      <c r="O50" s="418"/>
      <c r="P50" s="418"/>
      <c r="Q50" s="419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7"/>
      <c r="K51" s="419"/>
      <c r="L51" s="143"/>
      <c r="M51" s="144"/>
      <c r="N51" s="417"/>
      <c r="O51" s="418"/>
      <c r="P51" s="418"/>
      <c r="Q51" s="419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7"/>
      <c r="K52" s="419"/>
      <c r="L52" s="143"/>
      <c r="M52" s="144"/>
      <c r="N52" s="417"/>
      <c r="O52" s="418"/>
      <c r="P52" s="418"/>
      <c r="Q52" s="419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7"/>
      <c r="K53" s="419"/>
      <c r="L53" s="149"/>
      <c r="M53" s="150"/>
      <c r="N53" s="417"/>
      <c r="O53" s="418"/>
      <c r="P53" s="418"/>
      <c r="Q53" s="419"/>
      <c r="R53" s="36"/>
      <c r="S53" s="131"/>
    </row>
    <row r="54" spans="1:19" s="18" customFormat="1" ht="20.100000000000001" customHeight="1" thickBot="1" x14ac:dyDescent="0.3">
      <c r="A54" s="482" t="s">
        <v>47</v>
      </c>
      <c r="B54" s="483"/>
      <c r="C54" s="480">
        <f ca="1">SUM(INDIRECT("Marks!C:C"))</f>
        <v>0</v>
      </c>
      <c r="D54" s="481"/>
      <c r="E54" s="471" t="s">
        <v>68</v>
      </c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0" t="s">
        <v>84</v>
      </c>
      <c r="N55" s="470"/>
      <c r="O55" s="470"/>
      <c r="P55" s="470"/>
      <c r="Q55" s="470"/>
      <c r="R55" s="470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8" t="s">
        <v>131</v>
      </c>
      <c r="B3" s="488" t="s">
        <v>130</v>
      </c>
      <c r="C3" s="484" t="s">
        <v>0</v>
      </c>
      <c r="D3" s="484" t="s">
        <v>1</v>
      </c>
      <c r="E3" s="495" t="s">
        <v>81</v>
      </c>
      <c r="F3" s="496"/>
      <c r="G3" s="492" t="s">
        <v>2</v>
      </c>
      <c r="H3" s="494"/>
      <c r="I3" s="493"/>
      <c r="J3" s="492" t="s">
        <v>5</v>
      </c>
      <c r="K3" s="494"/>
      <c r="L3" s="493"/>
      <c r="M3" s="492" t="s">
        <v>8</v>
      </c>
      <c r="N3" s="493"/>
      <c r="O3" s="230" t="s">
        <v>6</v>
      </c>
      <c r="P3" s="230" t="s">
        <v>22</v>
      </c>
      <c r="Q3" s="492" t="s">
        <v>79</v>
      </c>
      <c r="R3" s="494"/>
      <c r="S3" s="493"/>
      <c r="T3" s="492" t="s">
        <v>75</v>
      </c>
      <c r="U3" s="494"/>
      <c r="V3" s="493"/>
      <c r="W3" s="492" t="s">
        <v>76</v>
      </c>
      <c r="X3" s="494"/>
      <c r="Y3" s="493"/>
      <c r="Z3" s="488" t="s">
        <v>80</v>
      </c>
      <c r="AA3" s="488" t="s">
        <v>121</v>
      </c>
      <c r="AB3" s="484" t="s">
        <v>122</v>
      </c>
      <c r="AC3" s="486" t="s">
        <v>123</v>
      </c>
      <c r="AD3" s="487"/>
      <c r="AE3" s="488" t="s">
        <v>124</v>
      </c>
      <c r="AF3" s="488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5"/>
      <c r="B4" s="485"/>
      <c r="C4" s="485"/>
      <c r="D4" s="485"/>
      <c r="E4" s="497"/>
      <c r="F4" s="498"/>
      <c r="G4" s="231" t="s">
        <v>3</v>
      </c>
      <c r="H4" s="490" t="s">
        <v>4</v>
      </c>
      <c r="I4" s="491"/>
      <c r="J4" s="231" t="s">
        <v>3</v>
      </c>
      <c r="K4" s="490" t="s">
        <v>4</v>
      </c>
      <c r="L4" s="491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0" t="s">
        <v>77</v>
      </c>
      <c r="V4" s="491"/>
      <c r="W4" s="231" t="s">
        <v>78</v>
      </c>
      <c r="X4" s="490" t="s">
        <v>77</v>
      </c>
      <c r="Y4" s="491"/>
      <c r="Z4" s="489"/>
      <c r="AA4" s="489"/>
      <c r="AB4" s="485"/>
      <c r="AC4" s="233" t="s">
        <v>126</v>
      </c>
      <c r="AD4" s="236" t="s">
        <v>127</v>
      </c>
      <c r="AE4" s="485"/>
      <c r="AF4" s="489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L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6" width="9.140625" style="229" collapsed="1"/>
    <col min="37" max="37" width="12.140625" style="229" hidden="1" customWidth="1" collapsed="1"/>
    <col min="38" max="38" width="13.85546875" style="229" hidden="1" customWidth="1" collapsed="1"/>
    <col min="39" max="16384" width="9.140625" style="229" collapsed="1"/>
  </cols>
  <sheetData>
    <row r="1" spans="1:38" ht="15.75" customHeight="1" thickBot="1" x14ac:dyDescent="0.3"/>
    <row r="2" spans="1:38" ht="15" customHeight="1" x14ac:dyDescent="0.25">
      <c r="A2" s="484" t="s">
        <v>128</v>
      </c>
      <c r="B2" s="488" t="s">
        <v>130</v>
      </c>
      <c r="C2" s="484" t="s">
        <v>1</v>
      </c>
      <c r="D2" s="495" t="s">
        <v>81</v>
      </c>
      <c r="E2" s="496"/>
      <c r="F2" s="492" t="s">
        <v>2</v>
      </c>
      <c r="G2" s="494"/>
      <c r="H2" s="493"/>
      <c r="I2" s="492" t="s">
        <v>5</v>
      </c>
      <c r="J2" s="494"/>
      <c r="K2" s="493"/>
      <c r="L2" s="492" t="s">
        <v>8</v>
      </c>
      <c r="M2" s="493"/>
      <c r="N2" s="230" t="s">
        <v>6</v>
      </c>
      <c r="O2" s="230" t="s">
        <v>22</v>
      </c>
      <c r="P2" s="492" t="s">
        <v>79</v>
      </c>
      <c r="Q2" s="494"/>
      <c r="R2" s="493"/>
      <c r="S2" s="492" t="s">
        <v>75</v>
      </c>
      <c r="T2" s="494"/>
      <c r="U2" s="493"/>
      <c r="V2" s="492" t="s">
        <v>76</v>
      </c>
      <c r="W2" s="494"/>
      <c r="X2" s="493"/>
      <c r="Y2" s="488" t="s">
        <v>80</v>
      </c>
      <c r="Z2" s="488" t="s">
        <v>129</v>
      </c>
      <c r="AA2" s="484" t="s">
        <v>122</v>
      </c>
      <c r="AB2" s="486" t="s">
        <v>123</v>
      </c>
      <c r="AC2" s="487"/>
      <c r="AD2" s="488" t="s">
        <v>124</v>
      </c>
      <c r="AE2" s="486" t="s">
        <v>11</v>
      </c>
      <c r="AF2" s="505"/>
      <c r="AG2" s="505"/>
      <c r="AH2" s="487"/>
    </row>
    <row r="3" spans="1:38" ht="15.75" thickBot="1" x14ac:dyDescent="0.3">
      <c r="A3" s="485"/>
      <c r="B3" s="485"/>
      <c r="C3" s="485"/>
      <c r="D3" s="497"/>
      <c r="E3" s="498"/>
      <c r="F3" s="231" t="s">
        <v>3</v>
      </c>
      <c r="G3" s="490" t="s">
        <v>4</v>
      </c>
      <c r="H3" s="491"/>
      <c r="I3" s="231" t="s">
        <v>3</v>
      </c>
      <c r="J3" s="490" t="s">
        <v>4</v>
      </c>
      <c r="K3" s="491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0" t="s">
        <v>77</v>
      </c>
      <c r="U3" s="491"/>
      <c r="V3" s="231" t="s">
        <v>78</v>
      </c>
      <c r="W3" s="490" t="s">
        <v>77</v>
      </c>
      <c r="X3" s="491"/>
      <c r="Y3" s="489"/>
      <c r="Z3" s="489"/>
      <c r="AA3" s="485"/>
      <c r="AB3" s="233" t="s">
        <v>126</v>
      </c>
      <c r="AC3" s="236" t="s">
        <v>127</v>
      </c>
      <c r="AD3" s="485"/>
      <c r="AE3" s="506"/>
      <c r="AF3" s="507"/>
      <c r="AG3" s="507"/>
      <c r="AH3" s="508"/>
      <c r="AK3" s="271"/>
      <c r="AL3" s="271" t="s">
        <v>132</v>
      </c>
    </row>
    <row r="4" spans="1:38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2"/>
      <c r="AF4" s="503"/>
      <c r="AG4" s="503"/>
      <c r="AH4" s="504"/>
      <c r="AK4" s="229" t="str">
        <f>IF(OR(A4="",A4="[ALL]", A4="[ALL J]", A4="[ALL G]"),"",MAX(AK$3:AK3)+1)</f>
        <v/>
      </c>
      <c r="AL4" s="229" t="str">
        <f>IFERROR(INDEX($A$4:$A$1000,MATCH(ROW()-ROW($AL$3),$AK$4:$AK$1000,0)),"")</f>
        <v/>
      </c>
    </row>
    <row r="5" spans="1:38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499"/>
      <c r="AF5" s="500"/>
      <c r="AG5" s="500"/>
      <c r="AH5" s="501"/>
      <c r="AK5" s="229" t="str">
        <f>IF(OR(A5="",A5="[ALL]", A5="[ALL J]", A5="[ALL G]"),"",MAX(AK$3:AK4)+1)</f>
        <v/>
      </c>
      <c r="AL5" s="229" t="str">
        <f t="shared" ref="AL5:AL68" si="0">IFERROR(INDEX($A$4:$A$1000,MATCH(ROW()-ROW($AL$3),$AK$4:$AK$1000,0)),"")</f>
        <v/>
      </c>
    </row>
    <row r="6" spans="1:38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499"/>
      <c r="AF6" s="500"/>
      <c r="AG6" s="500"/>
      <c r="AH6" s="501"/>
      <c r="AK6" s="229" t="str">
        <f>IF(OR(A6="",A6="[ALL]", A6="[ALL J]", A6="[ALL G]"),"",MAX(AK$3:AK5)+1)</f>
        <v/>
      </c>
      <c r="AL6" s="229" t="str">
        <f t="shared" si="0"/>
        <v/>
      </c>
    </row>
    <row r="7" spans="1:38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499"/>
      <c r="AF7" s="500"/>
      <c r="AG7" s="500"/>
      <c r="AH7" s="501"/>
      <c r="AK7" s="229" t="str">
        <f>IF(OR(A7="",A7="[ALL]", A7="[ALL J]", A7="[ALL G]"),"",MAX(AK$3:AK6)+1)</f>
        <v/>
      </c>
      <c r="AL7" s="229" t="str">
        <f t="shared" si="0"/>
        <v/>
      </c>
    </row>
    <row r="8" spans="1:38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499"/>
      <c r="AF8" s="500"/>
      <c r="AG8" s="500"/>
      <c r="AH8" s="501"/>
      <c r="AK8" s="229" t="str">
        <f>IF(OR(A8="",A8="[ALL]", A8="[ALL J]", A8="[ALL G]"),"",MAX(AK$3:AK7)+1)</f>
        <v/>
      </c>
      <c r="AL8" s="229" t="str">
        <f t="shared" si="0"/>
        <v/>
      </c>
    </row>
    <row r="9" spans="1:38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499"/>
      <c r="AF9" s="500"/>
      <c r="AG9" s="500"/>
      <c r="AH9" s="501"/>
      <c r="AK9" s="229" t="str">
        <f>IF(OR(A9="",A9="[ALL]", A9="[ALL J]", A9="[ALL G]"),"",MAX(AK$3:AK8)+1)</f>
        <v/>
      </c>
      <c r="AL9" s="229" t="str">
        <f t="shared" si="0"/>
        <v/>
      </c>
    </row>
    <row r="10" spans="1:38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499"/>
      <c r="AF10" s="500"/>
      <c r="AG10" s="500"/>
      <c r="AH10" s="501"/>
      <c r="AK10" s="229" t="str">
        <f>IF(OR(A10="",A10="[ALL]", A10="[ALL J]", A10="[ALL G]"),"",MAX(AK$3:AK9)+1)</f>
        <v/>
      </c>
      <c r="AL10" s="229" t="str">
        <f t="shared" si="0"/>
        <v/>
      </c>
    </row>
    <row r="11" spans="1:38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499"/>
      <c r="AF11" s="500"/>
      <c r="AG11" s="500"/>
      <c r="AH11" s="501"/>
      <c r="AK11" s="229" t="str">
        <f>IF(OR(A11="",A11="[ALL]", A11="[ALL J]", A11="[ALL G]"),"",MAX(AK$3:AK10)+1)</f>
        <v/>
      </c>
      <c r="AL11" s="229" t="str">
        <f t="shared" si="0"/>
        <v/>
      </c>
    </row>
    <row r="12" spans="1:38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499"/>
      <c r="AF12" s="500"/>
      <c r="AG12" s="500"/>
      <c r="AH12" s="501"/>
      <c r="AK12" s="229" t="str">
        <f>IF(OR(A12="",A12="[ALL]", A12="[ALL J]", A12="[ALL G]"),"",MAX(AK$3:AK11)+1)</f>
        <v/>
      </c>
      <c r="AL12" s="229" t="str">
        <f t="shared" si="0"/>
        <v/>
      </c>
    </row>
    <row r="13" spans="1:38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499"/>
      <c r="AF13" s="500"/>
      <c r="AG13" s="500"/>
      <c r="AH13" s="501"/>
      <c r="AK13" s="229" t="str">
        <f>IF(OR(A13="",A13="[ALL]", A13="[ALL J]", A13="[ALL G]"),"",MAX(AK$3:AK12)+1)</f>
        <v/>
      </c>
      <c r="AL13" s="229" t="str">
        <f t="shared" si="0"/>
        <v/>
      </c>
    </row>
    <row r="14" spans="1:38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499"/>
      <c r="AF14" s="500"/>
      <c r="AG14" s="500"/>
      <c r="AH14" s="501"/>
      <c r="AK14" s="229" t="str">
        <f>IF(OR(A14="",A14="[ALL]", A14="[ALL J]", A14="[ALL G]"),"",MAX(AK$3:AK13)+1)</f>
        <v/>
      </c>
      <c r="AL14" s="229" t="str">
        <f t="shared" si="0"/>
        <v/>
      </c>
    </row>
    <row r="15" spans="1:38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499"/>
      <c r="AF15" s="500"/>
      <c r="AG15" s="500"/>
      <c r="AH15" s="501"/>
      <c r="AK15" s="229" t="str">
        <f>IF(OR(A15="",A15="[ALL]", A15="[ALL J]", A15="[ALL G]"),"",MAX(AK$3:AK14)+1)</f>
        <v/>
      </c>
      <c r="AL15" s="229" t="str">
        <f t="shared" si="0"/>
        <v/>
      </c>
    </row>
    <row r="16" spans="1:38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499"/>
      <c r="AF16" s="500"/>
      <c r="AG16" s="500"/>
      <c r="AH16" s="501"/>
      <c r="AK16" s="229" t="str">
        <f>IF(OR(A16="",A16="[ALL]", A16="[ALL J]", A16="[ALL G]"),"",MAX(AK$3:AK15)+1)</f>
        <v/>
      </c>
      <c r="AL16" s="229" t="str">
        <f t="shared" si="0"/>
        <v/>
      </c>
    </row>
    <row r="17" spans="1:38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499"/>
      <c r="AF17" s="500"/>
      <c r="AG17" s="500"/>
      <c r="AH17" s="501"/>
      <c r="AK17" s="229" t="str">
        <f>IF(OR(A17="",A17="[ALL]", A17="[ALL J]", A17="[ALL G]"),"",MAX(AK$3:AK16)+1)</f>
        <v/>
      </c>
      <c r="AL17" s="229" t="str">
        <f t="shared" si="0"/>
        <v/>
      </c>
    </row>
    <row r="18" spans="1:38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499"/>
      <c r="AF18" s="500"/>
      <c r="AG18" s="500"/>
      <c r="AH18" s="501"/>
      <c r="AK18" s="229" t="str">
        <f>IF(OR(A18="",A18="[ALL]", A18="[ALL J]", A18="[ALL G]"),"",MAX(AK$3:AK17)+1)</f>
        <v/>
      </c>
      <c r="AL18" s="229" t="str">
        <f t="shared" si="0"/>
        <v/>
      </c>
    </row>
    <row r="19" spans="1:38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499"/>
      <c r="AF19" s="500"/>
      <c r="AG19" s="500"/>
      <c r="AH19" s="501"/>
      <c r="AK19" s="229" t="str">
        <f>IF(OR(A19="",A19="[ALL]", A19="[ALL J]", A19="[ALL G]"),"",MAX(AK$3:AK18)+1)</f>
        <v/>
      </c>
      <c r="AL19" s="229" t="str">
        <f t="shared" si="0"/>
        <v/>
      </c>
    </row>
    <row r="20" spans="1:38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499"/>
      <c r="AF20" s="500"/>
      <c r="AG20" s="500"/>
      <c r="AH20" s="501"/>
      <c r="AK20" s="229" t="str">
        <f>IF(OR(A20="",A20="[ALL]", A20="[ALL J]", A20="[ALL G]"),"",MAX(AK$3:AK19)+1)</f>
        <v/>
      </c>
      <c r="AL20" s="229" t="str">
        <f t="shared" si="0"/>
        <v/>
      </c>
    </row>
    <row r="21" spans="1:38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499"/>
      <c r="AF21" s="500"/>
      <c r="AG21" s="500"/>
      <c r="AH21" s="501"/>
      <c r="AK21" s="229" t="str">
        <f>IF(OR(A21="",A21="[ALL]", A21="[ALL J]", A21="[ALL G]"),"",MAX(AK$3:AK20)+1)</f>
        <v/>
      </c>
      <c r="AL21" s="229" t="str">
        <f t="shared" si="0"/>
        <v/>
      </c>
    </row>
    <row r="22" spans="1:38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499"/>
      <c r="AF22" s="500"/>
      <c r="AG22" s="500"/>
      <c r="AH22" s="501"/>
      <c r="AK22" s="229" t="str">
        <f>IF(OR(A22="",A22="[ALL]", A22="[ALL J]", A22="[ALL G]"),"",MAX(AK$3:AK21)+1)</f>
        <v/>
      </c>
      <c r="AL22" s="229" t="str">
        <f t="shared" si="0"/>
        <v/>
      </c>
    </row>
    <row r="23" spans="1:38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499"/>
      <c r="AF23" s="500"/>
      <c r="AG23" s="500"/>
      <c r="AH23" s="501"/>
      <c r="AK23" s="229" t="str">
        <f>IF(OR(A23="",A23="[ALL]", A23="[ALL J]", A23="[ALL G]"),"",MAX(AK$3:AK22)+1)</f>
        <v/>
      </c>
      <c r="AL23" s="229" t="str">
        <f t="shared" si="0"/>
        <v/>
      </c>
    </row>
    <row r="24" spans="1:38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499"/>
      <c r="AF24" s="500"/>
      <c r="AG24" s="500"/>
      <c r="AH24" s="501"/>
      <c r="AK24" s="229" t="str">
        <f>IF(OR(A24="",A24="[ALL]", A24="[ALL J]", A24="[ALL G]"),"",MAX(AK$3:AK23)+1)</f>
        <v/>
      </c>
      <c r="AL24" s="229" t="str">
        <f t="shared" si="0"/>
        <v/>
      </c>
    </row>
    <row r="25" spans="1:38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499"/>
      <c r="AF25" s="500"/>
      <c r="AG25" s="500"/>
      <c r="AH25" s="501"/>
      <c r="AK25" s="229" t="str">
        <f>IF(OR(A25="",A25="[ALL]", A25="[ALL J]", A25="[ALL G]"),"",MAX(AK$3:AK24)+1)</f>
        <v/>
      </c>
      <c r="AL25" s="229" t="str">
        <f t="shared" si="0"/>
        <v/>
      </c>
    </row>
    <row r="26" spans="1:38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499"/>
      <c r="AF26" s="500"/>
      <c r="AG26" s="500"/>
      <c r="AH26" s="501"/>
      <c r="AK26" s="229" t="str">
        <f>IF(OR(A26="",A26="[ALL]", A26="[ALL J]", A26="[ALL G]"),"",MAX(AK$3:AK25)+1)</f>
        <v/>
      </c>
      <c r="AL26" s="229" t="str">
        <f t="shared" si="0"/>
        <v/>
      </c>
    </row>
    <row r="27" spans="1:38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499"/>
      <c r="AF27" s="500"/>
      <c r="AG27" s="500"/>
      <c r="AH27" s="501"/>
      <c r="AK27" s="229" t="str">
        <f>IF(OR(A27="",A27="[ALL]", A27="[ALL J]", A27="[ALL G]"),"",MAX(AK$3:AK26)+1)</f>
        <v/>
      </c>
      <c r="AL27" s="229" t="str">
        <f t="shared" si="0"/>
        <v/>
      </c>
    </row>
    <row r="28" spans="1:38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499"/>
      <c r="AF28" s="500"/>
      <c r="AG28" s="500"/>
      <c r="AH28" s="501"/>
      <c r="AK28" s="229" t="str">
        <f>IF(OR(A28="",A28="[ALL]", A28="[ALL J]", A28="[ALL G]"),"",MAX(AK$3:AK27)+1)</f>
        <v/>
      </c>
      <c r="AL28" s="229" t="str">
        <f t="shared" si="0"/>
        <v/>
      </c>
    </row>
    <row r="29" spans="1:38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499"/>
      <c r="AF29" s="500"/>
      <c r="AG29" s="500"/>
      <c r="AH29" s="501"/>
      <c r="AK29" s="229" t="str">
        <f>IF(OR(A29="",A29="[ALL]", A29="[ALL J]", A29="[ALL G]"),"",MAX(AK$3:AK28)+1)</f>
        <v/>
      </c>
      <c r="AL29" s="229" t="str">
        <f t="shared" si="0"/>
        <v/>
      </c>
    </row>
    <row r="30" spans="1:38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499"/>
      <c r="AF30" s="500"/>
      <c r="AG30" s="500"/>
      <c r="AH30" s="501"/>
      <c r="AK30" s="229" t="str">
        <f>IF(OR(A30="",A30="[ALL]", A30="[ALL J]", A30="[ALL G]"),"",MAX(AK$3:AK29)+1)</f>
        <v/>
      </c>
      <c r="AL30" s="229" t="str">
        <f t="shared" si="0"/>
        <v/>
      </c>
    </row>
    <row r="31" spans="1:38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499"/>
      <c r="AF31" s="500"/>
      <c r="AG31" s="500"/>
      <c r="AH31" s="501"/>
      <c r="AK31" s="229" t="str">
        <f>IF(OR(A31="",A31="[ALL]", A31="[ALL J]", A31="[ALL G]"),"",MAX(AK$3:AK30)+1)</f>
        <v/>
      </c>
      <c r="AL31" s="229" t="str">
        <f t="shared" si="0"/>
        <v/>
      </c>
    </row>
    <row r="32" spans="1:38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499"/>
      <c r="AF32" s="500"/>
      <c r="AG32" s="500"/>
      <c r="AH32" s="501"/>
      <c r="AK32" s="229" t="str">
        <f>IF(OR(A32="",A32="[ALL]", A32="[ALL J]", A32="[ALL G]"),"",MAX(AK$3:AK31)+1)</f>
        <v/>
      </c>
      <c r="AL32" s="229" t="str">
        <f t="shared" si="0"/>
        <v/>
      </c>
    </row>
    <row r="33" spans="1:38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499"/>
      <c r="AF33" s="500"/>
      <c r="AG33" s="500"/>
      <c r="AH33" s="501"/>
      <c r="AK33" s="229" t="str">
        <f>IF(OR(A33="",A33="[ALL]", A33="[ALL J]", A33="[ALL G]"),"",MAX(AK$3:AK32)+1)</f>
        <v/>
      </c>
      <c r="AL33" s="229" t="str">
        <f t="shared" si="0"/>
        <v/>
      </c>
    </row>
    <row r="34" spans="1:38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499"/>
      <c r="AF34" s="500"/>
      <c r="AG34" s="500"/>
      <c r="AH34" s="501"/>
      <c r="AK34" s="229" t="str">
        <f>IF(OR(A34="",A34="[ALL]", A34="[ALL J]", A34="[ALL G]"),"",MAX(AK$3:AK33)+1)</f>
        <v/>
      </c>
      <c r="AL34" s="229" t="str">
        <f t="shared" si="0"/>
        <v/>
      </c>
    </row>
    <row r="35" spans="1:38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499"/>
      <c r="AF35" s="500"/>
      <c r="AG35" s="500"/>
      <c r="AH35" s="501"/>
      <c r="AK35" s="229" t="str">
        <f>IF(OR(A35="",A35="[ALL]", A35="[ALL J]", A35="[ALL G]"),"",MAX(AK$3:AK34)+1)</f>
        <v/>
      </c>
      <c r="AL35" s="229" t="str">
        <f t="shared" si="0"/>
        <v/>
      </c>
    </row>
    <row r="36" spans="1:38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499"/>
      <c r="AF36" s="500"/>
      <c r="AG36" s="500"/>
      <c r="AH36" s="501"/>
      <c r="AK36" s="229" t="str">
        <f>IF(OR(A36="",A36="[ALL]", A36="[ALL J]", A36="[ALL G]"),"",MAX(AK$3:AK35)+1)</f>
        <v/>
      </c>
      <c r="AL36" s="229" t="str">
        <f t="shared" si="0"/>
        <v/>
      </c>
    </row>
    <row r="37" spans="1:38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499"/>
      <c r="AF37" s="500"/>
      <c r="AG37" s="500"/>
      <c r="AH37" s="501"/>
      <c r="AK37" s="229" t="str">
        <f>IF(OR(A37="",A37="[ALL]", A37="[ALL J]", A37="[ALL G]"),"",MAX(AK$3:AK36)+1)</f>
        <v/>
      </c>
      <c r="AL37" s="229" t="str">
        <f t="shared" si="0"/>
        <v/>
      </c>
    </row>
    <row r="38" spans="1:38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499"/>
      <c r="AF38" s="500"/>
      <c r="AG38" s="500"/>
      <c r="AH38" s="501"/>
      <c r="AK38" s="229" t="str">
        <f>IF(OR(A38="",A38="[ALL]", A38="[ALL J]", A38="[ALL G]"),"",MAX(AK$3:AK37)+1)</f>
        <v/>
      </c>
      <c r="AL38" s="229" t="str">
        <f t="shared" si="0"/>
        <v/>
      </c>
    </row>
    <row r="39" spans="1:38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499"/>
      <c r="AF39" s="500"/>
      <c r="AG39" s="500"/>
      <c r="AH39" s="501"/>
      <c r="AK39" s="229" t="str">
        <f>IF(OR(A39="",A39="[ALL]", A39="[ALL J]", A39="[ALL G]"),"",MAX(AK$3:AK38)+1)</f>
        <v/>
      </c>
      <c r="AL39" s="229" t="str">
        <f t="shared" si="0"/>
        <v/>
      </c>
    </row>
    <row r="40" spans="1:38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499"/>
      <c r="AF40" s="500"/>
      <c r="AG40" s="500"/>
      <c r="AH40" s="501"/>
      <c r="AK40" s="229" t="str">
        <f>IF(OR(A40="",A40="[ALL]", A40="[ALL J]", A40="[ALL G]"),"",MAX(AK$3:AK39)+1)</f>
        <v/>
      </c>
      <c r="AL40" s="229" t="str">
        <f t="shared" si="0"/>
        <v/>
      </c>
    </row>
    <row r="41" spans="1:38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499"/>
      <c r="AF41" s="500"/>
      <c r="AG41" s="500"/>
      <c r="AH41" s="501"/>
      <c r="AK41" s="229" t="str">
        <f>IF(OR(A41="",A41="[ALL]", A41="[ALL J]", A41="[ALL G]"),"",MAX(AK$3:AK40)+1)</f>
        <v/>
      </c>
      <c r="AL41" s="229" t="str">
        <f t="shared" si="0"/>
        <v/>
      </c>
    </row>
    <row r="42" spans="1:38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499"/>
      <c r="AF42" s="500"/>
      <c r="AG42" s="500"/>
      <c r="AH42" s="501"/>
      <c r="AK42" s="229" t="str">
        <f>IF(OR(A42="",A42="[ALL]", A42="[ALL J]", A42="[ALL G]"),"",MAX(AK$3:AK41)+1)</f>
        <v/>
      </c>
      <c r="AL42" s="229" t="str">
        <f t="shared" si="0"/>
        <v/>
      </c>
    </row>
    <row r="43" spans="1:38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499"/>
      <c r="AF43" s="500"/>
      <c r="AG43" s="500"/>
      <c r="AH43" s="501"/>
      <c r="AK43" s="229" t="str">
        <f>IF(OR(A43="",A43="[ALL]", A43="[ALL J]", A43="[ALL G]"),"",MAX(AK$3:AK42)+1)</f>
        <v/>
      </c>
      <c r="AL43" s="229" t="str">
        <f t="shared" si="0"/>
        <v/>
      </c>
    </row>
    <row r="44" spans="1:38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499"/>
      <c r="AF44" s="500"/>
      <c r="AG44" s="500"/>
      <c r="AH44" s="501"/>
      <c r="AK44" s="229" t="str">
        <f>IF(OR(A44="",A44="[ALL]", A44="[ALL J]", A44="[ALL G]"),"",MAX(AK$3:AK43)+1)</f>
        <v/>
      </c>
      <c r="AL44" s="229" t="str">
        <f t="shared" si="0"/>
        <v/>
      </c>
    </row>
    <row r="45" spans="1:38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499"/>
      <c r="AF45" s="500"/>
      <c r="AG45" s="500"/>
      <c r="AH45" s="501"/>
      <c r="AK45" s="229" t="str">
        <f>IF(OR(A45="",A45="[ALL]", A45="[ALL J]", A45="[ALL G]"),"",MAX(AK$3:AK44)+1)</f>
        <v/>
      </c>
      <c r="AL45" s="229" t="str">
        <f t="shared" si="0"/>
        <v/>
      </c>
    </row>
    <row r="46" spans="1:38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499"/>
      <c r="AF46" s="500"/>
      <c r="AG46" s="500"/>
      <c r="AH46" s="501"/>
      <c r="AK46" s="229" t="str">
        <f>IF(OR(A46="",A46="[ALL]", A46="[ALL J]", A46="[ALL G]"),"",MAX(AK$3:AK45)+1)</f>
        <v/>
      </c>
      <c r="AL46" s="229" t="str">
        <f t="shared" si="0"/>
        <v/>
      </c>
    </row>
    <row r="47" spans="1:38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499"/>
      <c r="AF47" s="500"/>
      <c r="AG47" s="500"/>
      <c r="AH47" s="501"/>
      <c r="AK47" s="229" t="str">
        <f>IF(OR(A47="",A47="[ALL]", A47="[ALL J]", A47="[ALL G]"),"",MAX(AK$3:AK46)+1)</f>
        <v/>
      </c>
      <c r="AL47" s="229" t="str">
        <f t="shared" si="0"/>
        <v/>
      </c>
    </row>
    <row r="48" spans="1:38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499"/>
      <c r="AF48" s="500"/>
      <c r="AG48" s="500"/>
      <c r="AH48" s="501"/>
      <c r="AK48" s="229" t="str">
        <f>IF(OR(A48="",A48="[ALL]", A48="[ALL J]", A48="[ALL G]"),"",MAX(AK$3:AK47)+1)</f>
        <v/>
      </c>
      <c r="AL48" s="229" t="str">
        <f t="shared" si="0"/>
        <v/>
      </c>
    </row>
    <row r="49" spans="1:38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499"/>
      <c r="AF49" s="500"/>
      <c r="AG49" s="500"/>
      <c r="AH49" s="501"/>
      <c r="AK49" s="229" t="str">
        <f>IF(OR(A49="",A49="[ALL]", A49="[ALL J]", A49="[ALL G]"),"",MAX(AK$3:AK48)+1)</f>
        <v/>
      </c>
      <c r="AL49" s="229" t="str">
        <f t="shared" si="0"/>
        <v/>
      </c>
    </row>
    <row r="50" spans="1:38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499"/>
      <c r="AF50" s="500"/>
      <c r="AG50" s="500"/>
      <c r="AH50" s="501"/>
      <c r="AK50" s="229" t="str">
        <f>IF(OR(A50="",A50="[ALL]", A50="[ALL J]", A50="[ALL G]"),"",MAX(AK$3:AK49)+1)</f>
        <v/>
      </c>
      <c r="AL50" s="229" t="str">
        <f t="shared" si="0"/>
        <v/>
      </c>
    </row>
    <row r="51" spans="1:38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499"/>
      <c r="AF51" s="500"/>
      <c r="AG51" s="500"/>
      <c r="AH51" s="501"/>
      <c r="AK51" s="229" t="str">
        <f>IF(OR(A51="",A51="[ALL]", A51="[ALL J]", A51="[ALL G]"),"",MAX(AK$3:AK50)+1)</f>
        <v/>
      </c>
      <c r="AL51" s="229" t="str">
        <f t="shared" si="0"/>
        <v/>
      </c>
    </row>
    <row r="52" spans="1:38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499"/>
      <c r="AF52" s="500"/>
      <c r="AG52" s="500"/>
      <c r="AH52" s="501"/>
      <c r="AK52" s="229" t="str">
        <f>IF(OR(A52="",A52="[ALL]", A52="[ALL J]", A52="[ALL G]"),"",MAX(AK$3:AK51)+1)</f>
        <v/>
      </c>
      <c r="AL52" s="229" t="str">
        <f t="shared" si="0"/>
        <v/>
      </c>
    </row>
    <row r="53" spans="1:38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499"/>
      <c r="AF53" s="500"/>
      <c r="AG53" s="500"/>
      <c r="AH53" s="501"/>
      <c r="AK53" s="229" t="str">
        <f>IF(OR(A53="",A53="[ALL]", A53="[ALL J]", A53="[ALL G]"),"",MAX(AK$3:AK52)+1)</f>
        <v/>
      </c>
      <c r="AL53" s="229" t="str">
        <f t="shared" si="0"/>
        <v/>
      </c>
    </row>
    <row r="54" spans="1:38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499"/>
      <c r="AF54" s="500"/>
      <c r="AG54" s="500"/>
      <c r="AH54" s="501"/>
      <c r="AK54" s="229" t="str">
        <f>IF(OR(A54="",A54="[ALL]", A54="[ALL J]", A54="[ALL G]"),"",MAX(AK$3:AK53)+1)</f>
        <v/>
      </c>
      <c r="AL54" s="229" t="str">
        <f t="shared" si="0"/>
        <v/>
      </c>
    </row>
    <row r="55" spans="1:38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499"/>
      <c r="AF55" s="500"/>
      <c r="AG55" s="500"/>
      <c r="AH55" s="501"/>
      <c r="AK55" s="229" t="str">
        <f>IF(OR(A55="",A55="[ALL]", A55="[ALL J]", A55="[ALL G]"),"",MAX(AK$3:AK54)+1)</f>
        <v/>
      </c>
      <c r="AL55" s="229" t="str">
        <f t="shared" si="0"/>
        <v/>
      </c>
    </row>
    <row r="56" spans="1:38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499"/>
      <c r="AF56" s="500"/>
      <c r="AG56" s="500"/>
      <c r="AH56" s="501"/>
      <c r="AK56" s="229" t="str">
        <f>IF(OR(A56="",A56="[ALL]", A56="[ALL J]", A56="[ALL G]"),"",MAX(AK$3:AK55)+1)</f>
        <v/>
      </c>
      <c r="AL56" s="229" t="str">
        <f t="shared" si="0"/>
        <v/>
      </c>
    </row>
    <row r="57" spans="1:38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499"/>
      <c r="AF57" s="500"/>
      <c r="AG57" s="500"/>
      <c r="AH57" s="501"/>
      <c r="AK57" s="229" t="str">
        <f>IF(OR(A57="",A57="[ALL]", A57="[ALL J]", A57="[ALL G]"),"",MAX(AK$3:AK56)+1)</f>
        <v/>
      </c>
      <c r="AL57" s="229" t="str">
        <f t="shared" si="0"/>
        <v/>
      </c>
    </row>
    <row r="58" spans="1:38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499"/>
      <c r="AF58" s="500"/>
      <c r="AG58" s="500"/>
      <c r="AH58" s="501"/>
      <c r="AK58" s="229" t="str">
        <f>IF(OR(A58="",A58="[ALL]", A58="[ALL J]", A58="[ALL G]"),"",MAX(AK$3:AK57)+1)</f>
        <v/>
      </c>
      <c r="AL58" s="229" t="str">
        <f t="shared" si="0"/>
        <v/>
      </c>
    </row>
    <row r="59" spans="1:38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499"/>
      <c r="AF59" s="500"/>
      <c r="AG59" s="500"/>
      <c r="AH59" s="501"/>
      <c r="AK59" s="229" t="str">
        <f>IF(OR(A59="",A59="[ALL]", A59="[ALL J]", A59="[ALL G]"),"",MAX(AK$3:AK58)+1)</f>
        <v/>
      </c>
      <c r="AL59" s="229" t="str">
        <f t="shared" si="0"/>
        <v/>
      </c>
    </row>
    <row r="60" spans="1:38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499"/>
      <c r="AF60" s="500"/>
      <c r="AG60" s="500"/>
      <c r="AH60" s="501"/>
      <c r="AK60" s="229" t="str">
        <f>IF(OR(A60="",A60="[ALL]", A60="[ALL J]", A60="[ALL G]"),"",MAX(AK$3:AK59)+1)</f>
        <v/>
      </c>
      <c r="AL60" s="229" t="str">
        <f t="shared" si="0"/>
        <v/>
      </c>
    </row>
    <row r="61" spans="1:38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499"/>
      <c r="AF61" s="500"/>
      <c r="AG61" s="500"/>
      <c r="AH61" s="501"/>
      <c r="AK61" s="229" t="str">
        <f>IF(OR(A61="",A61="[ALL]", A61="[ALL J]", A61="[ALL G]"),"",MAX(AK$3:AK60)+1)</f>
        <v/>
      </c>
      <c r="AL61" s="229" t="str">
        <f t="shared" si="0"/>
        <v/>
      </c>
    </row>
    <row r="62" spans="1:38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499"/>
      <c r="AF62" s="500"/>
      <c r="AG62" s="500"/>
      <c r="AH62" s="501"/>
      <c r="AK62" s="229" t="str">
        <f>IF(OR(A62="",A62="[ALL]", A62="[ALL J]", A62="[ALL G]"),"",MAX(AK$3:AK61)+1)</f>
        <v/>
      </c>
      <c r="AL62" s="229" t="str">
        <f t="shared" si="0"/>
        <v/>
      </c>
    </row>
    <row r="63" spans="1:38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499"/>
      <c r="AF63" s="500"/>
      <c r="AG63" s="500"/>
      <c r="AH63" s="501"/>
      <c r="AK63" s="229" t="str">
        <f>IF(OR(A63="",A63="[ALL]", A63="[ALL J]", A63="[ALL G]"),"",MAX(AK$3:AK62)+1)</f>
        <v/>
      </c>
      <c r="AL63" s="229" t="str">
        <f t="shared" si="0"/>
        <v/>
      </c>
    </row>
    <row r="64" spans="1:38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499"/>
      <c r="AF64" s="500"/>
      <c r="AG64" s="500"/>
      <c r="AH64" s="501"/>
      <c r="AK64" s="229" t="str">
        <f>IF(OR(A64="",A64="[ALL]", A64="[ALL J]", A64="[ALL G]"),"",MAX(AK$3:AK63)+1)</f>
        <v/>
      </c>
      <c r="AL64" s="229" t="str">
        <f t="shared" si="0"/>
        <v/>
      </c>
    </row>
    <row r="65" spans="1:38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499"/>
      <c r="AF65" s="500"/>
      <c r="AG65" s="500"/>
      <c r="AH65" s="501"/>
      <c r="AK65" s="229" t="str">
        <f>IF(OR(A65="",A65="[ALL]", A65="[ALL J]", A65="[ALL G]"),"",MAX(AK$3:AK64)+1)</f>
        <v/>
      </c>
      <c r="AL65" s="229" t="str">
        <f t="shared" si="0"/>
        <v/>
      </c>
    </row>
    <row r="66" spans="1:38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499"/>
      <c r="AF66" s="500"/>
      <c r="AG66" s="500"/>
      <c r="AH66" s="501"/>
      <c r="AK66" s="229" t="str">
        <f>IF(OR(A66="",A66="[ALL]", A66="[ALL J]", A66="[ALL G]"),"",MAX(AK$3:AK65)+1)</f>
        <v/>
      </c>
      <c r="AL66" s="229" t="str">
        <f t="shared" si="0"/>
        <v/>
      </c>
    </row>
    <row r="67" spans="1:38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499"/>
      <c r="AF67" s="500"/>
      <c r="AG67" s="500"/>
      <c r="AH67" s="501"/>
      <c r="AK67" s="229" t="str">
        <f>IF(OR(A67="",A67="[ALL]", A67="[ALL J]", A67="[ALL G]"),"",MAX(AK$3:AK66)+1)</f>
        <v/>
      </c>
      <c r="AL67" s="229" t="str">
        <f t="shared" si="0"/>
        <v/>
      </c>
    </row>
    <row r="68" spans="1:38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499"/>
      <c r="AF68" s="500"/>
      <c r="AG68" s="500"/>
      <c r="AH68" s="501"/>
      <c r="AK68" s="229" t="str">
        <f>IF(OR(A68="",A68="[ALL]", A68="[ALL J]", A68="[ALL G]"),"",MAX(AK$3:AK67)+1)</f>
        <v/>
      </c>
      <c r="AL68" s="229" t="str">
        <f t="shared" si="0"/>
        <v/>
      </c>
    </row>
    <row r="69" spans="1:38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499"/>
      <c r="AF69" s="500"/>
      <c r="AG69" s="500"/>
      <c r="AH69" s="501"/>
      <c r="AK69" s="229" t="str">
        <f>IF(OR(A69="",A69="[ALL]", A69="[ALL J]", A69="[ALL G]"),"",MAX(AK$3:AK68)+1)</f>
        <v/>
      </c>
      <c r="AL69" s="229" t="str">
        <f t="shared" ref="AL69:AL132" si="1">IFERROR(INDEX($A$4:$A$1000,MATCH(ROW()-ROW($AL$3),$AK$4:$AK$1000,0)),"")</f>
        <v/>
      </c>
    </row>
    <row r="70" spans="1:38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499"/>
      <c r="AF70" s="500"/>
      <c r="AG70" s="500"/>
      <c r="AH70" s="501"/>
      <c r="AK70" s="229" t="str">
        <f>IF(OR(A70="",A70="[ALL]", A70="[ALL J]", A70="[ALL G]"),"",MAX(AK$3:AK69)+1)</f>
        <v/>
      </c>
      <c r="AL70" s="229" t="str">
        <f t="shared" si="1"/>
        <v/>
      </c>
    </row>
    <row r="71" spans="1:38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499"/>
      <c r="AF71" s="500"/>
      <c r="AG71" s="500"/>
      <c r="AH71" s="501"/>
      <c r="AK71" s="229" t="str">
        <f>IF(OR(A71="",A71="[ALL]", A71="[ALL J]", A71="[ALL G]"),"",MAX(AK$3:AK70)+1)</f>
        <v/>
      </c>
      <c r="AL71" s="229" t="str">
        <f t="shared" si="1"/>
        <v/>
      </c>
    </row>
    <row r="72" spans="1:38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499"/>
      <c r="AF72" s="500"/>
      <c r="AG72" s="500"/>
      <c r="AH72" s="501"/>
      <c r="AK72" s="229" t="str">
        <f>IF(OR(A72="",A72="[ALL]", A72="[ALL J]", A72="[ALL G]"),"",MAX(AK$3:AK71)+1)</f>
        <v/>
      </c>
      <c r="AL72" s="229" t="str">
        <f t="shared" si="1"/>
        <v/>
      </c>
    </row>
    <row r="73" spans="1:38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499"/>
      <c r="AF73" s="500"/>
      <c r="AG73" s="500"/>
      <c r="AH73" s="501"/>
      <c r="AK73" s="229" t="str">
        <f>IF(OR(A73="",A73="[ALL]", A73="[ALL J]", A73="[ALL G]"),"",MAX(AK$3:AK72)+1)</f>
        <v/>
      </c>
      <c r="AL73" s="229" t="str">
        <f t="shared" si="1"/>
        <v/>
      </c>
    </row>
    <row r="74" spans="1:38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499"/>
      <c r="AF74" s="500"/>
      <c r="AG74" s="500"/>
      <c r="AH74" s="501"/>
      <c r="AK74" s="229" t="str">
        <f>IF(OR(A74="",A74="[ALL]", A74="[ALL J]", A74="[ALL G]"),"",MAX(AK$3:AK73)+1)</f>
        <v/>
      </c>
      <c r="AL74" s="229" t="str">
        <f t="shared" si="1"/>
        <v/>
      </c>
    </row>
    <row r="75" spans="1:38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499"/>
      <c r="AF75" s="500"/>
      <c r="AG75" s="500"/>
      <c r="AH75" s="501"/>
      <c r="AK75" s="229" t="str">
        <f>IF(OR(A75="",A75="[ALL]", A75="[ALL J]", A75="[ALL G]"),"",MAX(AK$3:AK74)+1)</f>
        <v/>
      </c>
      <c r="AL75" s="229" t="str">
        <f t="shared" si="1"/>
        <v/>
      </c>
    </row>
    <row r="76" spans="1:38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499"/>
      <c r="AF76" s="500"/>
      <c r="AG76" s="500"/>
      <c r="AH76" s="501"/>
      <c r="AK76" s="229" t="str">
        <f>IF(OR(A76="",A76="[ALL]", A76="[ALL J]", A76="[ALL G]"),"",MAX(AK$3:AK75)+1)</f>
        <v/>
      </c>
      <c r="AL76" s="229" t="str">
        <f t="shared" si="1"/>
        <v/>
      </c>
    </row>
    <row r="77" spans="1:38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499"/>
      <c r="AF77" s="500"/>
      <c r="AG77" s="500"/>
      <c r="AH77" s="501"/>
      <c r="AK77" s="229" t="str">
        <f>IF(OR(A77="",A77="[ALL]", A77="[ALL J]", A77="[ALL G]"),"",MAX(AK$3:AK76)+1)</f>
        <v/>
      </c>
      <c r="AL77" s="229" t="str">
        <f t="shared" si="1"/>
        <v/>
      </c>
    </row>
    <row r="78" spans="1:38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499"/>
      <c r="AF78" s="500"/>
      <c r="AG78" s="500"/>
      <c r="AH78" s="501"/>
      <c r="AK78" s="229" t="str">
        <f>IF(OR(A78="",A78="[ALL]", A78="[ALL J]", A78="[ALL G]"),"",MAX(AK$3:AK77)+1)</f>
        <v/>
      </c>
      <c r="AL78" s="229" t="str">
        <f t="shared" si="1"/>
        <v/>
      </c>
    </row>
    <row r="79" spans="1:38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499"/>
      <c r="AF79" s="500"/>
      <c r="AG79" s="500"/>
      <c r="AH79" s="501"/>
      <c r="AK79" s="229" t="str">
        <f>IF(OR(A79="",A79="[ALL]", A79="[ALL J]", A79="[ALL G]"),"",MAX(AK$3:AK78)+1)</f>
        <v/>
      </c>
      <c r="AL79" s="229" t="str">
        <f t="shared" si="1"/>
        <v/>
      </c>
    </row>
    <row r="80" spans="1:38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499"/>
      <c r="AF80" s="500"/>
      <c r="AG80" s="500"/>
      <c r="AH80" s="501"/>
      <c r="AK80" s="229" t="str">
        <f>IF(OR(A80="",A80="[ALL]", A80="[ALL J]", A80="[ALL G]"),"",MAX(AK$3:AK79)+1)</f>
        <v/>
      </c>
      <c r="AL80" s="229" t="str">
        <f t="shared" si="1"/>
        <v/>
      </c>
    </row>
    <row r="81" spans="1:38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499"/>
      <c r="AF81" s="500"/>
      <c r="AG81" s="500"/>
      <c r="AH81" s="501"/>
      <c r="AK81" s="229" t="str">
        <f>IF(OR(A81="",A81="[ALL]", A81="[ALL J]", A81="[ALL G]"),"",MAX(AK$3:AK80)+1)</f>
        <v/>
      </c>
      <c r="AL81" s="229" t="str">
        <f t="shared" si="1"/>
        <v/>
      </c>
    </row>
    <row r="82" spans="1:38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499"/>
      <c r="AF82" s="500"/>
      <c r="AG82" s="500"/>
      <c r="AH82" s="501"/>
      <c r="AK82" s="229" t="str">
        <f>IF(OR(A82="",A82="[ALL]", A82="[ALL J]", A82="[ALL G]"),"",MAX(AK$3:AK81)+1)</f>
        <v/>
      </c>
      <c r="AL82" s="229" t="str">
        <f t="shared" si="1"/>
        <v/>
      </c>
    </row>
    <row r="83" spans="1:38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499"/>
      <c r="AF83" s="500"/>
      <c r="AG83" s="500"/>
      <c r="AH83" s="501"/>
      <c r="AK83" s="229" t="str">
        <f>IF(OR(A83="",A83="[ALL]", A83="[ALL J]", A83="[ALL G]"),"",MAX(AK$3:AK82)+1)</f>
        <v/>
      </c>
      <c r="AL83" s="229" t="str">
        <f t="shared" si="1"/>
        <v/>
      </c>
    </row>
    <row r="84" spans="1:38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499"/>
      <c r="AF84" s="500"/>
      <c r="AG84" s="500"/>
      <c r="AH84" s="501"/>
      <c r="AK84" s="229" t="str">
        <f>IF(OR(A84="",A84="[ALL]", A84="[ALL J]", A84="[ALL G]"),"",MAX(AK$3:AK83)+1)</f>
        <v/>
      </c>
      <c r="AL84" s="229" t="str">
        <f t="shared" si="1"/>
        <v/>
      </c>
    </row>
    <row r="85" spans="1:38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499"/>
      <c r="AF85" s="500"/>
      <c r="AG85" s="500"/>
      <c r="AH85" s="501"/>
      <c r="AK85" s="229" t="str">
        <f>IF(OR(A85="",A85="[ALL]", A85="[ALL J]", A85="[ALL G]"),"",MAX(AK$3:AK84)+1)</f>
        <v/>
      </c>
      <c r="AL85" s="229" t="str">
        <f t="shared" si="1"/>
        <v/>
      </c>
    </row>
    <row r="86" spans="1:38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499"/>
      <c r="AF86" s="500"/>
      <c r="AG86" s="500"/>
      <c r="AH86" s="501"/>
      <c r="AK86" s="229" t="str">
        <f>IF(OR(A86="",A86="[ALL]", A86="[ALL J]", A86="[ALL G]"),"",MAX(AK$3:AK85)+1)</f>
        <v/>
      </c>
      <c r="AL86" s="229" t="str">
        <f t="shared" si="1"/>
        <v/>
      </c>
    </row>
    <row r="87" spans="1:38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499"/>
      <c r="AF87" s="500"/>
      <c r="AG87" s="500"/>
      <c r="AH87" s="501"/>
      <c r="AK87" s="229" t="str">
        <f>IF(OR(A87="",A87="[ALL]", A87="[ALL J]", A87="[ALL G]"),"",MAX(AK$3:AK86)+1)</f>
        <v/>
      </c>
      <c r="AL87" s="229" t="str">
        <f t="shared" si="1"/>
        <v/>
      </c>
    </row>
    <row r="88" spans="1:38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499"/>
      <c r="AF88" s="500"/>
      <c r="AG88" s="500"/>
      <c r="AH88" s="501"/>
      <c r="AK88" s="229" t="str">
        <f>IF(OR(A88="",A88="[ALL]", A88="[ALL J]", A88="[ALL G]"),"",MAX(AK$3:AK87)+1)</f>
        <v/>
      </c>
      <c r="AL88" s="229" t="str">
        <f t="shared" si="1"/>
        <v/>
      </c>
    </row>
    <row r="89" spans="1:38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499"/>
      <c r="AF89" s="500"/>
      <c r="AG89" s="500"/>
      <c r="AH89" s="501"/>
      <c r="AK89" s="229" t="str">
        <f>IF(OR(A89="",A89="[ALL]", A89="[ALL J]", A89="[ALL G]"),"",MAX(AK$3:AK88)+1)</f>
        <v/>
      </c>
      <c r="AL89" s="229" t="str">
        <f t="shared" si="1"/>
        <v/>
      </c>
    </row>
    <row r="90" spans="1:38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499"/>
      <c r="AF90" s="500"/>
      <c r="AG90" s="500"/>
      <c r="AH90" s="501"/>
      <c r="AK90" s="229" t="str">
        <f>IF(OR(A90="",A90="[ALL]", A90="[ALL J]", A90="[ALL G]"),"",MAX(AK$3:AK89)+1)</f>
        <v/>
      </c>
      <c r="AL90" s="229" t="str">
        <f t="shared" si="1"/>
        <v/>
      </c>
    </row>
    <row r="91" spans="1:38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499"/>
      <c r="AF91" s="500"/>
      <c r="AG91" s="500"/>
      <c r="AH91" s="501"/>
      <c r="AK91" s="229" t="str">
        <f>IF(OR(A91="",A91="[ALL]", A91="[ALL J]", A91="[ALL G]"),"",MAX(AK$3:AK90)+1)</f>
        <v/>
      </c>
      <c r="AL91" s="229" t="str">
        <f t="shared" si="1"/>
        <v/>
      </c>
    </row>
    <row r="92" spans="1:38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499"/>
      <c r="AF92" s="500"/>
      <c r="AG92" s="500"/>
      <c r="AH92" s="501"/>
      <c r="AK92" s="229" t="str">
        <f>IF(OR(A92="",A92="[ALL]", A92="[ALL J]", A92="[ALL G]"),"",MAX(AK$3:AK91)+1)</f>
        <v/>
      </c>
      <c r="AL92" s="229" t="str">
        <f t="shared" si="1"/>
        <v/>
      </c>
    </row>
    <row r="93" spans="1:38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499"/>
      <c r="AF93" s="500"/>
      <c r="AG93" s="500"/>
      <c r="AH93" s="501"/>
      <c r="AK93" s="229" t="str">
        <f>IF(OR(A93="",A93="[ALL]", A93="[ALL J]", A93="[ALL G]"),"",MAX(AK$3:AK92)+1)</f>
        <v/>
      </c>
      <c r="AL93" s="229" t="str">
        <f t="shared" si="1"/>
        <v/>
      </c>
    </row>
    <row r="94" spans="1:38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499"/>
      <c r="AF94" s="500"/>
      <c r="AG94" s="500"/>
      <c r="AH94" s="501"/>
      <c r="AK94" s="229" t="str">
        <f>IF(OR(A94="",A94="[ALL]", A94="[ALL J]", A94="[ALL G]"),"",MAX(AK$3:AK93)+1)</f>
        <v/>
      </c>
      <c r="AL94" s="229" t="str">
        <f t="shared" si="1"/>
        <v/>
      </c>
    </row>
    <row r="95" spans="1:38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499"/>
      <c r="AF95" s="500"/>
      <c r="AG95" s="500"/>
      <c r="AH95" s="501"/>
      <c r="AK95" s="229" t="str">
        <f>IF(OR(A95="",A95="[ALL]", A95="[ALL J]", A95="[ALL G]"),"",MAX(AK$3:AK94)+1)</f>
        <v/>
      </c>
      <c r="AL95" s="229" t="str">
        <f t="shared" si="1"/>
        <v/>
      </c>
    </row>
    <row r="96" spans="1:38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499"/>
      <c r="AF96" s="500"/>
      <c r="AG96" s="500"/>
      <c r="AH96" s="501"/>
      <c r="AK96" s="229" t="str">
        <f>IF(OR(A96="",A96="[ALL]", A96="[ALL J]", A96="[ALL G]"),"",MAX(AK$3:AK95)+1)</f>
        <v/>
      </c>
      <c r="AL96" s="229" t="str">
        <f t="shared" si="1"/>
        <v/>
      </c>
    </row>
    <row r="97" spans="1:38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499"/>
      <c r="AF97" s="500"/>
      <c r="AG97" s="500"/>
      <c r="AH97" s="501"/>
      <c r="AK97" s="229" t="str">
        <f>IF(OR(A97="",A97="[ALL]", A97="[ALL J]", A97="[ALL G]"),"",MAX(AK$3:AK96)+1)</f>
        <v/>
      </c>
      <c r="AL97" s="229" t="str">
        <f t="shared" si="1"/>
        <v/>
      </c>
    </row>
    <row r="98" spans="1:38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499"/>
      <c r="AF98" s="500"/>
      <c r="AG98" s="500"/>
      <c r="AH98" s="501"/>
      <c r="AK98" s="229" t="str">
        <f>IF(OR(A98="",A98="[ALL]", A98="[ALL J]", A98="[ALL G]"),"",MAX(AK$3:AK97)+1)</f>
        <v/>
      </c>
      <c r="AL98" s="229" t="str">
        <f t="shared" si="1"/>
        <v/>
      </c>
    </row>
    <row r="99" spans="1:38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499"/>
      <c r="AF99" s="500"/>
      <c r="AG99" s="500"/>
      <c r="AH99" s="501"/>
      <c r="AK99" s="229" t="str">
        <f>IF(OR(A99="",A99="[ALL]", A99="[ALL J]", A99="[ALL G]"),"",MAX(AK$3:AK98)+1)</f>
        <v/>
      </c>
      <c r="AL99" s="229" t="str">
        <f t="shared" si="1"/>
        <v/>
      </c>
    </row>
    <row r="100" spans="1:38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499"/>
      <c r="AF100" s="500"/>
      <c r="AG100" s="500"/>
      <c r="AH100" s="501"/>
      <c r="AK100" s="229" t="str">
        <f>IF(OR(A100="",A100="[ALL]", A100="[ALL J]", A100="[ALL G]"),"",MAX(AK$3:AK99)+1)</f>
        <v/>
      </c>
      <c r="AL100" s="229" t="str">
        <f t="shared" si="1"/>
        <v/>
      </c>
    </row>
    <row r="101" spans="1:38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499"/>
      <c r="AF101" s="500"/>
      <c r="AG101" s="500"/>
      <c r="AH101" s="501"/>
      <c r="AK101" s="229" t="str">
        <f>IF(OR(A101="",A101="[ALL]", A101="[ALL J]", A101="[ALL G]"),"",MAX(AK$3:AK100)+1)</f>
        <v/>
      </c>
      <c r="AL101" s="229" t="str">
        <f t="shared" si="1"/>
        <v/>
      </c>
    </row>
    <row r="102" spans="1:38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499"/>
      <c r="AF102" s="500"/>
      <c r="AG102" s="500"/>
      <c r="AH102" s="501"/>
      <c r="AK102" s="229" t="str">
        <f>IF(OR(A102="",A102="[ALL]", A102="[ALL J]", A102="[ALL G]"),"",MAX(AK$3:AK101)+1)</f>
        <v/>
      </c>
      <c r="AL102" s="229" t="str">
        <f t="shared" si="1"/>
        <v/>
      </c>
    </row>
    <row r="103" spans="1:38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499"/>
      <c r="AF103" s="500"/>
      <c r="AG103" s="500"/>
      <c r="AH103" s="501"/>
      <c r="AK103" s="229" t="str">
        <f>IF(OR(A103="",A103="[ALL]", A103="[ALL J]", A103="[ALL G]"),"",MAX(AK$3:AK102)+1)</f>
        <v/>
      </c>
      <c r="AL103" s="229" t="str">
        <f t="shared" si="1"/>
        <v/>
      </c>
    </row>
    <row r="104" spans="1:38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499"/>
      <c r="AF104" s="500"/>
      <c r="AG104" s="500"/>
      <c r="AH104" s="501"/>
      <c r="AK104" s="229" t="str">
        <f>IF(OR(A104="",A104="[ALL]", A104="[ALL J]", A104="[ALL G]"),"",MAX(AK$3:AK103)+1)</f>
        <v/>
      </c>
      <c r="AL104" s="229" t="str">
        <f t="shared" si="1"/>
        <v/>
      </c>
    </row>
    <row r="105" spans="1:38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499"/>
      <c r="AF105" s="500"/>
      <c r="AG105" s="500"/>
      <c r="AH105" s="501"/>
      <c r="AK105" s="229" t="str">
        <f>IF(OR(A105="",A105="[ALL]", A105="[ALL J]", A105="[ALL G]"),"",MAX(AK$3:AK104)+1)</f>
        <v/>
      </c>
      <c r="AL105" s="229" t="str">
        <f t="shared" si="1"/>
        <v/>
      </c>
    </row>
    <row r="106" spans="1:38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499"/>
      <c r="AF106" s="500"/>
      <c r="AG106" s="500"/>
      <c r="AH106" s="501"/>
      <c r="AK106" s="229" t="str">
        <f>IF(OR(A106="",A106="[ALL]", A106="[ALL J]", A106="[ALL G]"),"",MAX(AK$3:AK105)+1)</f>
        <v/>
      </c>
      <c r="AL106" s="229" t="str">
        <f t="shared" si="1"/>
        <v/>
      </c>
    </row>
    <row r="107" spans="1:38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499"/>
      <c r="AF107" s="500"/>
      <c r="AG107" s="500"/>
      <c r="AH107" s="501"/>
      <c r="AK107" s="229" t="str">
        <f>IF(OR(A107="",A107="[ALL]", A107="[ALL J]", A107="[ALL G]"),"",MAX(AK$3:AK106)+1)</f>
        <v/>
      </c>
      <c r="AL107" s="229" t="str">
        <f t="shared" si="1"/>
        <v/>
      </c>
    </row>
    <row r="108" spans="1:38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499"/>
      <c r="AF108" s="500"/>
      <c r="AG108" s="500"/>
      <c r="AH108" s="501"/>
      <c r="AK108" s="229" t="str">
        <f>IF(OR(A108="",A108="[ALL]", A108="[ALL J]", A108="[ALL G]"),"",MAX(AK$3:AK107)+1)</f>
        <v/>
      </c>
      <c r="AL108" s="229" t="str">
        <f t="shared" si="1"/>
        <v/>
      </c>
    </row>
    <row r="109" spans="1:38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499"/>
      <c r="AF109" s="500"/>
      <c r="AG109" s="500"/>
      <c r="AH109" s="501"/>
      <c r="AK109" s="229" t="str">
        <f>IF(OR(A109="",A109="[ALL]", A109="[ALL J]", A109="[ALL G]"),"",MAX(AK$3:AK108)+1)</f>
        <v/>
      </c>
      <c r="AL109" s="229" t="str">
        <f t="shared" si="1"/>
        <v/>
      </c>
    </row>
    <row r="110" spans="1:38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499"/>
      <c r="AF110" s="500"/>
      <c r="AG110" s="500"/>
      <c r="AH110" s="501"/>
      <c r="AK110" s="229" t="str">
        <f>IF(OR(A110="",A110="[ALL]", A110="[ALL J]", A110="[ALL G]"),"",MAX(AK$3:AK109)+1)</f>
        <v/>
      </c>
      <c r="AL110" s="229" t="str">
        <f t="shared" si="1"/>
        <v/>
      </c>
    </row>
    <row r="111" spans="1:38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499"/>
      <c r="AF111" s="500"/>
      <c r="AG111" s="500"/>
      <c r="AH111" s="501"/>
      <c r="AK111" s="229" t="str">
        <f>IF(OR(A111="",A111="[ALL]", A111="[ALL J]", A111="[ALL G]"),"",MAX(AK$3:AK110)+1)</f>
        <v/>
      </c>
      <c r="AL111" s="229" t="str">
        <f t="shared" si="1"/>
        <v/>
      </c>
    </row>
    <row r="112" spans="1:38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499"/>
      <c r="AF112" s="500"/>
      <c r="AG112" s="500"/>
      <c r="AH112" s="501"/>
      <c r="AK112" s="229" t="str">
        <f>IF(OR(A112="",A112="[ALL]", A112="[ALL J]", A112="[ALL G]"),"",MAX(AK$3:AK111)+1)</f>
        <v/>
      </c>
      <c r="AL112" s="229" t="str">
        <f t="shared" si="1"/>
        <v/>
      </c>
    </row>
    <row r="113" spans="1:38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499"/>
      <c r="AF113" s="500"/>
      <c r="AG113" s="500"/>
      <c r="AH113" s="501"/>
      <c r="AK113" s="229" t="str">
        <f>IF(OR(A113="",A113="[ALL]", A113="[ALL J]", A113="[ALL G]"),"",MAX(AK$3:AK112)+1)</f>
        <v/>
      </c>
      <c r="AL113" s="229" t="str">
        <f t="shared" si="1"/>
        <v/>
      </c>
    </row>
    <row r="114" spans="1:38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499"/>
      <c r="AF114" s="500"/>
      <c r="AG114" s="500"/>
      <c r="AH114" s="501"/>
      <c r="AK114" s="229" t="str">
        <f>IF(OR(A114="",A114="[ALL]", A114="[ALL J]", A114="[ALL G]"),"",MAX(AK$3:AK113)+1)</f>
        <v/>
      </c>
      <c r="AL114" s="229" t="str">
        <f t="shared" si="1"/>
        <v/>
      </c>
    </row>
    <row r="115" spans="1:38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499"/>
      <c r="AF115" s="500"/>
      <c r="AG115" s="500"/>
      <c r="AH115" s="501"/>
      <c r="AK115" s="229" t="str">
        <f>IF(OR(A115="",A115="[ALL]", A115="[ALL J]", A115="[ALL G]"),"",MAX(AK$3:AK114)+1)</f>
        <v/>
      </c>
      <c r="AL115" s="229" t="str">
        <f t="shared" si="1"/>
        <v/>
      </c>
    </row>
    <row r="116" spans="1:38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499"/>
      <c r="AF116" s="500"/>
      <c r="AG116" s="500"/>
      <c r="AH116" s="501"/>
      <c r="AK116" s="229" t="str">
        <f>IF(OR(A116="",A116="[ALL]", A116="[ALL J]", A116="[ALL G]"),"",MAX(AK$3:AK115)+1)</f>
        <v/>
      </c>
      <c r="AL116" s="229" t="str">
        <f t="shared" si="1"/>
        <v/>
      </c>
    </row>
    <row r="117" spans="1:38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499"/>
      <c r="AF117" s="500"/>
      <c r="AG117" s="500"/>
      <c r="AH117" s="501"/>
      <c r="AK117" s="229" t="str">
        <f>IF(OR(A117="",A117="[ALL]", A117="[ALL J]", A117="[ALL G]"),"",MAX(AK$3:AK116)+1)</f>
        <v/>
      </c>
      <c r="AL117" s="229" t="str">
        <f t="shared" si="1"/>
        <v/>
      </c>
    </row>
    <row r="118" spans="1:38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499"/>
      <c r="AF118" s="500"/>
      <c r="AG118" s="500"/>
      <c r="AH118" s="501"/>
      <c r="AK118" s="229" t="str">
        <f>IF(OR(A118="",A118="[ALL]", A118="[ALL J]", A118="[ALL G]"),"",MAX(AK$3:AK117)+1)</f>
        <v/>
      </c>
      <c r="AL118" s="229" t="str">
        <f t="shared" si="1"/>
        <v/>
      </c>
    </row>
    <row r="119" spans="1:38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499"/>
      <c r="AF119" s="500"/>
      <c r="AG119" s="500"/>
      <c r="AH119" s="501"/>
      <c r="AK119" s="229" t="str">
        <f>IF(OR(A119="",A119="[ALL]", A119="[ALL J]", A119="[ALL G]"),"",MAX(AK$3:AK118)+1)</f>
        <v/>
      </c>
      <c r="AL119" s="229" t="str">
        <f t="shared" si="1"/>
        <v/>
      </c>
    </row>
    <row r="120" spans="1:38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499"/>
      <c r="AF120" s="500"/>
      <c r="AG120" s="500"/>
      <c r="AH120" s="501"/>
      <c r="AK120" s="229" t="str">
        <f>IF(OR(A120="",A120="[ALL]", A120="[ALL J]", A120="[ALL G]"),"",MAX(AK$3:AK119)+1)</f>
        <v/>
      </c>
      <c r="AL120" s="229" t="str">
        <f t="shared" si="1"/>
        <v/>
      </c>
    </row>
    <row r="121" spans="1:38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499"/>
      <c r="AF121" s="500"/>
      <c r="AG121" s="500"/>
      <c r="AH121" s="501"/>
      <c r="AK121" s="229" t="str">
        <f>IF(OR(A121="",A121="[ALL]", A121="[ALL J]", A121="[ALL G]"),"",MAX(AK$3:AK120)+1)</f>
        <v/>
      </c>
      <c r="AL121" s="229" t="str">
        <f t="shared" si="1"/>
        <v/>
      </c>
    </row>
    <row r="122" spans="1:38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499"/>
      <c r="AF122" s="500"/>
      <c r="AG122" s="500"/>
      <c r="AH122" s="501"/>
      <c r="AK122" s="229" t="str">
        <f>IF(OR(A122="",A122="[ALL]", A122="[ALL J]", A122="[ALL G]"),"",MAX(AK$3:AK121)+1)</f>
        <v/>
      </c>
      <c r="AL122" s="229" t="str">
        <f t="shared" si="1"/>
        <v/>
      </c>
    </row>
    <row r="123" spans="1:38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499"/>
      <c r="AF123" s="500"/>
      <c r="AG123" s="500"/>
      <c r="AH123" s="501"/>
      <c r="AK123" s="229" t="str">
        <f>IF(OR(A123="",A123="[ALL]", A123="[ALL J]", A123="[ALL G]"),"",MAX(AK$3:AK122)+1)</f>
        <v/>
      </c>
      <c r="AL123" s="229" t="str">
        <f t="shared" si="1"/>
        <v/>
      </c>
    </row>
    <row r="124" spans="1:38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499"/>
      <c r="AF124" s="500"/>
      <c r="AG124" s="500"/>
      <c r="AH124" s="501"/>
      <c r="AK124" s="229" t="str">
        <f>IF(OR(A124="",A124="[ALL]", A124="[ALL J]", A124="[ALL G]"),"",MAX(AK$3:AK123)+1)</f>
        <v/>
      </c>
      <c r="AL124" s="229" t="str">
        <f t="shared" si="1"/>
        <v/>
      </c>
    </row>
    <row r="125" spans="1:38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499"/>
      <c r="AF125" s="500"/>
      <c r="AG125" s="500"/>
      <c r="AH125" s="501"/>
      <c r="AK125" s="229" t="str">
        <f>IF(OR(A125="",A125="[ALL]", A125="[ALL J]", A125="[ALL G]"),"",MAX(AK$3:AK124)+1)</f>
        <v/>
      </c>
      <c r="AL125" s="229" t="str">
        <f t="shared" si="1"/>
        <v/>
      </c>
    </row>
    <row r="126" spans="1:38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499"/>
      <c r="AF126" s="500"/>
      <c r="AG126" s="500"/>
      <c r="AH126" s="501"/>
      <c r="AK126" s="229" t="str">
        <f>IF(OR(A126="",A126="[ALL]", A126="[ALL J]", A126="[ALL G]"),"",MAX(AK$3:AK125)+1)</f>
        <v/>
      </c>
      <c r="AL126" s="229" t="str">
        <f t="shared" si="1"/>
        <v/>
      </c>
    </row>
    <row r="127" spans="1:38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499"/>
      <c r="AF127" s="500"/>
      <c r="AG127" s="500"/>
      <c r="AH127" s="501"/>
      <c r="AK127" s="229" t="str">
        <f>IF(OR(A127="",A127="[ALL]", A127="[ALL J]", A127="[ALL G]"),"",MAX(AK$3:AK126)+1)</f>
        <v/>
      </c>
      <c r="AL127" s="229" t="str">
        <f t="shared" si="1"/>
        <v/>
      </c>
    </row>
    <row r="128" spans="1:38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499"/>
      <c r="AF128" s="500"/>
      <c r="AG128" s="500"/>
      <c r="AH128" s="501"/>
      <c r="AK128" s="229" t="str">
        <f>IF(OR(A128="",A128="[ALL]", A128="[ALL J]", A128="[ALL G]"),"",MAX(AK$3:AK127)+1)</f>
        <v/>
      </c>
      <c r="AL128" s="229" t="str">
        <f t="shared" si="1"/>
        <v/>
      </c>
    </row>
    <row r="129" spans="1:38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499"/>
      <c r="AF129" s="500"/>
      <c r="AG129" s="500"/>
      <c r="AH129" s="501"/>
      <c r="AK129" s="229" t="str">
        <f>IF(OR(A129="",A129="[ALL]", A129="[ALL J]", A129="[ALL G]"),"",MAX(AK$3:AK128)+1)</f>
        <v/>
      </c>
      <c r="AL129" s="229" t="str">
        <f t="shared" si="1"/>
        <v/>
      </c>
    </row>
    <row r="130" spans="1:38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499"/>
      <c r="AF130" s="500"/>
      <c r="AG130" s="500"/>
      <c r="AH130" s="501"/>
      <c r="AK130" s="229" t="str">
        <f>IF(OR(A130="",A130="[ALL]", A130="[ALL J]", A130="[ALL G]"),"",MAX(AK$3:AK129)+1)</f>
        <v/>
      </c>
      <c r="AL130" s="229" t="str">
        <f t="shared" si="1"/>
        <v/>
      </c>
    </row>
    <row r="131" spans="1:38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499"/>
      <c r="AF131" s="500"/>
      <c r="AG131" s="500"/>
      <c r="AH131" s="501"/>
      <c r="AK131" s="229" t="str">
        <f>IF(OR(A131="",A131="[ALL]", A131="[ALL J]", A131="[ALL G]"),"",MAX(AK$3:AK130)+1)</f>
        <v/>
      </c>
      <c r="AL131" s="229" t="str">
        <f t="shared" si="1"/>
        <v/>
      </c>
    </row>
    <row r="132" spans="1:38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499"/>
      <c r="AF132" s="500"/>
      <c r="AG132" s="500"/>
      <c r="AH132" s="501"/>
      <c r="AK132" s="229" t="str">
        <f>IF(OR(A132="",A132="[ALL]", A132="[ALL J]", A132="[ALL G]"),"",MAX(AK$3:AK131)+1)</f>
        <v/>
      </c>
      <c r="AL132" s="229" t="str">
        <f t="shared" si="1"/>
        <v/>
      </c>
    </row>
    <row r="133" spans="1:38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499"/>
      <c r="AF133" s="500"/>
      <c r="AG133" s="500"/>
      <c r="AH133" s="501"/>
      <c r="AK133" s="229" t="str">
        <f>IF(OR(A133="",A133="[ALL]", A133="[ALL J]", A133="[ALL G]"),"",MAX(AK$3:AK132)+1)</f>
        <v/>
      </c>
      <c r="AL133" s="229" t="str">
        <f t="shared" ref="AL133:AL196" si="2">IFERROR(INDEX($A$4:$A$1000,MATCH(ROW()-ROW($AL$3),$AK$4:$AK$1000,0)),"")</f>
        <v/>
      </c>
    </row>
    <row r="134" spans="1:38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499"/>
      <c r="AF134" s="500"/>
      <c r="AG134" s="500"/>
      <c r="AH134" s="501"/>
      <c r="AK134" s="229" t="str">
        <f>IF(OR(A134="",A134="[ALL]", A134="[ALL J]", A134="[ALL G]"),"",MAX(AK$3:AK133)+1)</f>
        <v/>
      </c>
      <c r="AL134" s="229" t="str">
        <f t="shared" si="2"/>
        <v/>
      </c>
    </row>
    <row r="135" spans="1:38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499"/>
      <c r="AF135" s="500"/>
      <c r="AG135" s="500"/>
      <c r="AH135" s="501"/>
      <c r="AK135" s="229" t="str">
        <f>IF(OR(A135="",A135="[ALL]", A135="[ALL J]", A135="[ALL G]"),"",MAX(AK$3:AK134)+1)</f>
        <v/>
      </c>
      <c r="AL135" s="229" t="str">
        <f t="shared" si="2"/>
        <v/>
      </c>
    </row>
    <row r="136" spans="1:38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499"/>
      <c r="AF136" s="500"/>
      <c r="AG136" s="500"/>
      <c r="AH136" s="501"/>
      <c r="AK136" s="229" t="str">
        <f>IF(OR(A136="",A136="[ALL]", A136="[ALL J]", A136="[ALL G]"),"",MAX(AK$3:AK135)+1)</f>
        <v/>
      </c>
      <c r="AL136" s="229" t="str">
        <f t="shared" si="2"/>
        <v/>
      </c>
    </row>
    <row r="137" spans="1:38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499"/>
      <c r="AF137" s="500"/>
      <c r="AG137" s="500"/>
      <c r="AH137" s="501"/>
      <c r="AK137" s="229" t="str">
        <f>IF(OR(A137="",A137="[ALL]", A137="[ALL J]", A137="[ALL G]"),"",MAX(AK$3:AK136)+1)</f>
        <v/>
      </c>
      <c r="AL137" s="229" t="str">
        <f t="shared" si="2"/>
        <v/>
      </c>
    </row>
    <row r="138" spans="1:38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499"/>
      <c r="AF138" s="500"/>
      <c r="AG138" s="500"/>
      <c r="AH138" s="501"/>
      <c r="AK138" s="229" t="str">
        <f>IF(OR(A138="",A138="[ALL]", A138="[ALL J]", A138="[ALL G]"),"",MAX(AK$3:AK137)+1)</f>
        <v/>
      </c>
      <c r="AL138" s="229" t="str">
        <f t="shared" si="2"/>
        <v/>
      </c>
    </row>
    <row r="139" spans="1:38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499"/>
      <c r="AF139" s="500"/>
      <c r="AG139" s="500"/>
      <c r="AH139" s="501"/>
      <c r="AK139" s="229" t="str">
        <f>IF(OR(A139="",A139="[ALL]", A139="[ALL J]", A139="[ALL G]"),"",MAX(AK$3:AK138)+1)</f>
        <v/>
      </c>
      <c r="AL139" s="229" t="str">
        <f t="shared" si="2"/>
        <v/>
      </c>
    </row>
    <row r="140" spans="1:38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499"/>
      <c r="AF140" s="500"/>
      <c r="AG140" s="500"/>
      <c r="AH140" s="501"/>
      <c r="AK140" s="229" t="str">
        <f>IF(OR(A140="",A140="[ALL]", A140="[ALL J]", A140="[ALL G]"),"",MAX(AK$3:AK139)+1)</f>
        <v/>
      </c>
      <c r="AL140" s="229" t="str">
        <f t="shared" si="2"/>
        <v/>
      </c>
    </row>
    <row r="141" spans="1:38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499"/>
      <c r="AF141" s="500"/>
      <c r="AG141" s="500"/>
      <c r="AH141" s="501"/>
      <c r="AK141" s="229" t="str">
        <f>IF(OR(A141="",A141="[ALL]", A141="[ALL J]", A141="[ALL G]"),"",MAX(AK$3:AK140)+1)</f>
        <v/>
      </c>
      <c r="AL141" s="229" t="str">
        <f t="shared" si="2"/>
        <v/>
      </c>
    </row>
    <row r="142" spans="1:38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499"/>
      <c r="AF142" s="500"/>
      <c r="AG142" s="500"/>
      <c r="AH142" s="501"/>
      <c r="AK142" s="229" t="str">
        <f>IF(OR(A142="",A142="[ALL]", A142="[ALL J]", A142="[ALL G]"),"",MAX(AK$3:AK141)+1)</f>
        <v/>
      </c>
      <c r="AL142" s="229" t="str">
        <f t="shared" si="2"/>
        <v/>
      </c>
    </row>
    <row r="143" spans="1:38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499"/>
      <c r="AF143" s="500"/>
      <c r="AG143" s="500"/>
      <c r="AH143" s="501"/>
      <c r="AK143" s="229" t="str">
        <f>IF(OR(A143="",A143="[ALL]", A143="[ALL J]", A143="[ALL G]"),"",MAX(AK$3:AK142)+1)</f>
        <v/>
      </c>
      <c r="AL143" s="229" t="str">
        <f t="shared" si="2"/>
        <v/>
      </c>
    </row>
    <row r="144" spans="1:38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499"/>
      <c r="AF144" s="500"/>
      <c r="AG144" s="500"/>
      <c r="AH144" s="501"/>
      <c r="AK144" s="229" t="str">
        <f>IF(OR(A144="",A144="[ALL]", A144="[ALL J]", A144="[ALL G]"),"",MAX(AK$3:AK143)+1)</f>
        <v/>
      </c>
      <c r="AL144" s="229" t="str">
        <f t="shared" si="2"/>
        <v/>
      </c>
    </row>
    <row r="145" spans="1:38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499"/>
      <c r="AF145" s="500"/>
      <c r="AG145" s="500"/>
      <c r="AH145" s="501"/>
      <c r="AK145" s="229" t="str">
        <f>IF(OR(A145="",A145="[ALL]", A145="[ALL J]", A145="[ALL G]"),"",MAX(AK$3:AK144)+1)</f>
        <v/>
      </c>
      <c r="AL145" s="229" t="str">
        <f t="shared" si="2"/>
        <v/>
      </c>
    </row>
    <row r="146" spans="1:38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499"/>
      <c r="AF146" s="500"/>
      <c r="AG146" s="500"/>
      <c r="AH146" s="501"/>
      <c r="AK146" s="229" t="str">
        <f>IF(OR(A146="",A146="[ALL]", A146="[ALL J]", A146="[ALL G]"),"",MAX(AK$3:AK145)+1)</f>
        <v/>
      </c>
      <c r="AL146" s="229" t="str">
        <f t="shared" si="2"/>
        <v/>
      </c>
    </row>
    <row r="147" spans="1:38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499"/>
      <c r="AF147" s="500"/>
      <c r="AG147" s="500"/>
      <c r="AH147" s="501"/>
      <c r="AK147" s="229" t="str">
        <f>IF(OR(A147="",A147="[ALL]", A147="[ALL J]", A147="[ALL G]"),"",MAX(AK$3:AK146)+1)</f>
        <v/>
      </c>
      <c r="AL147" s="229" t="str">
        <f t="shared" si="2"/>
        <v/>
      </c>
    </row>
    <row r="148" spans="1:38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499"/>
      <c r="AF148" s="500"/>
      <c r="AG148" s="500"/>
      <c r="AH148" s="501"/>
      <c r="AK148" s="229" t="str">
        <f>IF(OR(A148="",A148="[ALL]", A148="[ALL J]", A148="[ALL G]"),"",MAX(AK$3:AK147)+1)</f>
        <v/>
      </c>
      <c r="AL148" s="229" t="str">
        <f t="shared" si="2"/>
        <v/>
      </c>
    </row>
    <row r="149" spans="1:38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499"/>
      <c r="AF149" s="500"/>
      <c r="AG149" s="500"/>
      <c r="AH149" s="501"/>
      <c r="AK149" s="229" t="str">
        <f>IF(OR(A149="",A149="[ALL]", A149="[ALL J]", A149="[ALL G]"),"",MAX(AK$3:AK148)+1)</f>
        <v/>
      </c>
      <c r="AL149" s="229" t="str">
        <f t="shared" si="2"/>
        <v/>
      </c>
    </row>
    <row r="150" spans="1:38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499"/>
      <c r="AF150" s="500"/>
      <c r="AG150" s="500"/>
      <c r="AH150" s="501"/>
      <c r="AK150" s="229" t="str">
        <f>IF(OR(A150="",A150="[ALL]", A150="[ALL J]", A150="[ALL G]"),"",MAX(AK$3:AK149)+1)</f>
        <v/>
      </c>
      <c r="AL150" s="229" t="str">
        <f t="shared" si="2"/>
        <v/>
      </c>
    </row>
    <row r="151" spans="1:38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499"/>
      <c r="AF151" s="500"/>
      <c r="AG151" s="500"/>
      <c r="AH151" s="501"/>
      <c r="AK151" s="229" t="str">
        <f>IF(OR(A151="",A151="[ALL]", A151="[ALL J]", A151="[ALL G]"),"",MAX(AK$3:AK150)+1)</f>
        <v/>
      </c>
      <c r="AL151" s="229" t="str">
        <f t="shared" si="2"/>
        <v/>
      </c>
    </row>
    <row r="152" spans="1:38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499"/>
      <c r="AF152" s="500"/>
      <c r="AG152" s="500"/>
      <c r="AH152" s="501"/>
      <c r="AK152" s="229" t="str">
        <f>IF(OR(A152="",A152="[ALL]", A152="[ALL J]", A152="[ALL G]"),"",MAX(AK$3:AK151)+1)</f>
        <v/>
      </c>
      <c r="AL152" s="229" t="str">
        <f t="shared" si="2"/>
        <v/>
      </c>
    </row>
    <row r="153" spans="1:38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499"/>
      <c r="AF153" s="500"/>
      <c r="AG153" s="500"/>
      <c r="AH153" s="501"/>
      <c r="AK153" s="229" t="str">
        <f>IF(OR(A153="",A153="[ALL]", A153="[ALL J]", A153="[ALL G]"),"",MAX(AK$3:AK152)+1)</f>
        <v/>
      </c>
      <c r="AL153" s="229" t="str">
        <f t="shared" si="2"/>
        <v/>
      </c>
    </row>
    <row r="154" spans="1:38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499"/>
      <c r="AF154" s="500"/>
      <c r="AG154" s="500"/>
      <c r="AH154" s="501"/>
      <c r="AK154" s="229" t="str">
        <f>IF(OR(A154="",A154="[ALL]", A154="[ALL J]", A154="[ALL G]"),"",MAX(AK$3:AK153)+1)</f>
        <v/>
      </c>
      <c r="AL154" s="229" t="str">
        <f t="shared" si="2"/>
        <v/>
      </c>
    </row>
    <row r="155" spans="1:38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499"/>
      <c r="AF155" s="500"/>
      <c r="AG155" s="500"/>
      <c r="AH155" s="501"/>
      <c r="AK155" s="229" t="str">
        <f>IF(OR(A155="",A155="[ALL]", A155="[ALL J]", A155="[ALL G]"),"",MAX(AK$3:AK154)+1)</f>
        <v/>
      </c>
      <c r="AL155" s="229" t="str">
        <f t="shared" si="2"/>
        <v/>
      </c>
    </row>
    <row r="156" spans="1:38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499"/>
      <c r="AF156" s="500"/>
      <c r="AG156" s="500"/>
      <c r="AH156" s="501"/>
      <c r="AK156" s="229" t="str">
        <f>IF(OR(A156="",A156="[ALL]", A156="[ALL J]", A156="[ALL G]"),"",MAX(AK$3:AK155)+1)</f>
        <v/>
      </c>
      <c r="AL156" s="229" t="str">
        <f t="shared" si="2"/>
        <v/>
      </c>
    </row>
    <row r="157" spans="1:38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499"/>
      <c r="AF157" s="500"/>
      <c r="AG157" s="500"/>
      <c r="AH157" s="501"/>
      <c r="AK157" s="229" t="str">
        <f>IF(OR(A157="",A157="[ALL]", A157="[ALL J]", A157="[ALL G]"),"",MAX(AK$3:AK156)+1)</f>
        <v/>
      </c>
      <c r="AL157" s="229" t="str">
        <f t="shared" si="2"/>
        <v/>
      </c>
    </row>
    <row r="158" spans="1:38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499"/>
      <c r="AF158" s="500"/>
      <c r="AG158" s="500"/>
      <c r="AH158" s="501"/>
      <c r="AK158" s="229" t="str">
        <f>IF(OR(A158="",A158="[ALL]", A158="[ALL J]", A158="[ALL G]"),"",MAX(AK$3:AK157)+1)</f>
        <v/>
      </c>
      <c r="AL158" s="229" t="str">
        <f t="shared" si="2"/>
        <v/>
      </c>
    </row>
    <row r="159" spans="1:38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499"/>
      <c r="AF159" s="500"/>
      <c r="AG159" s="500"/>
      <c r="AH159" s="501"/>
      <c r="AK159" s="229" t="str">
        <f>IF(OR(A159="",A159="[ALL]", A159="[ALL J]", A159="[ALL G]"),"",MAX(AK$3:AK158)+1)</f>
        <v/>
      </c>
      <c r="AL159" s="229" t="str">
        <f t="shared" si="2"/>
        <v/>
      </c>
    </row>
    <row r="160" spans="1:38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499"/>
      <c r="AF160" s="500"/>
      <c r="AG160" s="500"/>
      <c r="AH160" s="501"/>
      <c r="AK160" s="229" t="str">
        <f>IF(OR(A160="",A160="[ALL]", A160="[ALL J]", A160="[ALL G]"),"",MAX(AK$3:AK159)+1)</f>
        <v/>
      </c>
      <c r="AL160" s="229" t="str">
        <f t="shared" si="2"/>
        <v/>
      </c>
    </row>
    <row r="161" spans="1:38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499"/>
      <c r="AF161" s="500"/>
      <c r="AG161" s="500"/>
      <c r="AH161" s="501"/>
      <c r="AK161" s="229" t="str">
        <f>IF(OR(A161="",A161="[ALL]", A161="[ALL J]", A161="[ALL G]"),"",MAX(AK$3:AK160)+1)</f>
        <v/>
      </c>
      <c r="AL161" s="229" t="str">
        <f t="shared" si="2"/>
        <v/>
      </c>
    </row>
    <row r="162" spans="1:38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499"/>
      <c r="AF162" s="500"/>
      <c r="AG162" s="500"/>
      <c r="AH162" s="501"/>
      <c r="AK162" s="229" t="str">
        <f>IF(OR(A162="",A162="[ALL]", A162="[ALL J]", A162="[ALL G]"),"",MAX(AK$3:AK161)+1)</f>
        <v/>
      </c>
      <c r="AL162" s="229" t="str">
        <f t="shared" si="2"/>
        <v/>
      </c>
    </row>
    <row r="163" spans="1:38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499"/>
      <c r="AF163" s="500"/>
      <c r="AG163" s="500"/>
      <c r="AH163" s="501"/>
      <c r="AK163" s="229" t="str">
        <f>IF(OR(A163="",A163="[ALL]", A163="[ALL J]", A163="[ALL G]"),"",MAX(AK$3:AK162)+1)</f>
        <v/>
      </c>
      <c r="AL163" s="229" t="str">
        <f t="shared" si="2"/>
        <v/>
      </c>
    </row>
    <row r="164" spans="1:38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499"/>
      <c r="AF164" s="500"/>
      <c r="AG164" s="500"/>
      <c r="AH164" s="501"/>
      <c r="AK164" s="229" t="str">
        <f>IF(OR(A164="",A164="[ALL]", A164="[ALL J]", A164="[ALL G]"),"",MAX(AK$3:AK163)+1)</f>
        <v/>
      </c>
      <c r="AL164" s="229" t="str">
        <f t="shared" si="2"/>
        <v/>
      </c>
    </row>
    <row r="165" spans="1:38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499"/>
      <c r="AF165" s="500"/>
      <c r="AG165" s="500"/>
      <c r="AH165" s="501"/>
      <c r="AK165" s="229" t="str">
        <f>IF(OR(A165="",A165="[ALL]", A165="[ALL J]", A165="[ALL G]"),"",MAX(AK$3:AK164)+1)</f>
        <v/>
      </c>
      <c r="AL165" s="229" t="str">
        <f t="shared" si="2"/>
        <v/>
      </c>
    </row>
    <row r="166" spans="1:38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499"/>
      <c r="AF166" s="500"/>
      <c r="AG166" s="500"/>
      <c r="AH166" s="501"/>
      <c r="AK166" s="229" t="str">
        <f>IF(OR(A166="",A166="[ALL]", A166="[ALL J]", A166="[ALL G]"),"",MAX(AK$3:AK165)+1)</f>
        <v/>
      </c>
      <c r="AL166" s="229" t="str">
        <f t="shared" si="2"/>
        <v/>
      </c>
    </row>
    <row r="167" spans="1:38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499"/>
      <c r="AF167" s="500"/>
      <c r="AG167" s="500"/>
      <c r="AH167" s="501"/>
      <c r="AK167" s="229" t="str">
        <f>IF(OR(A167="",A167="[ALL]", A167="[ALL J]", A167="[ALL G]"),"",MAX(AK$3:AK166)+1)</f>
        <v/>
      </c>
      <c r="AL167" s="229" t="str">
        <f t="shared" si="2"/>
        <v/>
      </c>
    </row>
    <row r="168" spans="1:38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499"/>
      <c r="AF168" s="500"/>
      <c r="AG168" s="500"/>
      <c r="AH168" s="501"/>
      <c r="AK168" s="229" t="str">
        <f>IF(OR(A168="",A168="[ALL]", A168="[ALL J]", A168="[ALL G]"),"",MAX(AK$3:AK167)+1)</f>
        <v/>
      </c>
      <c r="AL168" s="229" t="str">
        <f t="shared" si="2"/>
        <v/>
      </c>
    </row>
    <row r="169" spans="1:38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499"/>
      <c r="AF169" s="500"/>
      <c r="AG169" s="500"/>
      <c r="AH169" s="501"/>
      <c r="AK169" s="229" t="str">
        <f>IF(OR(A169="",A169="[ALL]", A169="[ALL J]", A169="[ALL G]"),"",MAX(AK$3:AK168)+1)</f>
        <v/>
      </c>
      <c r="AL169" s="229" t="str">
        <f t="shared" si="2"/>
        <v/>
      </c>
    </row>
    <row r="170" spans="1:38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499"/>
      <c r="AF170" s="500"/>
      <c r="AG170" s="500"/>
      <c r="AH170" s="501"/>
      <c r="AK170" s="229" t="str">
        <f>IF(OR(A170="",A170="[ALL]", A170="[ALL J]", A170="[ALL G]"),"",MAX(AK$3:AK169)+1)</f>
        <v/>
      </c>
      <c r="AL170" s="229" t="str">
        <f t="shared" si="2"/>
        <v/>
      </c>
    </row>
    <row r="171" spans="1:38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499"/>
      <c r="AF171" s="500"/>
      <c r="AG171" s="500"/>
      <c r="AH171" s="501"/>
      <c r="AK171" s="229" t="str">
        <f>IF(OR(A171="",A171="[ALL]", A171="[ALL J]", A171="[ALL G]"),"",MAX(AK$3:AK170)+1)</f>
        <v/>
      </c>
      <c r="AL171" s="229" t="str">
        <f t="shared" si="2"/>
        <v/>
      </c>
    </row>
    <row r="172" spans="1:38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499"/>
      <c r="AF172" s="500"/>
      <c r="AG172" s="500"/>
      <c r="AH172" s="501"/>
      <c r="AK172" s="229" t="str">
        <f>IF(OR(A172="",A172="[ALL]", A172="[ALL J]", A172="[ALL G]"),"",MAX(AK$3:AK171)+1)</f>
        <v/>
      </c>
      <c r="AL172" s="229" t="str">
        <f t="shared" si="2"/>
        <v/>
      </c>
    </row>
    <row r="173" spans="1:38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499"/>
      <c r="AF173" s="500"/>
      <c r="AG173" s="500"/>
      <c r="AH173" s="501"/>
      <c r="AK173" s="229" t="str">
        <f>IF(OR(A173="",A173="[ALL]", A173="[ALL J]", A173="[ALL G]"),"",MAX(AK$3:AK172)+1)</f>
        <v/>
      </c>
      <c r="AL173" s="229" t="str">
        <f t="shared" si="2"/>
        <v/>
      </c>
    </row>
    <row r="174" spans="1:38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499"/>
      <c r="AF174" s="500"/>
      <c r="AG174" s="500"/>
      <c r="AH174" s="501"/>
      <c r="AK174" s="229" t="str">
        <f>IF(OR(A174="",A174="[ALL]", A174="[ALL J]", A174="[ALL G]"),"",MAX(AK$3:AK173)+1)</f>
        <v/>
      </c>
      <c r="AL174" s="229" t="str">
        <f t="shared" si="2"/>
        <v/>
      </c>
    </row>
    <row r="175" spans="1:38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499"/>
      <c r="AF175" s="500"/>
      <c r="AG175" s="500"/>
      <c r="AH175" s="501"/>
      <c r="AK175" s="229" t="str">
        <f>IF(OR(A175="",A175="[ALL]", A175="[ALL J]", A175="[ALL G]"),"",MAX(AK$3:AK174)+1)</f>
        <v/>
      </c>
      <c r="AL175" s="229" t="str">
        <f t="shared" si="2"/>
        <v/>
      </c>
    </row>
    <row r="176" spans="1:38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499"/>
      <c r="AF176" s="500"/>
      <c r="AG176" s="500"/>
      <c r="AH176" s="501"/>
      <c r="AK176" s="229" t="str">
        <f>IF(OR(A176="",A176="[ALL]", A176="[ALL J]", A176="[ALL G]"),"",MAX(AK$3:AK175)+1)</f>
        <v/>
      </c>
      <c r="AL176" s="229" t="str">
        <f t="shared" si="2"/>
        <v/>
      </c>
    </row>
    <row r="177" spans="1:38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499"/>
      <c r="AF177" s="500"/>
      <c r="AG177" s="500"/>
      <c r="AH177" s="501"/>
      <c r="AK177" s="229" t="str">
        <f>IF(OR(A177="",A177="[ALL]", A177="[ALL J]", A177="[ALL G]"),"",MAX(AK$3:AK176)+1)</f>
        <v/>
      </c>
      <c r="AL177" s="229" t="str">
        <f t="shared" si="2"/>
        <v/>
      </c>
    </row>
    <row r="178" spans="1:38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499"/>
      <c r="AF178" s="500"/>
      <c r="AG178" s="500"/>
      <c r="AH178" s="501"/>
      <c r="AK178" s="229" t="str">
        <f>IF(OR(A178="",A178="[ALL]", A178="[ALL J]", A178="[ALL G]"),"",MAX(AK$3:AK177)+1)</f>
        <v/>
      </c>
      <c r="AL178" s="229" t="str">
        <f t="shared" si="2"/>
        <v/>
      </c>
    </row>
    <row r="179" spans="1:38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499"/>
      <c r="AF179" s="500"/>
      <c r="AG179" s="500"/>
      <c r="AH179" s="501"/>
      <c r="AK179" s="229" t="str">
        <f>IF(OR(A179="",A179="[ALL]", A179="[ALL J]", A179="[ALL G]"),"",MAX(AK$3:AK178)+1)</f>
        <v/>
      </c>
      <c r="AL179" s="229" t="str">
        <f t="shared" si="2"/>
        <v/>
      </c>
    </row>
    <row r="180" spans="1:38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499"/>
      <c r="AF180" s="500"/>
      <c r="AG180" s="500"/>
      <c r="AH180" s="501"/>
      <c r="AK180" s="229" t="str">
        <f>IF(OR(A180="",A180="[ALL]", A180="[ALL J]", A180="[ALL G]"),"",MAX(AK$3:AK179)+1)</f>
        <v/>
      </c>
      <c r="AL180" s="229" t="str">
        <f t="shared" si="2"/>
        <v/>
      </c>
    </row>
    <row r="181" spans="1:38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499"/>
      <c r="AF181" s="500"/>
      <c r="AG181" s="500"/>
      <c r="AH181" s="501"/>
      <c r="AK181" s="229" t="str">
        <f>IF(OR(A181="",A181="[ALL]", A181="[ALL J]", A181="[ALL G]"),"",MAX(AK$3:AK180)+1)</f>
        <v/>
      </c>
      <c r="AL181" s="229" t="str">
        <f t="shared" si="2"/>
        <v/>
      </c>
    </row>
    <row r="182" spans="1:38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499"/>
      <c r="AF182" s="500"/>
      <c r="AG182" s="500"/>
      <c r="AH182" s="501"/>
      <c r="AK182" s="229" t="str">
        <f>IF(OR(A182="",A182="[ALL]", A182="[ALL J]", A182="[ALL G]"),"",MAX(AK$3:AK181)+1)</f>
        <v/>
      </c>
      <c r="AL182" s="229" t="str">
        <f t="shared" si="2"/>
        <v/>
      </c>
    </row>
    <row r="183" spans="1:38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499"/>
      <c r="AF183" s="500"/>
      <c r="AG183" s="500"/>
      <c r="AH183" s="501"/>
      <c r="AK183" s="229" t="str">
        <f>IF(OR(A183="",A183="[ALL]", A183="[ALL J]", A183="[ALL G]"),"",MAX(AK$3:AK182)+1)</f>
        <v/>
      </c>
      <c r="AL183" s="229" t="str">
        <f t="shared" si="2"/>
        <v/>
      </c>
    </row>
    <row r="184" spans="1:38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499"/>
      <c r="AF184" s="500"/>
      <c r="AG184" s="500"/>
      <c r="AH184" s="501"/>
      <c r="AK184" s="229" t="str">
        <f>IF(OR(A184="",A184="[ALL]", A184="[ALL J]", A184="[ALL G]"),"",MAX(AK$3:AK183)+1)</f>
        <v/>
      </c>
      <c r="AL184" s="229" t="str">
        <f t="shared" si="2"/>
        <v/>
      </c>
    </row>
    <row r="185" spans="1:38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499"/>
      <c r="AF185" s="500"/>
      <c r="AG185" s="500"/>
      <c r="AH185" s="501"/>
      <c r="AK185" s="229" t="str">
        <f>IF(OR(A185="",A185="[ALL]", A185="[ALL J]", A185="[ALL G]"),"",MAX(AK$3:AK184)+1)</f>
        <v/>
      </c>
      <c r="AL185" s="229" t="str">
        <f t="shared" si="2"/>
        <v/>
      </c>
    </row>
    <row r="186" spans="1:38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499"/>
      <c r="AF186" s="500"/>
      <c r="AG186" s="500"/>
      <c r="AH186" s="501"/>
      <c r="AK186" s="229" t="str">
        <f>IF(OR(A186="",A186="[ALL]", A186="[ALL J]", A186="[ALL G]"),"",MAX(AK$3:AK185)+1)</f>
        <v/>
      </c>
      <c r="AL186" s="229" t="str">
        <f t="shared" si="2"/>
        <v/>
      </c>
    </row>
    <row r="187" spans="1:38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499"/>
      <c r="AF187" s="500"/>
      <c r="AG187" s="500"/>
      <c r="AH187" s="501"/>
      <c r="AK187" s="229" t="str">
        <f>IF(OR(A187="",A187="[ALL]", A187="[ALL J]", A187="[ALL G]"),"",MAX(AK$3:AK186)+1)</f>
        <v/>
      </c>
      <c r="AL187" s="229" t="str">
        <f t="shared" si="2"/>
        <v/>
      </c>
    </row>
    <row r="188" spans="1:38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499"/>
      <c r="AF188" s="500"/>
      <c r="AG188" s="500"/>
      <c r="AH188" s="501"/>
      <c r="AK188" s="229" t="str">
        <f>IF(OR(A188="",A188="[ALL]", A188="[ALL J]", A188="[ALL G]"),"",MAX(AK$3:AK187)+1)</f>
        <v/>
      </c>
      <c r="AL188" s="229" t="str">
        <f t="shared" si="2"/>
        <v/>
      </c>
    </row>
    <row r="189" spans="1:38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499"/>
      <c r="AF189" s="500"/>
      <c r="AG189" s="500"/>
      <c r="AH189" s="501"/>
      <c r="AK189" s="229" t="str">
        <f>IF(OR(A189="",A189="[ALL]", A189="[ALL J]", A189="[ALL G]"),"",MAX(AK$3:AK188)+1)</f>
        <v/>
      </c>
      <c r="AL189" s="229" t="str">
        <f t="shared" si="2"/>
        <v/>
      </c>
    </row>
    <row r="190" spans="1:38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499"/>
      <c r="AF190" s="500"/>
      <c r="AG190" s="500"/>
      <c r="AH190" s="501"/>
      <c r="AK190" s="229" t="str">
        <f>IF(OR(A190="",A190="[ALL]", A190="[ALL J]", A190="[ALL G]"),"",MAX(AK$3:AK189)+1)</f>
        <v/>
      </c>
      <c r="AL190" s="229" t="str">
        <f t="shared" si="2"/>
        <v/>
      </c>
    </row>
    <row r="191" spans="1:38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499"/>
      <c r="AF191" s="500"/>
      <c r="AG191" s="500"/>
      <c r="AH191" s="501"/>
      <c r="AK191" s="229" t="str">
        <f>IF(OR(A191="",A191="[ALL]", A191="[ALL J]", A191="[ALL G]"),"",MAX(AK$3:AK190)+1)</f>
        <v/>
      </c>
      <c r="AL191" s="229" t="str">
        <f t="shared" si="2"/>
        <v/>
      </c>
    </row>
    <row r="192" spans="1:38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499"/>
      <c r="AF192" s="500"/>
      <c r="AG192" s="500"/>
      <c r="AH192" s="501"/>
      <c r="AK192" s="229" t="str">
        <f>IF(OR(A192="",A192="[ALL]", A192="[ALL J]", A192="[ALL G]"),"",MAX(AK$3:AK191)+1)</f>
        <v/>
      </c>
      <c r="AL192" s="229" t="str">
        <f t="shared" si="2"/>
        <v/>
      </c>
    </row>
    <row r="193" spans="1:38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499"/>
      <c r="AF193" s="500"/>
      <c r="AG193" s="500"/>
      <c r="AH193" s="501"/>
      <c r="AK193" s="229" t="str">
        <f>IF(OR(A193="",A193="[ALL]", A193="[ALL J]", A193="[ALL G]"),"",MAX(AK$3:AK192)+1)</f>
        <v/>
      </c>
      <c r="AL193" s="229" t="str">
        <f t="shared" si="2"/>
        <v/>
      </c>
    </row>
    <row r="194" spans="1:38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499"/>
      <c r="AF194" s="500"/>
      <c r="AG194" s="500"/>
      <c r="AH194" s="501"/>
      <c r="AK194" s="229" t="str">
        <f>IF(OR(A194="",A194="[ALL]", A194="[ALL J]", A194="[ALL G]"),"",MAX(AK$3:AK193)+1)</f>
        <v/>
      </c>
      <c r="AL194" s="229" t="str">
        <f t="shared" si="2"/>
        <v/>
      </c>
    </row>
    <row r="195" spans="1:38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499"/>
      <c r="AF195" s="500"/>
      <c r="AG195" s="500"/>
      <c r="AH195" s="501"/>
      <c r="AK195" s="229" t="str">
        <f>IF(OR(A195="",A195="[ALL]", A195="[ALL J]", A195="[ALL G]"),"",MAX(AK$3:AK194)+1)</f>
        <v/>
      </c>
      <c r="AL195" s="229" t="str">
        <f t="shared" si="2"/>
        <v/>
      </c>
    </row>
    <row r="196" spans="1:38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499"/>
      <c r="AF196" s="500"/>
      <c r="AG196" s="500"/>
      <c r="AH196" s="501"/>
      <c r="AK196" s="229" t="str">
        <f>IF(OR(A196="",A196="[ALL]", A196="[ALL J]", A196="[ALL G]"),"",MAX(AK$3:AK195)+1)</f>
        <v/>
      </c>
      <c r="AL196" s="229" t="str">
        <f t="shared" si="2"/>
        <v/>
      </c>
    </row>
    <row r="197" spans="1:38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499"/>
      <c r="AF197" s="500"/>
      <c r="AG197" s="500"/>
      <c r="AH197" s="501"/>
      <c r="AK197" s="229" t="str">
        <f>IF(OR(A197="",A197="[ALL]", A197="[ALL J]", A197="[ALL G]"),"",MAX(AK$3:AK196)+1)</f>
        <v/>
      </c>
      <c r="AL197" s="229" t="str">
        <f t="shared" ref="AL197:AL260" si="3">IFERROR(INDEX($A$4:$A$1000,MATCH(ROW()-ROW($AL$3),$AK$4:$AK$1000,0)),"")</f>
        <v/>
      </c>
    </row>
    <row r="198" spans="1:38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499"/>
      <c r="AF198" s="500"/>
      <c r="AG198" s="500"/>
      <c r="AH198" s="501"/>
      <c r="AK198" s="229" t="str">
        <f>IF(OR(A198="",A198="[ALL]", A198="[ALL J]", A198="[ALL G]"),"",MAX(AK$3:AK197)+1)</f>
        <v/>
      </c>
      <c r="AL198" s="229" t="str">
        <f t="shared" si="3"/>
        <v/>
      </c>
    </row>
    <row r="199" spans="1:38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499"/>
      <c r="AF199" s="500"/>
      <c r="AG199" s="500"/>
      <c r="AH199" s="501"/>
      <c r="AK199" s="229" t="str">
        <f>IF(OR(A199="",A199="[ALL]", A199="[ALL J]", A199="[ALL G]"),"",MAX(AK$3:AK198)+1)</f>
        <v/>
      </c>
      <c r="AL199" s="229" t="str">
        <f t="shared" si="3"/>
        <v/>
      </c>
    </row>
    <row r="200" spans="1:38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499"/>
      <c r="AF200" s="500"/>
      <c r="AG200" s="500"/>
      <c r="AH200" s="501"/>
      <c r="AK200" s="229" t="str">
        <f>IF(OR(A200="",A200="[ALL]", A200="[ALL J]", A200="[ALL G]"),"",MAX(AK$3:AK199)+1)</f>
        <v/>
      </c>
      <c r="AL200" s="229" t="str">
        <f t="shared" si="3"/>
        <v/>
      </c>
    </row>
    <row r="201" spans="1:38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499"/>
      <c r="AF201" s="500"/>
      <c r="AG201" s="500"/>
      <c r="AH201" s="501"/>
      <c r="AK201" s="229" t="str">
        <f>IF(OR(A201="",A201="[ALL]", A201="[ALL J]", A201="[ALL G]"),"",MAX(AK$3:AK200)+1)</f>
        <v/>
      </c>
      <c r="AL201" s="229" t="str">
        <f t="shared" si="3"/>
        <v/>
      </c>
    </row>
    <row r="202" spans="1:38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499"/>
      <c r="AF202" s="500"/>
      <c r="AG202" s="500"/>
      <c r="AH202" s="501"/>
      <c r="AK202" s="229" t="str">
        <f>IF(OR(A202="",A202="[ALL]", A202="[ALL J]", A202="[ALL G]"),"",MAX(AK$3:AK201)+1)</f>
        <v/>
      </c>
      <c r="AL202" s="229" t="str">
        <f t="shared" si="3"/>
        <v/>
      </c>
    </row>
    <row r="203" spans="1:38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499"/>
      <c r="AF203" s="500"/>
      <c r="AG203" s="500"/>
      <c r="AH203" s="501"/>
      <c r="AK203" s="229" t="str">
        <f>IF(OR(A203="",A203="[ALL]", A203="[ALL J]", A203="[ALL G]"),"",MAX(AK$3:AK202)+1)</f>
        <v/>
      </c>
      <c r="AL203" s="229" t="str">
        <f t="shared" si="3"/>
        <v/>
      </c>
    </row>
    <row r="204" spans="1:38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499"/>
      <c r="AF204" s="500"/>
      <c r="AG204" s="500"/>
      <c r="AH204" s="501"/>
      <c r="AK204" s="229" t="str">
        <f>IF(OR(A204="",A204="[ALL]", A204="[ALL J]", A204="[ALL G]"),"",MAX(AK$3:AK203)+1)</f>
        <v/>
      </c>
      <c r="AL204" s="229" t="str">
        <f t="shared" si="3"/>
        <v/>
      </c>
    </row>
    <row r="205" spans="1:38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499"/>
      <c r="AF205" s="500"/>
      <c r="AG205" s="500"/>
      <c r="AH205" s="501"/>
      <c r="AK205" s="229" t="str">
        <f>IF(OR(A205="",A205="[ALL]", A205="[ALL J]", A205="[ALL G]"),"",MAX(AK$3:AK204)+1)</f>
        <v/>
      </c>
      <c r="AL205" s="229" t="str">
        <f t="shared" si="3"/>
        <v/>
      </c>
    </row>
    <row r="206" spans="1:38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499"/>
      <c r="AF206" s="500"/>
      <c r="AG206" s="500"/>
      <c r="AH206" s="501"/>
      <c r="AK206" s="229" t="str">
        <f>IF(OR(A206="",A206="[ALL]", A206="[ALL J]", A206="[ALL G]"),"",MAX(AK$3:AK205)+1)</f>
        <v/>
      </c>
      <c r="AL206" s="229" t="str">
        <f t="shared" si="3"/>
        <v/>
      </c>
    </row>
    <row r="207" spans="1:38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499"/>
      <c r="AF207" s="500"/>
      <c r="AG207" s="500"/>
      <c r="AH207" s="501"/>
      <c r="AK207" s="229" t="str">
        <f>IF(OR(A207="",A207="[ALL]", A207="[ALL J]", A207="[ALL G]"),"",MAX(AK$3:AK206)+1)</f>
        <v/>
      </c>
      <c r="AL207" s="229" t="str">
        <f t="shared" si="3"/>
        <v/>
      </c>
    </row>
    <row r="208" spans="1:38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499"/>
      <c r="AF208" s="500"/>
      <c r="AG208" s="500"/>
      <c r="AH208" s="501"/>
      <c r="AK208" s="229" t="str">
        <f>IF(OR(A208="",A208="[ALL]", A208="[ALL J]", A208="[ALL G]"),"",MAX(AK$3:AK207)+1)</f>
        <v/>
      </c>
      <c r="AL208" s="229" t="str">
        <f t="shared" si="3"/>
        <v/>
      </c>
    </row>
    <row r="209" spans="1:38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499"/>
      <c r="AF209" s="500"/>
      <c r="AG209" s="500"/>
      <c r="AH209" s="501"/>
      <c r="AK209" s="229" t="str">
        <f>IF(OR(A209="",A209="[ALL]", A209="[ALL J]", A209="[ALL G]"),"",MAX(AK$3:AK208)+1)</f>
        <v/>
      </c>
      <c r="AL209" s="229" t="str">
        <f t="shared" si="3"/>
        <v/>
      </c>
    </row>
    <row r="210" spans="1:38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499"/>
      <c r="AF210" s="500"/>
      <c r="AG210" s="500"/>
      <c r="AH210" s="501"/>
      <c r="AK210" s="229" t="str">
        <f>IF(OR(A210="",A210="[ALL]", A210="[ALL J]", A210="[ALL G]"),"",MAX(AK$3:AK209)+1)</f>
        <v/>
      </c>
      <c r="AL210" s="229" t="str">
        <f t="shared" si="3"/>
        <v/>
      </c>
    </row>
    <row r="211" spans="1:38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499"/>
      <c r="AF211" s="500"/>
      <c r="AG211" s="500"/>
      <c r="AH211" s="501"/>
      <c r="AK211" s="229" t="str">
        <f>IF(OR(A211="",A211="[ALL]", A211="[ALL J]", A211="[ALL G]"),"",MAX(AK$3:AK210)+1)</f>
        <v/>
      </c>
      <c r="AL211" s="229" t="str">
        <f t="shared" si="3"/>
        <v/>
      </c>
    </row>
    <row r="212" spans="1:38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499"/>
      <c r="AF212" s="500"/>
      <c r="AG212" s="500"/>
      <c r="AH212" s="501"/>
      <c r="AK212" s="229" t="str">
        <f>IF(OR(A212="",A212="[ALL]", A212="[ALL J]", A212="[ALL G]"),"",MAX(AK$3:AK211)+1)</f>
        <v/>
      </c>
      <c r="AL212" s="229" t="str">
        <f t="shared" si="3"/>
        <v/>
      </c>
    </row>
    <row r="213" spans="1:38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499"/>
      <c r="AF213" s="500"/>
      <c r="AG213" s="500"/>
      <c r="AH213" s="501"/>
      <c r="AK213" s="229" t="str">
        <f>IF(OR(A213="",A213="[ALL]", A213="[ALL J]", A213="[ALL G]"),"",MAX(AK$3:AK212)+1)</f>
        <v/>
      </c>
      <c r="AL213" s="229" t="str">
        <f t="shared" si="3"/>
        <v/>
      </c>
    </row>
    <row r="214" spans="1:38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499"/>
      <c r="AF214" s="500"/>
      <c r="AG214" s="500"/>
      <c r="AH214" s="501"/>
      <c r="AK214" s="229" t="str">
        <f>IF(OR(A214="",A214="[ALL]", A214="[ALL J]", A214="[ALL G]"),"",MAX(AK$3:AK213)+1)</f>
        <v/>
      </c>
      <c r="AL214" s="229" t="str">
        <f t="shared" si="3"/>
        <v/>
      </c>
    </row>
    <row r="215" spans="1:38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499"/>
      <c r="AF215" s="500"/>
      <c r="AG215" s="500"/>
      <c r="AH215" s="501"/>
      <c r="AK215" s="229" t="str">
        <f>IF(OR(A215="",A215="[ALL]", A215="[ALL J]", A215="[ALL G]"),"",MAX(AK$3:AK214)+1)</f>
        <v/>
      </c>
      <c r="AL215" s="229" t="str">
        <f t="shared" si="3"/>
        <v/>
      </c>
    </row>
    <row r="216" spans="1:38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499"/>
      <c r="AF216" s="500"/>
      <c r="AG216" s="500"/>
      <c r="AH216" s="501"/>
      <c r="AK216" s="229" t="str">
        <f>IF(OR(A216="",A216="[ALL]", A216="[ALL J]", A216="[ALL G]"),"",MAX(AK$3:AK215)+1)</f>
        <v/>
      </c>
      <c r="AL216" s="229" t="str">
        <f t="shared" si="3"/>
        <v/>
      </c>
    </row>
    <row r="217" spans="1:38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499"/>
      <c r="AF217" s="500"/>
      <c r="AG217" s="500"/>
      <c r="AH217" s="501"/>
      <c r="AK217" s="229" t="str">
        <f>IF(OR(A217="",A217="[ALL]", A217="[ALL J]", A217="[ALL G]"),"",MAX(AK$3:AK216)+1)</f>
        <v/>
      </c>
      <c r="AL217" s="229" t="str">
        <f t="shared" si="3"/>
        <v/>
      </c>
    </row>
    <row r="218" spans="1:38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499"/>
      <c r="AF218" s="500"/>
      <c r="AG218" s="500"/>
      <c r="AH218" s="501"/>
      <c r="AK218" s="229" t="str">
        <f>IF(OR(A218="",A218="[ALL]", A218="[ALL J]", A218="[ALL G]"),"",MAX(AK$3:AK217)+1)</f>
        <v/>
      </c>
      <c r="AL218" s="229" t="str">
        <f t="shared" si="3"/>
        <v/>
      </c>
    </row>
    <row r="219" spans="1:38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499"/>
      <c r="AF219" s="500"/>
      <c r="AG219" s="500"/>
      <c r="AH219" s="501"/>
      <c r="AK219" s="229" t="str">
        <f>IF(OR(A219="",A219="[ALL]", A219="[ALL J]", A219="[ALL G]"),"",MAX(AK$3:AK218)+1)</f>
        <v/>
      </c>
      <c r="AL219" s="229" t="str">
        <f t="shared" si="3"/>
        <v/>
      </c>
    </row>
    <row r="220" spans="1:38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499"/>
      <c r="AF220" s="500"/>
      <c r="AG220" s="500"/>
      <c r="AH220" s="501"/>
      <c r="AK220" s="229" t="str">
        <f>IF(OR(A220="",A220="[ALL]", A220="[ALL J]", A220="[ALL G]"),"",MAX(AK$3:AK219)+1)</f>
        <v/>
      </c>
      <c r="AL220" s="229" t="str">
        <f t="shared" si="3"/>
        <v/>
      </c>
    </row>
    <row r="221" spans="1:38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499"/>
      <c r="AF221" s="500"/>
      <c r="AG221" s="500"/>
      <c r="AH221" s="501"/>
      <c r="AK221" s="229" t="str">
        <f>IF(OR(A221="",A221="[ALL]", A221="[ALL J]", A221="[ALL G]"),"",MAX(AK$3:AK220)+1)</f>
        <v/>
      </c>
      <c r="AL221" s="229" t="str">
        <f t="shared" si="3"/>
        <v/>
      </c>
    </row>
    <row r="222" spans="1:38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499"/>
      <c r="AF222" s="500"/>
      <c r="AG222" s="500"/>
      <c r="AH222" s="501"/>
      <c r="AK222" s="229" t="str">
        <f>IF(OR(A222="",A222="[ALL]", A222="[ALL J]", A222="[ALL G]"),"",MAX(AK$3:AK221)+1)</f>
        <v/>
      </c>
      <c r="AL222" s="229" t="str">
        <f t="shared" si="3"/>
        <v/>
      </c>
    </row>
    <row r="223" spans="1:38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499"/>
      <c r="AF223" s="500"/>
      <c r="AG223" s="500"/>
      <c r="AH223" s="501"/>
      <c r="AK223" s="229" t="str">
        <f>IF(OR(A223="",A223="[ALL]", A223="[ALL J]", A223="[ALL G]"),"",MAX(AK$3:AK222)+1)</f>
        <v/>
      </c>
      <c r="AL223" s="229" t="str">
        <f t="shared" si="3"/>
        <v/>
      </c>
    </row>
    <row r="224" spans="1:38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499"/>
      <c r="AF224" s="500"/>
      <c r="AG224" s="500"/>
      <c r="AH224" s="501"/>
      <c r="AK224" s="229" t="str">
        <f>IF(OR(A224="",A224="[ALL]", A224="[ALL J]", A224="[ALL G]"),"",MAX(AK$3:AK223)+1)</f>
        <v/>
      </c>
      <c r="AL224" s="229" t="str">
        <f t="shared" si="3"/>
        <v/>
      </c>
    </row>
    <row r="225" spans="1:38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499"/>
      <c r="AF225" s="500"/>
      <c r="AG225" s="500"/>
      <c r="AH225" s="501"/>
      <c r="AK225" s="229" t="str">
        <f>IF(OR(A225="",A225="[ALL]", A225="[ALL J]", A225="[ALL G]"),"",MAX(AK$3:AK224)+1)</f>
        <v/>
      </c>
      <c r="AL225" s="229" t="str">
        <f t="shared" si="3"/>
        <v/>
      </c>
    </row>
    <row r="226" spans="1:38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499"/>
      <c r="AF226" s="500"/>
      <c r="AG226" s="500"/>
      <c r="AH226" s="501"/>
      <c r="AK226" s="229" t="str">
        <f>IF(OR(A226="",A226="[ALL]", A226="[ALL J]", A226="[ALL G]"),"",MAX(AK$3:AK225)+1)</f>
        <v/>
      </c>
      <c r="AL226" s="229" t="str">
        <f t="shared" si="3"/>
        <v/>
      </c>
    </row>
    <row r="227" spans="1:38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499"/>
      <c r="AF227" s="500"/>
      <c r="AG227" s="500"/>
      <c r="AH227" s="501"/>
      <c r="AK227" s="229" t="str">
        <f>IF(OR(A227="",A227="[ALL]", A227="[ALL J]", A227="[ALL G]"),"",MAX(AK$3:AK226)+1)</f>
        <v/>
      </c>
      <c r="AL227" s="229" t="str">
        <f t="shared" si="3"/>
        <v/>
      </c>
    </row>
    <row r="228" spans="1:38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499"/>
      <c r="AF228" s="500"/>
      <c r="AG228" s="500"/>
      <c r="AH228" s="501"/>
      <c r="AK228" s="229" t="str">
        <f>IF(OR(A228="",A228="[ALL]", A228="[ALL J]", A228="[ALL G]"),"",MAX(AK$3:AK227)+1)</f>
        <v/>
      </c>
      <c r="AL228" s="229" t="str">
        <f t="shared" si="3"/>
        <v/>
      </c>
    </row>
    <row r="229" spans="1:38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499"/>
      <c r="AF229" s="500"/>
      <c r="AG229" s="500"/>
      <c r="AH229" s="501"/>
      <c r="AK229" s="229" t="str">
        <f>IF(OR(A229="",A229="[ALL]", A229="[ALL J]", A229="[ALL G]"),"",MAX(AK$3:AK228)+1)</f>
        <v/>
      </c>
      <c r="AL229" s="229" t="str">
        <f t="shared" si="3"/>
        <v/>
      </c>
    </row>
    <row r="230" spans="1:38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499"/>
      <c r="AF230" s="500"/>
      <c r="AG230" s="500"/>
      <c r="AH230" s="501"/>
      <c r="AK230" s="229" t="str">
        <f>IF(OR(A230="",A230="[ALL]", A230="[ALL J]", A230="[ALL G]"),"",MAX(AK$3:AK229)+1)</f>
        <v/>
      </c>
      <c r="AL230" s="229" t="str">
        <f t="shared" si="3"/>
        <v/>
      </c>
    </row>
    <row r="231" spans="1:38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499"/>
      <c r="AF231" s="500"/>
      <c r="AG231" s="500"/>
      <c r="AH231" s="501"/>
      <c r="AK231" s="229" t="str">
        <f>IF(OR(A231="",A231="[ALL]", A231="[ALL J]", A231="[ALL G]"),"",MAX(AK$3:AK230)+1)</f>
        <v/>
      </c>
      <c r="AL231" s="229" t="str">
        <f t="shared" si="3"/>
        <v/>
      </c>
    </row>
    <row r="232" spans="1:38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499"/>
      <c r="AF232" s="500"/>
      <c r="AG232" s="500"/>
      <c r="AH232" s="501"/>
      <c r="AK232" s="229" t="str">
        <f>IF(OR(A232="",A232="[ALL]", A232="[ALL J]", A232="[ALL G]"),"",MAX(AK$3:AK231)+1)</f>
        <v/>
      </c>
      <c r="AL232" s="229" t="str">
        <f t="shared" si="3"/>
        <v/>
      </c>
    </row>
    <row r="233" spans="1:38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499"/>
      <c r="AF233" s="500"/>
      <c r="AG233" s="500"/>
      <c r="AH233" s="501"/>
      <c r="AK233" s="229" t="str">
        <f>IF(OR(A233="",A233="[ALL]", A233="[ALL J]", A233="[ALL G]"),"",MAX(AK$3:AK232)+1)</f>
        <v/>
      </c>
      <c r="AL233" s="229" t="str">
        <f t="shared" si="3"/>
        <v/>
      </c>
    </row>
    <row r="234" spans="1:38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499"/>
      <c r="AF234" s="500"/>
      <c r="AG234" s="500"/>
      <c r="AH234" s="501"/>
      <c r="AK234" s="229" t="str">
        <f>IF(OR(A234="",A234="[ALL]", A234="[ALL J]", A234="[ALL G]"),"",MAX(AK$3:AK233)+1)</f>
        <v/>
      </c>
      <c r="AL234" s="229" t="str">
        <f t="shared" si="3"/>
        <v/>
      </c>
    </row>
    <row r="235" spans="1:38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499"/>
      <c r="AF235" s="500"/>
      <c r="AG235" s="500"/>
      <c r="AH235" s="501"/>
      <c r="AK235" s="229" t="str">
        <f>IF(OR(A235="",A235="[ALL]", A235="[ALL J]", A235="[ALL G]"),"",MAX(AK$3:AK234)+1)</f>
        <v/>
      </c>
      <c r="AL235" s="229" t="str">
        <f t="shared" si="3"/>
        <v/>
      </c>
    </row>
    <row r="236" spans="1:38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499"/>
      <c r="AF236" s="500"/>
      <c r="AG236" s="500"/>
      <c r="AH236" s="501"/>
      <c r="AK236" s="229" t="str">
        <f>IF(OR(A236="",A236="[ALL]", A236="[ALL J]", A236="[ALL G]"),"",MAX(AK$3:AK235)+1)</f>
        <v/>
      </c>
      <c r="AL236" s="229" t="str">
        <f t="shared" si="3"/>
        <v/>
      </c>
    </row>
    <row r="237" spans="1:38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499"/>
      <c r="AF237" s="500"/>
      <c r="AG237" s="500"/>
      <c r="AH237" s="501"/>
      <c r="AK237" s="229" t="str">
        <f>IF(OR(A237="",A237="[ALL]", A237="[ALL J]", A237="[ALL G]"),"",MAX(AK$3:AK236)+1)</f>
        <v/>
      </c>
      <c r="AL237" s="229" t="str">
        <f t="shared" si="3"/>
        <v/>
      </c>
    </row>
    <row r="238" spans="1:38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499"/>
      <c r="AF238" s="500"/>
      <c r="AG238" s="500"/>
      <c r="AH238" s="501"/>
      <c r="AK238" s="229" t="str">
        <f>IF(OR(A238="",A238="[ALL]", A238="[ALL J]", A238="[ALL G]"),"",MAX(AK$3:AK237)+1)</f>
        <v/>
      </c>
      <c r="AL238" s="229" t="str">
        <f t="shared" si="3"/>
        <v/>
      </c>
    </row>
    <row r="239" spans="1:38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499"/>
      <c r="AF239" s="500"/>
      <c r="AG239" s="500"/>
      <c r="AH239" s="501"/>
      <c r="AK239" s="229" t="str">
        <f>IF(OR(A239="",A239="[ALL]", A239="[ALL J]", A239="[ALL G]"),"",MAX(AK$3:AK238)+1)</f>
        <v/>
      </c>
      <c r="AL239" s="229" t="str">
        <f t="shared" si="3"/>
        <v/>
      </c>
    </row>
    <row r="240" spans="1:38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499"/>
      <c r="AF240" s="500"/>
      <c r="AG240" s="500"/>
      <c r="AH240" s="501"/>
      <c r="AK240" s="229" t="str">
        <f>IF(OR(A240="",A240="[ALL]", A240="[ALL J]", A240="[ALL G]"),"",MAX(AK$3:AK239)+1)</f>
        <v/>
      </c>
      <c r="AL240" s="229" t="str">
        <f t="shared" si="3"/>
        <v/>
      </c>
    </row>
    <row r="241" spans="1:38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499"/>
      <c r="AF241" s="500"/>
      <c r="AG241" s="500"/>
      <c r="AH241" s="501"/>
      <c r="AK241" s="229" t="str">
        <f>IF(OR(A241="",A241="[ALL]", A241="[ALL J]", A241="[ALL G]"),"",MAX(AK$3:AK240)+1)</f>
        <v/>
      </c>
      <c r="AL241" s="229" t="str">
        <f t="shared" si="3"/>
        <v/>
      </c>
    </row>
    <row r="242" spans="1:38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499"/>
      <c r="AF242" s="500"/>
      <c r="AG242" s="500"/>
      <c r="AH242" s="501"/>
      <c r="AK242" s="229" t="str">
        <f>IF(OR(A242="",A242="[ALL]", A242="[ALL J]", A242="[ALL G]"),"",MAX(AK$3:AK241)+1)</f>
        <v/>
      </c>
      <c r="AL242" s="229" t="str">
        <f t="shared" si="3"/>
        <v/>
      </c>
    </row>
    <row r="243" spans="1:38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499"/>
      <c r="AF243" s="500"/>
      <c r="AG243" s="500"/>
      <c r="AH243" s="501"/>
      <c r="AK243" s="229" t="str">
        <f>IF(OR(A243="",A243="[ALL]", A243="[ALL J]", A243="[ALL G]"),"",MAX(AK$3:AK242)+1)</f>
        <v/>
      </c>
      <c r="AL243" s="229" t="str">
        <f t="shared" si="3"/>
        <v/>
      </c>
    </row>
    <row r="244" spans="1:38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499"/>
      <c r="AF244" s="500"/>
      <c r="AG244" s="500"/>
      <c r="AH244" s="501"/>
      <c r="AK244" s="229" t="str">
        <f>IF(OR(A244="",A244="[ALL]", A244="[ALL J]", A244="[ALL G]"),"",MAX(AK$3:AK243)+1)</f>
        <v/>
      </c>
      <c r="AL244" s="229" t="str">
        <f t="shared" si="3"/>
        <v/>
      </c>
    </row>
    <row r="245" spans="1:38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499"/>
      <c r="AF245" s="500"/>
      <c r="AG245" s="500"/>
      <c r="AH245" s="501"/>
      <c r="AK245" s="229" t="str">
        <f>IF(OR(A245="",A245="[ALL]", A245="[ALL J]", A245="[ALL G]"),"",MAX(AK$3:AK244)+1)</f>
        <v/>
      </c>
      <c r="AL245" s="229" t="str">
        <f t="shared" si="3"/>
        <v/>
      </c>
    </row>
    <row r="246" spans="1:38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499"/>
      <c r="AF246" s="500"/>
      <c r="AG246" s="500"/>
      <c r="AH246" s="501"/>
      <c r="AK246" s="229" t="str">
        <f>IF(OR(A246="",A246="[ALL]", A246="[ALL J]", A246="[ALL G]"),"",MAX(AK$3:AK245)+1)</f>
        <v/>
      </c>
      <c r="AL246" s="229" t="str">
        <f t="shared" si="3"/>
        <v/>
      </c>
    </row>
    <row r="247" spans="1:38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499"/>
      <c r="AF247" s="500"/>
      <c r="AG247" s="500"/>
      <c r="AH247" s="501"/>
      <c r="AK247" s="229" t="str">
        <f>IF(OR(A247="",A247="[ALL]", A247="[ALL J]", A247="[ALL G]"),"",MAX(AK$3:AK246)+1)</f>
        <v/>
      </c>
      <c r="AL247" s="229" t="str">
        <f t="shared" si="3"/>
        <v/>
      </c>
    </row>
    <row r="248" spans="1:38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499"/>
      <c r="AF248" s="500"/>
      <c r="AG248" s="500"/>
      <c r="AH248" s="501"/>
      <c r="AK248" s="229" t="str">
        <f>IF(OR(A248="",A248="[ALL]", A248="[ALL J]", A248="[ALL G]"),"",MAX(AK$3:AK247)+1)</f>
        <v/>
      </c>
      <c r="AL248" s="229" t="str">
        <f t="shared" si="3"/>
        <v/>
      </c>
    </row>
    <row r="249" spans="1:38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499"/>
      <c r="AF249" s="500"/>
      <c r="AG249" s="500"/>
      <c r="AH249" s="501"/>
      <c r="AK249" s="229" t="str">
        <f>IF(OR(A249="",A249="[ALL]", A249="[ALL J]", A249="[ALL G]"),"",MAX(AK$3:AK248)+1)</f>
        <v/>
      </c>
      <c r="AL249" s="229" t="str">
        <f t="shared" si="3"/>
        <v/>
      </c>
    </row>
    <row r="250" spans="1:38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499"/>
      <c r="AF250" s="500"/>
      <c r="AG250" s="500"/>
      <c r="AH250" s="501"/>
      <c r="AK250" s="229" t="str">
        <f>IF(OR(A250="",A250="[ALL]", A250="[ALL J]", A250="[ALL G]"),"",MAX(AK$3:AK249)+1)</f>
        <v/>
      </c>
      <c r="AL250" s="229" t="str">
        <f t="shared" si="3"/>
        <v/>
      </c>
    </row>
    <row r="251" spans="1:38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499"/>
      <c r="AF251" s="500"/>
      <c r="AG251" s="500"/>
      <c r="AH251" s="501"/>
      <c r="AK251" s="229" t="str">
        <f>IF(OR(A251="",A251="[ALL]", A251="[ALL J]", A251="[ALL G]"),"",MAX(AK$3:AK250)+1)</f>
        <v/>
      </c>
      <c r="AL251" s="229" t="str">
        <f t="shared" si="3"/>
        <v/>
      </c>
    </row>
    <row r="252" spans="1:38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499"/>
      <c r="AF252" s="500"/>
      <c r="AG252" s="500"/>
      <c r="AH252" s="501"/>
      <c r="AK252" s="229" t="str">
        <f>IF(OR(A252="",A252="[ALL]", A252="[ALL J]", A252="[ALL G]"),"",MAX(AK$3:AK251)+1)</f>
        <v/>
      </c>
      <c r="AL252" s="229" t="str">
        <f t="shared" si="3"/>
        <v/>
      </c>
    </row>
    <row r="253" spans="1:38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499"/>
      <c r="AF253" s="500"/>
      <c r="AG253" s="500"/>
      <c r="AH253" s="501"/>
      <c r="AK253" s="229" t="str">
        <f>IF(OR(A253="",A253="[ALL]", A253="[ALL J]", A253="[ALL G]"),"",MAX(AK$3:AK252)+1)</f>
        <v/>
      </c>
      <c r="AL253" s="229" t="str">
        <f t="shared" si="3"/>
        <v/>
      </c>
    </row>
    <row r="254" spans="1:38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499"/>
      <c r="AF254" s="500"/>
      <c r="AG254" s="500"/>
      <c r="AH254" s="501"/>
      <c r="AK254" s="229" t="str">
        <f>IF(OR(A254="",A254="[ALL]", A254="[ALL J]", A254="[ALL G]"),"",MAX(AK$3:AK253)+1)</f>
        <v/>
      </c>
      <c r="AL254" s="229" t="str">
        <f t="shared" si="3"/>
        <v/>
      </c>
    </row>
    <row r="255" spans="1:38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499"/>
      <c r="AF255" s="500"/>
      <c r="AG255" s="500"/>
      <c r="AH255" s="501"/>
      <c r="AK255" s="229" t="str">
        <f>IF(OR(A255="",A255="[ALL]", A255="[ALL J]", A255="[ALL G]"),"",MAX(AK$3:AK254)+1)</f>
        <v/>
      </c>
      <c r="AL255" s="229" t="str">
        <f t="shared" si="3"/>
        <v/>
      </c>
    </row>
    <row r="256" spans="1:38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499"/>
      <c r="AF256" s="500"/>
      <c r="AG256" s="500"/>
      <c r="AH256" s="501"/>
      <c r="AK256" s="229" t="str">
        <f>IF(OR(A256="",A256="[ALL]", A256="[ALL J]", A256="[ALL G]"),"",MAX(AK$3:AK255)+1)</f>
        <v/>
      </c>
      <c r="AL256" s="229" t="str">
        <f t="shared" si="3"/>
        <v/>
      </c>
    </row>
    <row r="257" spans="1:38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499"/>
      <c r="AF257" s="500"/>
      <c r="AG257" s="500"/>
      <c r="AH257" s="501"/>
      <c r="AK257" s="229" t="str">
        <f>IF(OR(A257="",A257="[ALL]", A257="[ALL J]", A257="[ALL G]"),"",MAX(AK$3:AK256)+1)</f>
        <v/>
      </c>
      <c r="AL257" s="229" t="str">
        <f t="shared" si="3"/>
        <v/>
      </c>
    </row>
    <row r="258" spans="1:38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499"/>
      <c r="AF258" s="500"/>
      <c r="AG258" s="500"/>
      <c r="AH258" s="501"/>
      <c r="AK258" s="229" t="str">
        <f>IF(OR(A258="",A258="[ALL]", A258="[ALL J]", A258="[ALL G]"),"",MAX(AK$3:AK257)+1)</f>
        <v/>
      </c>
      <c r="AL258" s="229" t="str">
        <f t="shared" si="3"/>
        <v/>
      </c>
    </row>
    <row r="259" spans="1:38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499"/>
      <c r="AF259" s="500"/>
      <c r="AG259" s="500"/>
      <c r="AH259" s="501"/>
      <c r="AK259" s="229" t="str">
        <f>IF(OR(A259="",A259="[ALL]", A259="[ALL J]", A259="[ALL G]"),"",MAX(AK$3:AK258)+1)</f>
        <v/>
      </c>
      <c r="AL259" s="229" t="str">
        <f t="shared" si="3"/>
        <v/>
      </c>
    </row>
    <row r="260" spans="1:38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499"/>
      <c r="AF260" s="500"/>
      <c r="AG260" s="500"/>
      <c r="AH260" s="501"/>
      <c r="AK260" s="229" t="str">
        <f>IF(OR(A260="",A260="[ALL]", A260="[ALL J]", A260="[ALL G]"),"",MAX(AK$3:AK259)+1)</f>
        <v/>
      </c>
      <c r="AL260" s="229" t="str">
        <f t="shared" si="3"/>
        <v/>
      </c>
    </row>
    <row r="261" spans="1:38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499"/>
      <c r="AF261" s="500"/>
      <c r="AG261" s="500"/>
      <c r="AH261" s="501"/>
      <c r="AK261" s="229" t="str">
        <f>IF(OR(A261="",A261="[ALL]", A261="[ALL J]", A261="[ALL G]"),"",MAX(AK$3:AK260)+1)</f>
        <v/>
      </c>
      <c r="AL261" s="229" t="str">
        <f t="shared" ref="AL261:AL324" si="4">IFERROR(INDEX($A$4:$A$1000,MATCH(ROW()-ROW($AL$3),$AK$4:$AK$1000,0)),"")</f>
        <v/>
      </c>
    </row>
    <row r="262" spans="1:38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499"/>
      <c r="AF262" s="500"/>
      <c r="AG262" s="500"/>
      <c r="AH262" s="501"/>
      <c r="AK262" s="229" t="str">
        <f>IF(OR(A262="",A262="[ALL]", A262="[ALL J]", A262="[ALL G]"),"",MAX(AK$3:AK261)+1)</f>
        <v/>
      </c>
      <c r="AL262" s="229" t="str">
        <f t="shared" si="4"/>
        <v/>
      </c>
    </row>
    <row r="263" spans="1:38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499"/>
      <c r="AF263" s="500"/>
      <c r="AG263" s="500"/>
      <c r="AH263" s="501"/>
      <c r="AK263" s="229" t="str">
        <f>IF(OR(A263="",A263="[ALL]", A263="[ALL J]", A263="[ALL G]"),"",MAX(AK$3:AK262)+1)</f>
        <v/>
      </c>
      <c r="AL263" s="229" t="str">
        <f t="shared" si="4"/>
        <v/>
      </c>
    </row>
    <row r="264" spans="1:38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499"/>
      <c r="AF264" s="500"/>
      <c r="AG264" s="500"/>
      <c r="AH264" s="501"/>
      <c r="AK264" s="229" t="str">
        <f>IF(OR(A264="",A264="[ALL]", A264="[ALL J]", A264="[ALL G]"),"",MAX(AK$3:AK263)+1)</f>
        <v/>
      </c>
      <c r="AL264" s="229" t="str">
        <f t="shared" si="4"/>
        <v/>
      </c>
    </row>
    <row r="265" spans="1:38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499"/>
      <c r="AF265" s="500"/>
      <c r="AG265" s="500"/>
      <c r="AH265" s="501"/>
      <c r="AK265" s="229" t="str">
        <f>IF(OR(A265="",A265="[ALL]", A265="[ALL J]", A265="[ALL G]"),"",MAX(AK$3:AK264)+1)</f>
        <v/>
      </c>
      <c r="AL265" s="229" t="str">
        <f t="shared" si="4"/>
        <v/>
      </c>
    </row>
    <row r="266" spans="1:38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499"/>
      <c r="AF266" s="500"/>
      <c r="AG266" s="500"/>
      <c r="AH266" s="501"/>
      <c r="AK266" s="229" t="str">
        <f>IF(OR(A266="",A266="[ALL]", A266="[ALL J]", A266="[ALL G]"),"",MAX(AK$3:AK265)+1)</f>
        <v/>
      </c>
      <c r="AL266" s="229" t="str">
        <f t="shared" si="4"/>
        <v/>
      </c>
    </row>
    <row r="267" spans="1:38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499"/>
      <c r="AF267" s="500"/>
      <c r="AG267" s="500"/>
      <c r="AH267" s="501"/>
      <c r="AK267" s="229" t="str">
        <f>IF(OR(A267="",A267="[ALL]", A267="[ALL J]", A267="[ALL G]"),"",MAX(AK$3:AK266)+1)</f>
        <v/>
      </c>
      <c r="AL267" s="229" t="str">
        <f t="shared" si="4"/>
        <v/>
      </c>
    </row>
    <row r="268" spans="1:38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499"/>
      <c r="AF268" s="500"/>
      <c r="AG268" s="500"/>
      <c r="AH268" s="501"/>
      <c r="AK268" s="229" t="str">
        <f>IF(OR(A268="",A268="[ALL]", A268="[ALL J]", A268="[ALL G]"),"",MAX(AK$3:AK267)+1)</f>
        <v/>
      </c>
      <c r="AL268" s="229" t="str">
        <f t="shared" si="4"/>
        <v/>
      </c>
    </row>
    <row r="269" spans="1:38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499"/>
      <c r="AF269" s="500"/>
      <c r="AG269" s="500"/>
      <c r="AH269" s="501"/>
      <c r="AK269" s="229" t="str">
        <f>IF(OR(A269="",A269="[ALL]", A269="[ALL J]", A269="[ALL G]"),"",MAX(AK$3:AK268)+1)</f>
        <v/>
      </c>
      <c r="AL269" s="229" t="str">
        <f t="shared" si="4"/>
        <v/>
      </c>
    </row>
    <row r="270" spans="1:38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499"/>
      <c r="AF270" s="500"/>
      <c r="AG270" s="500"/>
      <c r="AH270" s="501"/>
      <c r="AK270" s="229" t="str">
        <f>IF(OR(A270="",A270="[ALL]", A270="[ALL J]", A270="[ALL G]"),"",MAX(AK$3:AK269)+1)</f>
        <v/>
      </c>
      <c r="AL270" s="229" t="str">
        <f t="shared" si="4"/>
        <v/>
      </c>
    </row>
    <row r="271" spans="1:38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499"/>
      <c r="AF271" s="500"/>
      <c r="AG271" s="500"/>
      <c r="AH271" s="501"/>
      <c r="AK271" s="229" t="str">
        <f>IF(OR(A271="",A271="[ALL]", A271="[ALL J]", A271="[ALL G]"),"",MAX(AK$3:AK270)+1)</f>
        <v/>
      </c>
      <c r="AL271" s="229" t="str">
        <f t="shared" si="4"/>
        <v/>
      </c>
    </row>
    <row r="272" spans="1:38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499"/>
      <c r="AF272" s="500"/>
      <c r="AG272" s="500"/>
      <c r="AH272" s="501"/>
      <c r="AK272" s="229" t="str">
        <f>IF(OR(A272="",A272="[ALL]", A272="[ALL J]", A272="[ALL G]"),"",MAX(AK$3:AK271)+1)</f>
        <v/>
      </c>
      <c r="AL272" s="229" t="str">
        <f t="shared" si="4"/>
        <v/>
      </c>
    </row>
    <row r="273" spans="1:38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499"/>
      <c r="AF273" s="500"/>
      <c r="AG273" s="500"/>
      <c r="AH273" s="501"/>
      <c r="AK273" s="229" t="str">
        <f>IF(OR(A273="",A273="[ALL]", A273="[ALL J]", A273="[ALL G]"),"",MAX(AK$3:AK272)+1)</f>
        <v/>
      </c>
      <c r="AL273" s="229" t="str">
        <f t="shared" si="4"/>
        <v/>
      </c>
    </row>
    <row r="274" spans="1:38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499"/>
      <c r="AF274" s="500"/>
      <c r="AG274" s="500"/>
      <c r="AH274" s="501"/>
      <c r="AK274" s="229" t="str">
        <f>IF(OR(A274="",A274="[ALL]", A274="[ALL J]", A274="[ALL G]"),"",MAX(AK$3:AK273)+1)</f>
        <v/>
      </c>
      <c r="AL274" s="229" t="str">
        <f t="shared" si="4"/>
        <v/>
      </c>
    </row>
    <row r="275" spans="1:38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499"/>
      <c r="AF275" s="500"/>
      <c r="AG275" s="500"/>
      <c r="AH275" s="501"/>
      <c r="AK275" s="229" t="str">
        <f>IF(OR(A275="",A275="[ALL]", A275="[ALL J]", A275="[ALL G]"),"",MAX(AK$3:AK274)+1)</f>
        <v/>
      </c>
      <c r="AL275" s="229" t="str">
        <f t="shared" si="4"/>
        <v/>
      </c>
    </row>
    <row r="276" spans="1:38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499"/>
      <c r="AF276" s="500"/>
      <c r="AG276" s="500"/>
      <c r="AH276" s="501"/>
      <c r="AK276" s="229" t="str">
        <f>IF(OR(A276="",A276="[ALL]", A276="[ALL J]", A276="[ALL G]"),"",MAX(AK$3:AK275)+1)</f>
        <v/>
      </c>
      <c r="AL276" s="229" t="str">
        <f t="shared" si="4"/>
        <v/>
      </c>
    </row>
    <row r="277" spans="1:38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499"/>
      <c r="AF277" s="500"/>
      <c r="AG277" s="500"/>
      <c r="AH277" s="501"/>
      <c r="AK277" s="229" t="str">
        <f>IF(OR(A277="",A277="[ALL]", A277="[ALL J]", A277="[ALL G]"),"",MAX(AK$3:AK276)+1)</f>
        <v/>
      </c>
      <c r="AL277" s="229" t="str">
        <f t="shared" si="4"/>
        <v/>
      </c>
    </row>
    <row r="278" spans="1:38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499"/>
      <c r="AF278" s="500"/>
      <c r="AG278" s="500"/>
      <c r="AH278" s="501"/>
      <c r="AK278" s="229" t="str">
        <f>IF(OR(A278="",A278="[ALL]", A278="[ALL J]", A278="[ALL G]"),"",MAX(AK$3:AK277)+1)</f>
        <v/>
      </c>
      <c r="AL278" s="229" t="str">
        <f t="shared" si="4"/>
        <v/>
      </c>
    </row>
    <row r="279" spans="1:38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499"/>
      <c r="AF279" s="500"/>
      <c r="AG279" s="500"/>
      <c r="AH279" s="501"/>
      <c r="AK279" s="229" t="str">
        <f>IF(OR(A279="",A279="[ALL]", A279="[ALL J]", A279="[ALL G]"),"",MAX(AK$3:AK278)+1)</f>
        <v/>
      </c>
      <c r="AL279" s="229" t="str">
        <f t="shared" si="4"/>
        <v/>
      </c>
    </row>
    <row r="280" spans="1:38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499"/>
      <c r="AF280" s="500"/>
      <c r="AG280" s="500"/>
      <c r="AH280" s="501"/>
      <c r="AK280" s="229" t="str">
        <f>IF(OR(A280="",A280="[ALL]", A280="[ALL J]", A280="[ALL G]"),"",MAX(AK$3:AK279)+1)</f>
        <v/>
      </c>
      <c r="AL280" s="229" t="str">
        <f t="shared" si="4"/>
        <v/>
      </c>
    </row>
    <row r="281" spans="1:38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499"/>
      <c r="AF281" s="500"/>
      <c r="AG281" s="500"/>
      <c r="AH281" s="501"/>
      <c r="AK281" s="229" t="str">
        <f>IF(OR(A281="",A281="[ALL]", A281="[ALL J]", A281="[ALL G]"),"",MAX(AK$3:AK280)+1)</f>
        <v/>
      </c>
      <c r="AL281" s="229" t="str">
        <f t="shared" si="4"/>
        <v/>
      </c>
    </row>
    <row r="282" spans="1:38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499"/>
      <c r="AF282" s="500"/>
      <c r="AG282" s="500"/>
      <c r="AH282" s="501"/>
      <c r="AK282" s="229" t="str">
        <f>IF(OR(A282="",A282="[ALL]", A282="[ALL J]", A282="[ALL G]"),"",MAX(AK$3:AK281)+1)</f>
        <v/>
      </c>
      <c r="AL282" s="229" t="str">
        <f t="shared" si="4"/>
        <v/>
      </c>
    </row>
    <row r="283" spans="1:38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499"/>
      <c r="AF283" s="500"/>
      <c r="AG283" s="500"/>
      <c r="AH283" s="501"/>
      <c r="AK283" s="229" t="str">
        <f>IF(OR(A283="",A283="[ALL]", A283="[ALL J]", A283="[ALL G]"),"",MAX(AK$3:AK282)+1)</f>
        <v/>
      </c>
      <c r="AL283" s="229" t="str">
        <f t="shared" si="4"/>
        <v/>
      </c>
    </row>
    <row r="284" spans="1:38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499"/>
      <c r="AF284" s="500"/>
      <c r="AG284" s="500"/>
      <c r="AH284" s="501"/>
      <c r="AK284" s="229" t="str">
        <f>IF(OR(A284="",A284="[ALL]", A284="[ALL J]", A284="[ALL G]"),"",MAX(AK$3:AK283)+1)</f>
        <v/>
      </c>
      <c r="AL284" s="229" t="str">
        <f t="shared" si="4"/>
        <v/>
      </c>
    </row>
    <row r="285" spans="1:38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499"/>
      <c r="AF285" s="500"/>
      <c r="AG285" s="500"/>
      <c r="AH285" s="501"/>
      <c r="AK285" s="229" t="str">
        <f>IF(OR(A285="",A285="[ALL]", A285="[ALL J]", A285="[ALL G]"),"",MAX(AK$3:AK284)+1)</f>
        <v/>
      </c>
      <c r="AL285" s="229" t="str">
        <f t="shared" si="4"/>
        <v/>
      </c>
    </row>
    <row r="286" spans="1:38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499"/>
      <c r="AF286" s="500"/>
      <c r="AG286" s="500"/>
      <c r="AH286" s="501"/>
      <c r="AK286" s="229" t="str">
        <f>IF(OR(A286="",A286="[ALL]", A286="[ALL J]", A286="[ALL G]"),"",MAX(AK$3:AK285)+1)</f>
        <v/>
      </c>
      <c r="AL286" s="229" t="str">
        <f t="shared" si="4"/>
        <v/>
      </c>
    </row>
    <row r="287" spans="1:38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499"/>
      <c r="AF287" s="500"/>
      <c r="AG287" s="500"/>
      <c r="AH287" s="501"/>
      <c r="AK287" s="229" t="str">
        <f>IF(OR(A287="",A287="[ALL]", A287="[ALL J]", A287="[ALL G]"),"",MAX(AK$3:AK286)+1)</f>
        <v/>
      </c>
      <c r="AL287" s="229" t="str">
        <f t="shared" si="4"/>
        <v/>
      </c>
    </row>
    <row r="288" spans="1:38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499"/>
      <c r="AF288" s="500"/>
      <c r="AG288" s="500"/>
      <c r="AH288" s="501"/>
      <c r="AK288" s="229" t="str">
        <f>IF(OR(A288="",A288="[ALL]", A288="[ALL J]", A288="[ALL G]"),"",MAX(AK$3:AK287)+1)</f>
        <v/>
      </c>
      <c r="AL288" s="229" t="str">
        <f t="shared" si="4"/>
        <v/>
      </c>
    </row>
    <row r="289" spans="1:38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499"/>
      <c r="AF289" s="500"/>
      <c r="AG289" s="500"/>
      <c r="AH289" s="501"/>
      <c r="AK289" s="229" t="str">
        <f>IF(OR(A289="",A289="[ALL]", A289="[ALL J]", A289="[ALL G]"),"",MAX(AK$3:AK288)+1)</f>
        <v/>
      </c>
      <c r="AL289" s="229" t="str">
        <f t="shared" si="4"/>
        <v/>
      </c>
    </row>
    <row r="290" spans="1:38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499"/>
      <c r="AF290" s="500"/>
      <c r="AG290" s="500"/>
      <c r="AH290" s="501"/>
      <c r="AK290" s="229" t="str">
        <f>IF(OR(A290="",A290="[ALL]", A290="[ALL J]", A290="[ALL G]"),"",MAX(AK$3:AK289)+1)</f>
        <v/>
      </c>
      <c r="AL290" s="229" t="str">
        <f t="shared" si="4"/>
        <v/>
      </c>
    </row>
    <row r="291" spans="1:38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499"/>
      <c r="AF291" s="500"/>
      <c r="AG291" s="500"/>
      <c r="AH291" s="501"/>
      <c r="AK291" s="229" t="str">
        <f>IF(OR(A291="",A291="[ALL]", A291="[ALL J]", A291="[ALL G]"),"",MAX(AK$3:AK290)+1)</f>
        <v/>
      </c>
      <c r="AL291" s="229" t="str">
        <f t="shared" si="4"/>
        <v/>
      </c>
    </row>
    <row r="292" spans="1:38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499"/>
      <c r="AF292" s="500"/>
      <c r="AG292" s="500"/>
      <c r="AH292" s="501"/>
      <c r="AK292" s="229" t="str">
        <f>IF(OR(A292="",A292="[ALL]", A292="[ALL J]", A292="[ALL G]"),"",MAX(AK$3:AK291)+1)</f>
        <v/>
      </c>
      <c r="AL292" s="229" t="str">
        <f t="shared" si="4"/>
        <v/>
      </c>
    </row>
    <row r="293" spans="1:38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499"/>
      <c r="AF293" s="500"/>
      <c r="AG293" s="500"/>
      <c r="AH293" s="501"/>
      <c r="AK293" s="229" t="str">
        <f>IF(OR(A293="",A293="[ALL]", A293="[ALL J]", A293="[ALL G]"),"",MAX(AK$3:AK292)+1)</f>
        <v/>
      </c>
      <c r="AL293" s="229" t="str">
        <f t="shared" si="4"/>
        <v/>
      </c>
    </row>
    <row r="294" spans="1:38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499"/>
      <c r="AF294" s="500"/>
      <c r="AG294" s="500"/>
      <c r="AH294" s="501"/>
      <c r="AK294" s="229" t="str">
        <f>IF(OR(A294="",A294="[ALL]", A294="[ALL J]", A294="[ALL G]"),"",MAX(AK$3:AK293)+1)</f>
        <v/>
      </c>
      <c r="AL294" s="229" t="str">
        <f t="shared" si="4"/>
        <v/>
      </c>
    </row>
    <row r="295" spans="1:38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499"/>
      <c r="AF295" s="500"/>
      <c r="AG295" s="500"/>
      <c r="AH295" s="501"/>
      <c r="AK295" s="229" t="str">
        <f>IF(OR(A295="",A295="[ALL]", A295="[ALL J]", A295="[ALL G]"),"",MAX(AK$3:AK294)+1)</f>
        <v/>
      </c>
      <c r="AL295" s="229" t="str">
        <f t="shared" si="4"/>
        <v/>
      </c>
    </row>
    <row r="296" spans="1:38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499"/>
      <c r="AF296" s="500"/>
      <c r="AG296" s="500"/>
      <c r="AH296" s="501"/>
      <c r="AK296" s="229" t="str">
        <f>IF(OR(A296="",A296="[ALL]", A296="[ALL J]", A296="[ALL G]"),"",MAX(AK$3:AK295)+1)</f>
        <v/>
      </c>
      <c r="AL296" s="229" t="str">
        <f t="shared" si="4"/>
        <v/>
      </c>
    </row>
    <row r="297" spans="1:38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499"/>
      <c r="AF297" s="500"/>
      <c r="AG297" s="500"/>
      <c r="AH297" s="501"/>
      <c r="AK297" s="229" t="str">
        <f>IF(OR(A297="",A297="[ALL]", A297="[ALL J]", A297="[ALL G]"),"",MAX(AK$3:AK296)+1)</f>
        <v/>
      </c>
      <c r="AL297" s="229" t="str">
        <f t="shared" si="4"/>
        <v/>
      </c>
    </row>
    <row r="298" spans="1:38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499"/>
      <c r="AF298" s="500"/>
      <c r="AG298" s="500"/>
      <c r="AH298" s="501"/>
      <c r="AK298" s="229" t="str">
        <f>IF(OR(A298="",A298="[ALL]", A298="[ALL J]", A298="[ALL G]"),"",MAX(AK$3:AK297)+1)</f>
        <v/>
      </c>
      <c r="AL298" s="229" t="str">
        <f t="shared" si="4"/>
        <v/>
      </c>
    </row>
    <row r="299" spans="1:38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499"/>
      <c r="AF299" s="500"/>
      <c r="AG299" s="500"/>
      <c r="AH299" s="501"/>
      <c r="AK299" s="229" t="str">
        <f>IF(OR(A299="",A299="[ALL]", A299="[ALL J]", A299="[ALL G]"),"",MAX(AK$3:AK298)+1)</f>
        <v/>
      </c>
      <c r="AL299" s="229" t="str">
        <f t="shared" si="4"/>
        <v/>
      </c>
    </row>
    <row r="300" spans="1:38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499"/>
      <c r="AF300" s="500"/>
      <c r="AG300" s="500"/>
      <c r="AH300" s="501"/>
      <c r="AK300" s="229" t="str">
        <f>IF(OR(A300="",A300="[ALL]", A300="[ALL J]", A300="[ALL G]"),"",MAX(AK$3:AK299)+1)</f>
        <v/>
      </c>
      <c r="AL300" s="229" t="str">
        <f t="shared" si="4"/>
        <v/>
      </c>
    </row>
    <row r="301" spans="1:38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499"/>
      <c r="AF301" s="500"/>
      <c r="AG301" s="500"/>
      <c r="AH301" s="501"/>
      <c r="AK301" s="229" t="str">
        <f>IF(OR(A301="",A301="[ALL]", A301="[ALL J]", A301="[ALL G]"),"",MAX(AK$3:AK300)+1)</f>
        <v/>
      </c>
      <c r="AL301" s="229" t="str">
        <f t="shared" si="4"/>
        <v/>
      </c>
    </row>
    <row r="302" spans="1:38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499"/>
      <c r="AF302" s="500"/>
      <c r="AG302" s="500"/>
      <c r="AH302" s="501"/>
      <c r="AK302" s="229" t="str">
        <f>IF(OR(A302="",A302="[ALL]", A302="[ALL J]", A302="[ALL G]"),"",MAX(AK$3:AK301)+1)</f>
        <v/>
      </c>
      <c r="AL302" s="229" t="str">
        <f t="shared" si="4"/>
        <v/>
      </c>
    </row>
    <row r="303" spans="1:38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499"/>
      <c r="AF303" s="500"/>
      <c r="AG303" s="500"/>
      <c r="AH303" s="501"/>
      <c r="AK303" s="229" t="str">
        <f>IF(OR(A303="",A303="[ALL]", A303="[ALL J]", A303="[ALL G]"),"",MAX(AK$3:AK302)+1)</f>
        <v/>
      </c>
      <c r="AL303" s="229" t="str">
        <f t="shared" si="4"/>
        <v/>
      </c>
    </row>
    <row r="304" spans="1:38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499"/>
      <c r="AF304" s="500"/>
      <c r="AG304" s="500"/>
      <c r="AH304" s="501"/>
      <c r="AK304" s="229" t="str">
        <f>IF(OR(A304="",A304="[ALL]", A304="[ALL J]", A304="[ALL G]"),"",MAX(AK$3:AK303)+1)</f>
        <v/>
      </c>
      <c r="AL304" s="229" t="str">
        <f t="shared" si="4"/>
        <v/>
      </c>
    </row>
    <row r="305" spans="1:38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499"/>
      <c r="AF305" s="500"/>
      <c r="AG305" s="500"/>
      <c r="AH305" s="501"/>
      <c r="AK305" s="229" t="str">
        <f>IF(OR(A305="",A305="[ALL]", A305="[ALL J]", A305="[ALL G]"),"",MAX(AK$3:AK304)+1)</f>
        <v/>
      </c>
      <c r="AL305" s="229" t="str">
        <f t="shared" si="4"/>
        <v/>
      </c>
    </row>
    <row r="306" spans="1:38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499"/>
      <c r="AF306" s="500"/>
      <c r="AG306" s="500"/>
      <c r="AH306" s="501"/>
      <c r="AK306" s="229" t="str">
        <f>IF(OR(A306="",A306="[ALL]", A306="[ALL J]", A306="[ALL G]"),"",MAX(AK$3:AK305)+1)</f>
        <v/>
      </c>
      <c r="AL306" s="229" t="str">
        <f t="shared" si="4"/>
        <v/>
      </c>
    </row>
    <row r="307" spans="1:38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499"/>
      <c r="AF307" s="500"/>
      <c r="AG307" s="500"/>
      <c r="AH307" s="501"/>
      <c r="AK307" s="229" t="str">
        <f>IF(OR(A307="",A307="[ALL]", A307="[ALL J]", A307="[ALL G]"),"",MAX(AK$3:AK306)+1)</f>
        <v/>
      </c>
      <c r="AL307" s="229" t="str">
        <f t="shared" si="4"/>
        <v/>
      </c>
    </row>
    <row r="308" spans="1:38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499"/>
      <c r="AF308" s="500"/>
      <c r="AG308" s="500"/>
      <c r="AH308" s="501"/>
      <c r="AK308" s="229" t="str">
        <f>IF(OR(A308="",A308="[ALL]", A308="[ALL J]", A308="[ALL G]"),"",MAX(AK$3:AK307)+1)</f>
        <v/>
      </c>
      <c r="AL308" s="229" t="str">
        <f t="shared" si="4"/>
        <v/>
      </c>
    </row>
    <row r="309" spans="1:38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499"/>
      <c r="AF309" s="500"/>
      <c r="AG309" s="500"/>
      <c r="AH309" s="501"/>
      <c r="AK309" s="229" t="str">
        <f>IF(OR(A309="",A309="[ALL]", A309="[ALL J]", A309="[ALL G]"),"",MAX(AK$3:AK308)+1)</f>
        <v/>
      </c>
      <c r="AL309" s="229" t="str">
        <f t="shared" si="4"/>
        <v/>
      </c>
    </row>
    <row r="310" spans="1:38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499"/>
      <c r="AF310" s="500"/>
      <c r="AG310" s="500"/>
      <c r="AH310" s="501"/>
      <c r="AK310" s="229" t="str">
        <f>IF(OR(A310="",A310="[ALL]", A310="[ALL J]", A310="[ALL G]"),"",MAX(AK$3:AK309)+1)</f>
        <v/>
      </c>
      <c r="AL310" s="229" t="str">
        <f t="shared" si="4"/>
        <v/>
      </c>
    </row>
    <row r="311" spans="1:38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499"/>
      <c r="AF311" s="500"/>
      <c r="AG311" s="500"/>
      <c r="AH311" s="501"/>
      <c r="AK311" s="229" t="str">
        <f>IF(OR(A311="",A311="[ALL]", A311="[ALL J]", A311="[ALL G]"),"",MAX(AK$3:AK310)+1)</f>
        <v/>
      </c>
      <c r="AL311" s="229" t="str">
        <f t="shared" si="4"/>
        <v/>
      </c>
    </row>
    <row r="312" spans="1:38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499"/>
      <c r="AF312" s="500"/>
      <c r="AG312" s="500"/>
      <c r="AH312" s="501"/>
      <c r="AK312" s="229" t="str">
        <f>IF(OR(A312="",A312="[ALL]", A312="[ALL J]", A312="[ALL G]"),"",MAX(AK$3:AK311)+1)</f>
        <v/>
      </c>
      <c r="AL312" s="229" t="str">
        <f t="shared" si="4"/>
        <v/>
      </c>
    </row>
    <row r="313" spans="1:38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499"/>
      <c r="AF313" s="500"/>
      <c r="AG313" s="500"/>
      <c r="AH313" s="501"/>
      <c r="AK313" s="229" t="str">
        <f>IF(OR(A313="",A313="[ALL]", A313="[ALL J]", A313="[ALL G]"),"",MAX(AK$3:AK312)+1)</f>
        <v/>
      </c>
      <c r="AL313" s="229" t="str">
        <f t="shared" si="4"/>
        <v/>
      </c>
    </row>
    <row r="314" spans="1:38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499"/>
      <c r="AF314" s="500"/>
      <c r="AG314" s="500"/>
      <c r="AH314" s="501"/>
      <c r="AK314" s="229" t="str">
        <f>IF(OR(A314="",A314="[ALL]", A314="[ALL J]", A314="[ALL G]"),"",MAX(AK$3:AK313)+1)</f>
        <v/>
      </c>
      <c r="AL314" s="229" t="str">
        <f t="shared" si="4"/>
        <v/>
      </c>
    </row>
    <row r="315" spans="1:38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499"/>
      <c r="AF315" s="500"/>
      <c r="AG315" s="500"/>
      <c r="AH315" s="501"/>
      <c r="AK315" s="229" t="str">
        <f>IF(OR(A315="",A315="[ALL]", A315="[ALL J]", A315="[ALL G]"),"",MAX(AK$3:AK314)+1)</f>
        <v/>
      </c>
      <c r="AL315" s="229" t="str">
        <f t="shared" si="4"/>
        <v/>
      </c>
    </row>
    <row r="316" spans="1:38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499"/>
      <c r="AF316" s="500"/>
      <c r="AG316" s="500"/>
      <c r="AH316" s="501"/>
      <c r="AK316" s="229" t="str">
        <f>IF(OR(A316="",A316="[ALL]", A316="[ALL J]", A316="[ALL G]"),"",MAX(AK$3:AK315)+1)</f>
        <v/>
      </c>
      <c r="AL316" s="229" t="str">
        <f t="shared" si="4"/>
        <v/>
      </c>
    </row>
    <row r="317" spans="1:38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499"/>
      <c r="AF317" s="500"/>
      <c r="AG317" s="500"/>
      <c r="AH317" s="501"/>
      <c r="AK317" s="229" t="str">
        <f>IF(OR(A317="",A317="[ALL]", A317="[ALL J]", A317="[ALL G]"),"",MAX(AK$3:AK316)+1)</f>
        <v/>
      </c>
      <c r="AL317" s="229" t="str">
        <f t="shared" si="4"/>
        <v/>
      </c>
    </row>
    <row r="318" spans="1:38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499"/>
      <c r="AF318" s="500"/>
      <c r="AG318" s="500"/>
      <c r="AH318" s="501"/>
      <c r="AK318" s="229" t="str">
        <f>IF(OR(A318="",A318="[ALL]", A318="[ALL J]", A318="[ALL G]"),"",MAX(AK$3:AK317)+1)</f>
        <v/>
      </c>
      <c r="AL318" s="229" t="str">
        <f t="shared" si="4"/>
        <v/>
      </c>
    </row>
    <row r="319" spans="1:38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499"/>
      <c r="AF319" s="500"/>
      <c r="AG319" s="500"/>
      <c r="AH319" s="501"/>
      <c r="AK319" s="229" t="str">
        <f>IF(OR(A319="",A319="[ALL]", A319="[ALL J]", A319="[ALL G]"),"",MAX(AK$3:AK318)+1)</f>
        <v/>
      </c>
      <c r="AL319" s="229" t="str">
        <f t="shared" si="4"/>
        <v/>
      </c>
    </row>
    <row r="320" spans="1:38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499"/>
      <c r="AF320" s="500"/>
      <c r="AG320" s="500"/>
      <c r="AH320" s="501"/>
      <c r="AK320" s="229" t="str">
        <f>IF(OR(A320="",A320="[ALL]", A320="[ALL J]", A320="[ALL G]"),"",MAX(AK$3:AK319)+1)</f>
        <v/>
      </c>
      <c r="AL320" s="229" t="str">
        <f t="shared" si="4"/>
        <v/>
      </c>
    </row>
    <row r="321" spans="1:38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499"/>
      <c r="AF321" s="500"/>
      <c r="AG321" s="500"/>
      <c r="AH321" s="501"/>
      <c r="AK321" s="229" t="str">
        <f>IF(OR(A321="",A321="[ALL]", A321="[ALL J]", A321="[ALL G]"),"",MAX(AK$3:AK320)+1)</f>
        <v/>
      </c>
      <c r="AL321" s="229" t="str">
        <f t="shared" si="4"/>
        <v/>
      </c>
    </row>
    <row r="322" spans="1:38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499"/>
      <c r="AF322" s="500"/>
      <c r="AG322" s="500"/>
      <c r="AH322" s="501"/>
      <c r="AK322" s="229" t="str">
        <f>IF(OR(A322="",A322="[ALL]", A322="[ALL J]", A322="[ALL G]"),"",MAX(AK$3:AK321)+1)</f>
        <v/>
      </c>
      <c r="AL322" s="229" t="str">
        <f t="shared" si="4"/>
        <v/>
      </c>
    </row>
    <row r="323" spans="1:38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499"/>
      <c r="AF323" s="500"/>
      <c r="AG323" s="500"/>
      <c r="AH323" s="501"/>
      <c r="AK323" s="229" t="str">
        <f>IF(OR(A323="",A323="[ALL]", A323="[ALL J]", A323="[ALL G]"),"",MAX(AK$3:AK322)+1)</f>
        <v/>
      </c>
      <c r="AL323" s="229" t="str">
        <f t="shared" si="4"/>
        <v/>
      </c>
    </row>
    <row r="324" spans="1:38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499"/>
      <c r="AF324" s="500"/>
      <c r="AG324" s="500"/>
      <c r="AH324" s="501"/>
      <c r="AK324" s="229" t="str">
        <f>IF(OR(A324="",A324="[ALL]", A324="[ALL J]", A324="[ALL G]"),"",MAX(AK$3:AK323)+1)</f>
        <v/>
      </c>
      <c r="AL324" s="229" t="str">
        <f t="shared" si="4"/>
        <v/>
      </c>
    </row>
    <row r="325" spans="1:38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499"/>
      <c r="AF325" s="500"/>
      <c r="AG325" s="500"/>
      <c r="AH325" s="501"/>
      <c r="AK325" s="229" t="str">
        <f>IF(OR(A325="",A325="[ALL]", A325="[ALL J]", A325="[ALL G]"),"",MAX(AK$3:AK324)+1)</f>
        <v/>
      </c>
      <c r="AL325" s="229" t="str">
        <f t="shared" ref="AL325:AL388" si="5">IFERROR(INDEX($A$4:$A$1000,MATCH(ROW()-ROW($AL$3),$AK$4:$AK$1000,0)),"")</f>
        <v/>
      </c>
    </row>
    <row r="326" spans="1:38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499"/>
      <c r="AF326" s="500"/>
      <c r="AG326" s="500"/>
      <c r="AH326" s="501"/>
      <c r="AK326" s="229" t="str">
        <f>IF(OR(A326="",A326="[ALL]", A326="[ALL J]", A326="[ALL G]"),"",MAX(AK$3:AK325)+1)</f>
        <v/>
      </c>
      <c r="AL326" s="229" t="str">
        <f t="shared" si="5"/>
        <v/>
      </c>
    </row>
    <row r="327" spans="1:38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499"/>
      <c r="AF327" s="500"/>
      <c r="AG327" s="500"/>
      <c r="AH327" s="501"/>
      <c r="AK327" s="229" t="str">
        <f>IF(OR(A327="",A327="[ALL]", A327="[ALL J]", A327="[ALL G]"),"",MAX(AK$3:AK326)+1)</f>
        <v/>
      </c>
      <c r="AL327" s="229" t="str">
        <f t="shared" si="5"/>
        <v/>
      </c>
    </row>
    <row r="328" spans="1:38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499"/>
      <c r="AF328" s="500"/>
      <c r="AG328" s="500"/>
      <c r="AH328" s="501"/>
      <c r="AK328" s="229" t="str">
        <f>IF(OR(A328="",A328="[ALL]", A328="[ALL J]", A328="[ALL G]"),"",MAX(AK$3:AK327)+1)</f>
        <v/>
      </c>
      <c r="AL328" s="229" t="str">
        <f t="shared" si="5"/>
        <v/>
      </c>
    </row>
    <row r="329" spans="1:38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499"/>
      <c r="AF329" s="500"/>
      <c r="AG329" s="500"/>
      <c r="AH329" s="501"/>
      <c r="AK329" s="229" t="str">
        <f>IF(OR(A329="",A329="[ALL]", A329="[ALL J]", A329="[ALL G]"),"",MAX(AK$3:AK328)+1)</f>
        <v/>
      </c>
      <c r="AL329" s="229" t="str">
        <f t="shared" si="5"/>
        <v/>
      </c>
    </row>
    <row r="330" spans="1:38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499"/>
      <c r="AF330" s="500"/>
      <c r="AG330" s="500"/>
      <c r="AH330" s="501"/>
      <c r="AK330" s="229" t="str">
        <f>IF(OR(A330="",A330="[ALL]", A330="[ALL J]", A330="[ALL G]"),"",MAX(AK$3:AK329)+1)</f>
        <v/>
      </c>
      <c r="AL330" s="229" t="str">
        <f t="shared" si="5"/>
        <v/>
      </c>
    </row>
    <row r="331" spans="1:38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499"/>
      <c r="AF331" s="500"/>
      <c r="AG331" s="500"/>
      <c r="AH331" s="501"/>
      <c r="AK331" s="229" t="str">
        <f>IF(OR(A331="",A331="[ALL]", A331="[ALL J]", A331="[ALL G]"),"",MAX(AK$3:AK330)+1)</f>
        <v/>
      </c>
      <c r="AL331" s="229" t="str">
        <f t="shared" si="5"/>
        <v/>
      </c>
    </row>
    <row r="332" spans="1:38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499"/>
      <c r="AF332" s="500"/>
      <c r="AG332" s="500"/>
      <c r="AH332" s="501"/>
      <c r="AK332" s="229" t="str">
        <f>IF(OR(A332="",A332="[ALL]", A332="[ALL J]", A332="[ALL G]"),"",MAX(AK$3:AK331)+1)</f>
        <v/>
      </c>
      <c r="AL332" s="229" t="str">
        <f t="shared" si="5"/>
        <v/>
      </c>
    </row>
    <row r="333" spans="1:38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499"/>
      <c r="AF333" s="500"/>
      <c r="AG333" s="500"/>
      <c r="AH333" s="501"/>
      <c r="AK333" s="229" t="str">
        <f>IF(OR(A333="",A333="[ALL]", A333="[ALL J]", A333="[ALL G]"),"",MAX(AK$3:AK332)+1)</f>
        <v/>
      </c>
      <c r="AL333" s="229" t="str">
        <f t="shared" si="5"/>
        <v/>
      </c>
    </row>
    <row r="334" spans="1:38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499"/>
      <c r="AF334" s="500"/>
      <c r="AG334" s="500"/>
      <c r="AH334" s="501"/>
      <c r="AK334" s="229" t="str">
        <f>IF(OR(A334="",A334="[ALL]", A334="[ALL J]", A334="[ALL G]"),"",MAX(AK$3:AK333)+1)</f>
        <v/>
      </c>
      <c r="AL334" s="229" t="str">
        <f t="shared" si="5"/>
        <v/>
      </c>
    </row>
    <row r="335" spans="1:38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499"/>
      <c r="AF335" s="500"/>
      <c r="AG335" s="500"/>
      <c r="AH335" s="501"/>
      <c r="AK335" s="229" t="str">
        <f>IF(OR(A335="",A335="[ALL]", A335="[ALL J]", A335="[ALL G]"),"",MAX(AK$3:AK334)+1)</f>
        <v/>
      </c>
      <c r="AL335" s="229" t="str">
        <f t="shared" si="5"/>
        <v/>
      </c>
    </row>
    <row r="336" spans="1:38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499"/>
      <c r="AF336" s="500"/>
      <c r="AG336" s="500"/>
      <c r="AH336" s="501"/>
      <c r="AK336" s="229" t="str">
        <f>IF(OR(A336="",A336="[ALL]", A336="[ALL J]", A336="[ALL G]"),"",MAX(AK$3:AK335)+1)</f>
        <v/>
      </c>
      <c r="AL336" s="229" t="str">
        <f t="shared" si="5"/>
        <v/>
      </c>
    </row>
    <row r="337" spans="1:38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499"/>
      <c r="AF337" s="500"/>
      <c r="AG337" s="500"/>
      <c r="AH337" s="501"/>
      <c r="AK337" s="229" t="str">
        <f>IF(OR(A337="",A337="[ALL]", A337="[ALL J]", A337="[ALL G]"),"",MAX(AK$3:AK336)+1)</f>
        <v/>
      </c>
      <c r="AL337" s="229" t="str">
        <f t="shared" si="5"/>
        <v/>
      </c>
    </row>
    <row r="338" spans="1:38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499"/>
      <c r="AF338" s="500"/>
      <c r="AG338" s="500"/>
      <c r="AH338" s="501"/>
      <c r="AK338" s="229" t="str">
        <f>IF(OR(A338="",A338="[ALL]", A338="[ALL J]", A338="[ALL G]"),"",MAX(AK$3:AK337)+1)</f>
        <v/>
      </c>
      <c r="AL338" s="229" t="str">
        <f t="shared" si="5"/>
        <v/>
      </c>
    </row>
    <row r="339" spans="1:38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499"/>
      <c r="AF339" s="500"/>
      <c r="AG339" s="500"/>
      <c r="AH339" s="501"/>
      <c r="AK339" s="229" t="str">
        <f>IF(OR(A339="",A339="[ALL]", A339="[ALL J]", A339="[ALL G]"),"",MAX(AK$3:AK338)+1)</f>
        <v/>
      </c>
      <c r="AL339" s="229" t="str">
        <f t="shared" si="5"/>
        <v/>
      </c>
    </row>
    <row r="340" spans="1:38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499"/>
      <c r="AF340" s="500"/>
      <c r="AG340" s="500"/>
      <c r="AH340" s="501"/>
      <c r="AK340" s="229" t="str">
        <f>IF(OR(A340="",A340="[ALL]", A340="[ALL J]", A340="[ALL G]"),"",MAX(AK$3:AK339)+1)</f>
        <v/>
      </c>
      <c r="AL340" s="229" t="str">
        <f t="shared" si="5"/>
        <v/>
      </c>
    </row>
    <row r="341" spans="1:38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499"/>
      <c r="AF341" s="500"/>
      <c r="AG341" s="500"/>
      <c r="AH341" s="501"/>
      <c r="AK341" s="229" t="str">
        <f>IF(OR(A341="",A341="[ALL]", A341="[ALL J]", A341="[ALL G]"),"",MAX(AK$3:AK340)+1)</f>
        <v/>
      </c>
      <c r="AL341" s="229" t="str">
        <f t="shared" si="5"/>
        <v/>
      </c>
    </row>
    <row r="342" spans="1:38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499"/>
      <c r="AF342" s="500"/>
      <c r="AG342" s="500"/>
      <c r="AH342" s="501"/>
      <c r="AK342" s="229" t="str">
        <f>IF(OR(A342="",A342="[ALL]", A342="[ALL J]", A342="[ALL G]"),"",MAX(AK$3:AK341)+1)</f>
        <v/>
      </c>
      <c r="AL342" s="229" t="str">
        <f t="shared" si="5"/>
        <v/>
      </c>
    </row>
    <row r="343" spans="1:38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499"/>
      <c r="AF343" s="500"/>
      <c r="AG343" s="500"/>
      <c r="AH343" s="501"/>
      <c r="AK343" s="229" t="str">
        <f>IF(OR(A343="",A343="[ALL]", A343="[ALL J]", A343="[ALL G]"),"",MAX(AK$3:AK342)+1)</f>
        <v/>
      </c>
      <c r="AL343" s="229" t="str">
        <f t="shared" si="5"/>
        <v/>
      </c>
    </row>
    <row r="344" spans="1:38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499"/>
      <c r="AF344" s="500"/>
      <c r="AG344" s="500"/>
      <c r="AH344" s="501"/>
      <c r="AK344" s="229" t="str">
        <f>IF(OR(A344="",A344="[ALL]", A344="[ALL J]", A344="[ALL G]"),"",MAX(AK$3:AK343)+1)</f>
        <v/>
      </c>
      <c r="AL344" s="229" t="str">
        <f t="shared" si="5"/>
        <v/>
      </c>
    </row>
    <row r="345" spans="1:38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499"/>
      <c r="AF345" s="500"/>
      <c r="AG345" s="500"/>
      <c r="AH345" s="501"/>
      <c r="AK345" s="229" t="str">
        <f>IF(OR(A345="",A345="[ALL]", A345="[ALL J]", A345="[ALL G]"),"",MAX(AK$3:AK344)+1)</f>
        <v/>
      </c>
      <c r="AL345" s="229" t="str">
        <f t="shared" si="5"/>
        <v/>
      </c>
    </row>
    <row r="346" spans="1:38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499"/>
      <c r="AF346" s="500"/>
      <c r="AG346" s="500"/>
      <c r="AH346" s="501"/>
      <c r="AK346" s="229" t="str">
        <f>IF(OR(A346="",A346="[ALL]", A346="[ALL J]", A346="[ALL G]"),"",MAX(AK$3:AK345)+1)</f>
        <v/>
      </c>
      <c r="AL346" s="229" t="str">
        <f t="shared" si="5"/>
        <v/>
      </c>
    </row>
    <row r="347" spans="1:38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499"/>
      <c r="AF347" s="500"/>
      <c r="AG347" s="500"/>
      <c r="AH347" s="501"/>
      <c r="AK347" s="229" t="str">
        <f>IF(OR(A347="",A347="[ALL]", A347="[ALL J]", A347="[ALL G]"),"",MAX(AK$3:AK346)+1)</f>
        <v/>
      </c>
      <c r="AL347" s="229" t="str">
        <f t="shared" si="5"/>
        <v/>
      </c>
    </row>
    <row r="348" spans="1:38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499"/>
      <c r="AF348" s="500"/>
      <c r="AG348" s="500"/>
      <c r="AH348" s="501"/>
      <c r="AK348" s="229" t="str">
        <f>IF(OR(A348="",A348="[ALL]", A348="[ALL J]", A348="[ALL G]"),"",MAX(AK$3:AK347)+1)</f>
        <v/>
      </c>
      <c r="AL348" s="229" t="str">
        <f t="shared" si="5"/>
        <v/>
      </c>
    </row>
    <row r="349" spans="1:38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499"/>
      <c r="AF349" s="500"/>
      <c r="AG349" s="500"/>
      <c r="AH349" s="501"/>
      <c r="AK349" s="229" t="str">
        <f>IF(OR(A349="",A349="[ALL]", A349="[ALL J]", A349="[ALL G]"),"",MAX(AK$3:AK348)+1)</f>
        <v/>
      </c>
      <c r="AL349" s="229" t="str">
        <f t="shared" si="5"/>
        <v/>
      </c>
    </row>
    <row r="350" spans="1:38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499"/>
      <c r="AF350" s="500"/>
      <c r="AG350" s="500"/>
      <c r="AH350" s="501"/>
      <c r="AK350" s="229" t="str">
        <f>IF(OR(A350="",A350="[ALL]", A350="[ALL J]", A350="[ALL G]"),"",MAX(AK$3:AK349)+1)</f>
        <v/>
      </c>
      <c r="AL350" s="229" t="str">
        <f t="shared" si="5"/>
        <v/>
      </c>
    </row>
    <row r="351" spans="1:38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499"/>
      <c r="AF351" s="500"/>
      <c r="AG351" s="500"/>
      <c r="AH351" s="501"/>
      <c r="AK351" s="229" t="str">
        <f>IF(OR(A351="",A351="[ALL]", A351="[ALL J]", A351="[ALL G]"),"",MAX(AK$3:AK350)+1)</f>
        <v/>
      </c>
      <c r="AL351" s="229" t="str">
        <f t="shared" si="5"/>
        <v/>
      </c>
    </row>
    <row r="352" spans="1:38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499"/>
      <c r="AF352" s="500"/>
      <c r="AG352" s="500"/>
      <c r="AH352" s="501"/>
      <c r="AK352" s="229" t="str">
        <f>IF(OR(A352="",A352="[ALL]", A352="[ALL J]", A352="[ALL G]"),"",MAX(AK$3:AK351)+1)</f>
        <v/>
      </c>
      <c r="AL352" s="229" t="str">
        <f t="shared" si="5"/>
        <v/>
      </c>
    </row>
    <row r="353" spans="1:38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499"/>
      <c r="AF353" s="500"/>
      <c r="AG353" s="500"/>
      <c r="AH353" s="501"/>
      <c r="AK353" s="229" t="str">
        <f>IF(OR(A353="",A353="[ALL]", A353="[ALL J]", A353="[ALL G]"),"",MAX(AK$3:AK352)+1)</f>
        <v/>
      </c>
      <c r="AL353" s="229" t="str">
        <f t="shared" si="5"/>
        <v/>
      </c>
    </row>
    <row r="354" spans="1:38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499"/>
      <c r="AF354" s="500"/>
      <c r="AG354" s="500"/>
      <c r="AH354" s="501"/>
      <c r="AK354" s="229" t="str">
        <f>IF(OR(A354="",A354="[ALL]", A354="[ALL J]", A354="[ALL G]"),"",MAX(AK$3:AK353)+1)</f>
        <v/>
      </c>
      <c r="AL354" s="229" t="str">
        <f t="shared" si="5"/>
        <v/>
      </c>
    </row>
    <row r="355" spans="1:38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499"/>
      <c r="AF355" s="500"/>
      <c r="AG355" s="500"/>
      <c r="AH355" s="501"/>
      <c r="AK355" s="229" t="str">
        <f>IF(OR(A355="",A355="[ALL]", A355="[ALL J]", A355="[ALL G]"),"",MAX(AK$3:AK354)+1)</f>
        <v/>
      </c>
      <c r="AL355" s="229" t="str">
        <f t="shared" si="5"/>
        <v/>
      </c>
    </row>
    <row r="356" spans="1:38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499"/>
      <c r="AF356" s="500"/>
      <c r="AG356" s="500"/>
      <c r="AH356" s="501"/>
      <c r="AK356" s="229" t="str">
        <f>IF(OR(A356="",A356="[ALL]", A356="[ALL J]", A356="[ALL G]"),"",MAX(AK$3:AK355)+1)</f>
        <v/>
      </c>
      <c r="AL356" s="229" t="str">
        <f t="shared" si="5"/>
        <v/>
      </c>
    </row>
    <row r="357" spans="1:38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499"/>
      <c r="AF357" s="500"/>
      <c r="AG357" s="500"/>
      <c r="AH357" s="501"/>
      <c r="AK357" s="229" t="str">
        <f>IF(OR(A357="",A357="[ALL]", A357="[ALL J]", A357="[ALL G]"),"",MAX(AK$3:AK356)+1)</f>
        <v/>
      </c>
      <c r="AL357" s="229" t="str">
        <f t="shared" si="5"/>
        <v/>
      </c>
    </row>
    <row r="358" spans="1:38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499"/>
      <c r="AF358" s="500"/>
      <c r="AG358" s="500"/>
      <c r="AH358" s="501"/>
      <c r="AK358" s="229" t="str">
        <f>IF(OR(A358="",A358="[ALL]", A358="[ALL J]", A358="[ALL G]"),"",MAX(AK$3:AK357)+1)</f>
        <v/>
      </c>
      <c r="AL358" s="229" t="str">
        <f t="shared" si="5"/>
        <v/>
      </c>
    </row>
    <row r="359" spans="1:38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499"/>
      <c r="AF359" s="500"/>
      <c r="AG359" s="500"/>
      <c r="AH359" s="501"/>
      <c r="AK359" s="229" t="str">
        <f>IF(OR(A359="",A359="[ALL]", A359="[ALL J]", A359="[ALL G]"),"",MAX(AK$3:AK358)+1)</f>
        <v/>
      </c>
      <c r="AL359" s="229" t="str">
        <f t="shared" si="5"/>
        <v/>
      </c>
    </row>
    <row r="360" spans="1:38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499"/>
      <c r="AF360" s="500"/>
      <c r="AG360" s="500"/>
      <c r="AH360" s="501"/>
      <c r="AK360" s="229" t="str">
        <f>IF(OR(A360="",A360="[ALL]", A360="[ALL J]", A360="[ALL G]"),"",MAX(AK$3:AK359)+1)</f>
        <v/>
      </c>
      <c r="AL360" s="229" t="str">
        <f t="shared" si="5"/>
        <v/>
      </c>
    </row>
    <row r="361" spans="1:38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499"/>
      <c r="AF361" s="500"/>
      <c r="AG361" s="500"/>
      <c r="AH361" s="501"/>
      <c r="AK361" s="229" t="str">
        <f>IF(OR(A361="",A361="[ALL]", A361="[ALL J]", A361="[ALL G]"),"",MAX(AK$3:AK360)+1)</f>
        <v/>
      </c>
      <c r="AL361" s="229" t="str">
        <f t="shared" si="5"/>
        <v/>
      </c>
    </row>
    <row r="362" spans="1:38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499"/>
      <c r="AF362" s="500"/>
      <c r="AG362" s="500"/>
      <c r="AH362" s="501"/>
      <c r="AK362" s="229" t="str">
        <f>IF(OR(A362="",A362="[ALL]", A362="[ALL J]", A362="[ALL G]"),"",MAX(AK$3:AK361)+1)</f>
        <v/>
      </c>
      <c r="AL362" s="229" t="str">
        <f t="shared" si="5"/>
        <v/>
      </c>
    </row>
    <row r="363" spans="1:38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499"/>
      <c r="AF363" s="500"/>
      <c r="AG363" s="500"/>
      <c r="AH363" s="501"/>
      <c r="AK363" s="229" t="str">
        <f>IF(OR(A363="",A363="[ALL]", A363="[ALL J]", A363="[ALL G]"),"",MAX(AK$3:AK362)+1)</f>
        <v/>
      </c>
      <c r="AL363" s="229" t="str">
        <f t="shared" si="5"/>
        <v/>
      </c>
    </row>
    <row r="364" spans="1:38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499"/>
      <c r="AF364" s="500"/>
      <c r="AG364" s="500"/>
      <c r="AH364" s="501"/>
      <c r="AK364" s="229" t="str">
        <f>IF(OR(A364="",A364="[ALL]", A364="[ALL J]", A364="[ALL G]"),"",MAX(AK$3:AK363)+1)</f>
        <v/>
      </c>
      <c r="AL364" s="229" t="str">
        <f t="shared" si="5"/>
        <v/>
      </c>
    </row>
    <row r="365" spans="1:38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499"/>
      <c r="AF365" s="500"/>
      <c r="AG365" s="500"/>
      <c r="AH365" s="501"/>
      <c r="AK365" s="229" t="str">
        <f>IF(OR(A365="",A365="[ALL]", A365="[ALL J]", A365="[ALL G]"),"",MAX(AK$3:AK364)+1)</f>
        <v/>
      </c>
      <c r="AL365" s="229" t="str">
        <f t="shared" si="5"/>
        <v/>
      </c>
    </row>
    <row r="366" spans="1:38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499"/>
      <c r="AF366" s="500"/>
      <c r="AG366" s="500"/>
      <c r="AH366" s="501"/>
      <c r="AK366" s="229" t="str">
        <f>IF(OR(A366="",A366="[ALL]", A366="[ALL J]", A366="[ALL G]"),"",MAX(AK$3:AK365)+1)</f>
        <v/>
      </c>
      <c r="AL366" s="229" t="str">
        <f t="shared" si="5"/>
        <v/>
      </c>
    </row>
    <row r="367" spans="1:38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499"/>
      <c r="AF367" s="500"/>
      <c r="AG367" s="500"/>
      <c r="AH367" s="501"/>
      <c r="AK367" s="229" t="str">
        <f>IF(OR(A367="",A367="[ALL]", A367="[ALL J]", A367="[ALL G]"),"",MAX(AK$3:AK366)+1)</f>
        <v/>
      </c>
      <c r="AL367" s="229" t="str">
        <f t="shared" si="5"/>
        <v/>
      </c>
    </row>
    <row r="368" spans="1:38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499"/>
      <c r="AF368" s="500"/>
      <c r="AG368" s="500"/>
      <c r="AH368" s="501"/>
      <c r="AK368" s="229" t="str">
        <f>IF(OR(A368="",A368="[ALL]", A368="[ALL J]", A368="[ALL G]"),"",MAX(AK$3:AK367)+1)</f>
        <v/>
      </c>
      <c r="AL368" s="229" t="str">
        <f t="shared" si="5"/>
        <v/>
      </c>
    </row>
    <row r="369" spans="1:38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499"/>
      <c r="AF369" s="500"/>
      <c r="AG369" s="500"/>
      <c r="AH369" s="501"/>
      <c r="AK369" s="229" t="str">
        <f>IF(OR(A369="",A369="[ALL]", A369="[ALL J]", A369="[ALL G]"),"",MAX(AK$3:AK368)+1)</f>
        <v/>
      </c>
      <c r="AL369" s="229" t="str">
        <f t="shared" si="5"/>
        <v/>
      </c>
    </row>
    <row r="370" spans="1:38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499"/>
      <c r="AF370" s="500"/>
      <c r="AG370" s="500"/>
      <c r="AH370" s="501"/>
      <c r="AK370" s="229" t="str">
        <f>IF(OR(A370="",A370="[ALL]", A370="[ALL J]", A370="[ALL G]"),"",MAX(AK$3:AK369)+1)</f>
        <v/>
      </c>
      <c r="AL370" s="229" t="str">
        <f t="shared" si="5"/>
        <v/>
      </c>
    </row>
    <row r="371" spans="1:38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499"/>
      <c r="AF371" s="500"/>
      <c r="AG371" s="500"/>
      <c r="AH371" s="501"/>
      <c r="AK371" s="229" t="str">
        <f>IF(OR(A371="",A371="[ALL]", A371="[ALL J]", A371="[ALL G]"),"",MAX(AK$3:AK370)+1)</f>
        <v/>
      </c>
      <c r="AL371" s="229" t="str">
        <f t="shared" si="5"/>
        <v/>
      </c>
    </row>
    <row r="372" spans="1:38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499"/>
      <c r="AF372" s="500"/>
      <c r="AG372" s="500"/>
      <c r="AH372" s="501"/>
      <c r="AK372" s="229" t="str">
        <f>IF(OR(A372="",A372="[ALL]", A372="[ALL J]", A372="[ALL G]"),"",MAX(AK$3:AK371)+1)</f>
        <v/>
      </c>
      <c r="AL372" s="229" t="str">
        <f t="shared" si="5"/>
        <v/>
      </c>
    </row>
    <row r="373" spans="1:38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499"/>
      <c r="AF373" s="500"/>
      <c r="AG373" s="500"/>
      <c r="AH373" s="501"/>
      <c r="AK373" s="229" t="str">
        <f>IF(OR(A373="",A373="[ALL]", A373="[ALL J]", A373="[ALL G]"),"",MAX(AK$3:AK372)+1)</f>
        <v/>
      </c>
      <c r="AL373" s="229" t="str">
        <f t="shared" si="5"/>
        <v/>
      </c>
    </row>
    <row r="374" spans="1:38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499"/>
      <c r="AF374" s="500"/>
      <c r="AG374" s="500"/>
      <c r="AH374" s="501"/>
      <c r="AK374" s="229" t="str">
        <f>IF(OR(A374="",A374="[ALL]", A374="[ALL J]", A374="[ALL G]"),"",MAX(AK$3:AK373)+1)</f>
        <v/>
      </c>
      <c r="AL374" s="229" t="str">
        <f t="shared" si="5"/>
        <v/>
      </c>
    </row>
    <row r="375" spans="1:38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499"/>
      <c r="AF375" s="500"/>
      <c r="AG375" s="500"/>
      <c r="AH375" s="501"/>
      <c r="AK375" s="229" t="str">
        <f>IF(OR(A375="",A375="[ALL]", A375="[ALL J]", A375="[ALL G]"),"",MAX(AK$3:AK374)+1)</f>
        <v/>
      </c>
      <c r="AL375" s="229" t="str">
        <f t="shared" si="5"/>
        <v/>
      </c>
    </row>
    <row r="376" spans="1:38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499"/>
      <c r="AF376" s="500"/>
      <c r="AG376" s="500"/>
      <c r="AH376" s="501"/>
      <c r="AK376" s="229" t="str">
        <f>IF(OR(A376="",A376="[ALL]", A376="[ALL J]", A376="[ALL G]"),"",MAX(AK$3:AK375)+1)</f>
        <v/>
      </c>
      <c r="AL376" s="229" t="str">
        <f t="shared" si="5"/>
        <v/>
      </c>
    </row>
    <row r="377" spans="1:38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499"/>
      <c r="AF377" s="500"/>
      <c r="AG377" s="500"/>
      <c r="AH377" s="501"/>
      <c r="AK377" s="229" t="str">
        <f>IF(OR(A377="",A377="[ALL]", A377="[ALL J]", A377="[ALL G]"),"",MAX(AK$3:AK376)+1)</f>
        <v/>
      </c>
      <c r="AL377" s="229" t="str">
        <f t="shared" si="5"/>
        <v/>
      </c>
    </row>
    <row r="378" spans="1:38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499"/>
      <c r="AF378" s="500"/>
      <c r="AG378" s="500"/>
      <c r="AH378" s="501"/>
      <c r="AK378" s="229" t="str">
        <f>IF(OR(A378="",A378="[ALL]", A378="[ALL J]", A378="[ALL G]"),"",MAX(AK$3:AK377)+1)</f>
        <v/>
      </c>
      <c r="AL378" s="229" t="str">
        <f t="shared" si="5"/>
        <v/>
      </c>
    </row>
    <row r="379" spans="1:38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499"/>
      <c r="AF379" s="500"/>
      <c r="AG379" s="500"/>
      <c r="AH379" s="501"/>
      <c r="AK379" s="229" t="str">
        <f>IF(OR(A379="",A379="[ALL]", A379="[ALL J]", A379="[ALL G]"),"",MAX(AK$3:AK378)+1)</f>
        <v/>
      </c>
      <c r="AL379" s="229" t="str">
        <f t="shared" si="5"/>
        <v/>
      </c>
    </row>
    <row r="380" spans="1:38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499"/>
      <c r="AF380" s="500"/>
      <c r="AG380" s="500"/>
      <c r="AH380" s="501"/>
      <c r="AK380" s="229" t="str">
        <f>IF(OR(A380="",A380="[ALL]", A380="[ALL J]", A380="[ALL G]"),"",MAX(AK$3:AK379)+1)</f>
        <v/>
      </c>
      <c r="AL380" s="229" t="str">
        <f t="shared" si="5"/>
        <v/>
      </c>
    </row>
    <row r="381" spans="1:38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499"/>
      <c r="AF381" s="500"/>
      <c r="AG381" s="500"/>
      <c r="AH381" s="501"/>
      <c r="AK381" s="229" t="str">
        <f>IF(OR(A381="",A381="[ALL]", A381="[ALL J]", A381="[ALL G]"),"",MAX(AK$3:AK380)+1)</f>
        <v/>
      </c>
      <c r="AL381" s="229" t="str">
        <f t="shared" si="5"/>
        <v/>
      </c>
    </row>
    <row r="382" spans="1:38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499"/>
      <c r="AF382" s="500"/>
      <c r="AG382" s="500"/>
      <c r="AH382" s="501"/>
      <c r="AK382" s="229" t="str">
        <f>IF(OR(A382="",A382="[ALL]", A382="[ALL J]", A382="[ALL G]"),"",MAX(AK$3:AK381)+1)</f>
        <v/>
      </c>
      <c r="AL382" s="229" t="str">
        <f t="shared" si="5"/>
        <v/>
      </c>
    </row>
    <row r="383" spans="1:38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499"/>
      <c r="AF383" s="500"/>
      <c r="AG383" s="500"/>
      <c r="AH383" s="501"/>
      <c r="AK383" s="229" t="str">
        <f>IF(OR(A383="",A383="[ALL]", A383="[ALL J]", A383="[ALL G]"),"",MAX(AK$3:AK382)+1)</f>
        <v/>
      </c>
      <c r="AL383" s="229" t="str">
        <f t="shared" si="5"/>
        <v/>
      </c>
    </row>
    <row r="384" spans="1:38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499"/>
      <c r="AF384" s="500"/>
      <c r="AG384" s="500"/>
      <c r="AH384" s="501"/>
      <c r="AK384" s="229" t="str">
        <f>IF(OR(A384="",A384="[ALL]", A384="[ALL J]", A384="[ALL G]"),"",MAX(AK$3:AK383)+1)</f>
        <v/>
      </c>
      <c r="AL384" s="229" t="str">
        <f t="shared" si="5"/>
        <v/>
      </c>
    </row>
    <row r="385" spans="1:38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499"/>
      <c r="AF385" s="500"/>
      <c r="AG385" s="500"/>
      <c r="AH385" s="501"/>
      <c r="AK385" s="229" t="str">
        <f>IF(OR(A385="",A385="[ALL]", A385="[ALL J]", A385="[ALL G]"),"",MAX(AK$3:AK384)+1)</f>
        <v/>
      </c>
      <c r="AL385" s="229" t="str">
        <f t="shared" si="5"/>
        <v/>
      </c>
    </row>
    <row r="386" spans="1:38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499"/>
      <c r="AF386" s="500"/>
      <c r="AG386" s="500"/>
      <c r="AH386" s="501"/>
      <c r="AK386" s="229" t="str">
        <f>IF(OR(A386="",A386="[ALL]", A386="[ALL J]", A386="[ALL G]"),"",MAX(AK$3:AK385)+1)</f>
        <v/>
      </c>
      <c r="AL386" s="229" t="str">
        <f t="shared" si="5"/>
        <v/>
      </c>
    </row>
    <row r="387" spans="1:38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499"/>
      <c r="AF387" s="500"/>
      <c r="AG387" s="500"/>
      <c r="AH387" s="501"/>
      <c r="AK387" s="229" t="str">
        <f>IF(OR(A387="",A387="[ALL]", A387="[ALL J]", A387="[ALL G]"),"",MAX(AK$3:AK386)+1)</f>
        <v/>
      </c>
      <c r="AL387" s="229" t="str">
        <f t="shared" si="5"/>
        <v/>
      </c>
    </row>
    <row r="388" spans="1:38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499"/>
      <c r="AF388" s="500"/>
      <c r="AG388" s="500"/>
      <c r="AH388" s="501"/>
      <c r="AK388" s="229" t="str">
        <f>IF(OR(A388="",A388="[ALL]", A388="[ALL J]", A388="[ALL G]"),"",MAX(AK$3:AK387)+1)</f>
        <v/>
      </c>
      <c r="AL388" s="229" t="str">
        <f t="shared" si="5"/>
        <v/>
      </c>
    </row>
    <row r="389" spans="1:38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499"/>
      <c r="AF389" s="500"/>
      <c r="AG389" s="500"/>
      <c r="AH389" s="501"/>
      <c r="AK389" s="229" t="str">
        <f>IF(OR(A389="",A389="[ALL]", A389="[ALL J]", A389="[ALL G]"),"",MAX(AK$3:AK388)+1)</f>
        <v/>
      </c>
      <c r="AL389" s="229" t="str">
        <f t="shared" ref="AL389:AL452" si="6">IFERROR(INDEX($A$4:$A$1000,MATCH(ROW()-ROW($AL$3),$AK$4:$AK$1000,0)),"")</f>
        <v/>
      </c>
    </row>
    <row r="390" spans="1:38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499"/>
      <c r="AF390" s="500"/>
      <c r="AG390" s="500"/>
      <c r="AH390" s="501"/>
      <c r="AK390" s="229" t="str">
        <f>IF(OR(A390="",A390="[ALL]", A390="[ALL J]", A390="[ALL G]"),"",MAX(AK$3:AK389)+1)</f>
        <v/>
      </c>
      <c r="AL390" s="229" t="str">
        <f t="shared" si="6"/>
        <v/>
      </c>
    </row>
    <row r="391" spans="1:38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499"/>
      <c r="AF391" s="500"/>
      <c r="AG391" s="500"/>
      <c r="AH391" s="501"/>
      <c r="AK391" s="229" t="str">
        <f>IF(OR(A391="",A391="[ALL]", A391="[ALL J]", A391="[ALL G]"),"",MAX(AK$3:AK390)+1)</f>
        <v/>
      </c>
      <c r="AL391" s="229" t="str">
        <f t="shared" si="6"/>
        <v/>
      </c>
    </row>
    <row r="392" spans="1:38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499"/>
      <c r="AF392" s="500"/>
      <c r="AG392" s="500"/>
      <c r="AH392" s="501"/>
      <c r="AK392" s="229" t="str">
        <f>IF(OR(A392="",A392="[ALL]", A392="[ALL J]", A392="[ALL G]"),"",MAX(AK$3:AK391)+1)</f>
        <v/>
      </c>
      <c r="AL392" s="229" t="str">
        <f t="shared" si="6"/>
        <v/>
      </c>
    </row>
    <row r="393" spans="1:38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499"/>
      <c r="AF393" s="500"/>
      <c r="AG393" s="500"/>
      <c r="AH393" s="501"/>
      <c r="AK393" s="229" t="str">
        <f>IF(OR(A393="",A393="[ALL]", A393="[ALL J]", A393="[ALL G]"),"",MAX(AK$3:AK392)+1)</f>
        <v/>
      </c>
      <c r="AL393" s="229" t="str">
        <f t="shared" si="6"/>
        <v/>
      </c>
    </row>
    <row r="394" spans="1:38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499"/>
      <c r="AF394" s="500"/>
      <c r="AG394" s="500"/>
      <c r="AH394" s="501"/>
      <c r="AK394" s="229" t="str">
        <f>IF(OR(A394="",A394="[ALL]", A394="[ALL J]", A394="[ALL G]"),"",MAX(AK$3:AK393)+1)</f>
        <v/>
      </c>
      <c r="AL394" s="229" t="str">
        <f t="shared" si="6"/>
        <v/>
      </c>
    </row>
    <row r="395" spans="1:38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499"/>
      <c r="AF395" s="500"/>
      <c r="AG395" s="500"/>
      <c r="AH395" s="501"/>
      <c r="AK395" s="229" t="str">
        <f>IF(OR(A395="",A395="[ALL]", A395="[ALL J]", A395="[ALL G]"),"",MAX(AK$3:AK394)+1)</f>
        <v/>
      </c>
      <c r="AL395" s="229" t="str">
        <f t="shared" si="6"/>
        <v/>
      </c>
    </row>
    <row r="396" spans="1:38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499"/>
      <c r="AF396" s="500"/>
      <c r="AG396" s="500"/>
      <c r="AH396" s="501"/>
      <c r="AK396" s="229" t="str">
        <f>IF(OR(A396="",A396="[ALL]", A396="[ALL J]", A396="[ALL G]"),"",MAX(AK$3:AK395)+1)</f>
        <v/>
      </c>
      <c r="AL396" s="229" t="str">
        <f t="shared" si="6"/>
        <v/>
      </c>
    </row>
    <row r="397" spans="1:38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499"/>
      <c r="AF397" s="500"/>
      <c r="AG397" s="500"/>
      <c r="AH397" s="501"/>
      <c r="AK397" s="229" t="str">
        <f>IF(OR(A397="",A397="[ALL]", A397="[ALL J]", A397="[ALL G]"),"",MAX(AK$3:AK396)+1)</f>
        <v/>
      </c>
      <c r="AL397" s="229" t="str">
        <f t="shared" si="6"/>
        <v/>
      </c>
    </row>
    <row r="398" spans="1:38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499"/>
      <c r="AF398" s="500"/>
      <c r="AG398" s="500"/>
      <c r="AH398" s="501"/>
      <c r="AK398" s="229" t="str">
        <f>IF(OR(A398="",A398="[ALL]", A398="[ALL J]", A398="[ALL G]"),"",MAX(AK$3:AK397)+1)</f>
        <v/>
      </c>
      <c r="AL398" s="229" t="str">
        <f t="shared" si="6"/>
        <v/>
      </c>
    </row>
    <row r="399" spans="1:38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499"/>
      <c r="AF399" s="500"/>
      <c r="AG399" s="500"/>
      <c r="AH399" s="501"/>
      <c r="AK399" s="229" t="str">
        <f>IF(OR(A399="",A399="[ALL]", A399="[ALL J]", A399="[ALL G]"),"",MAX(AK$3:AK398)+1)</f>
        <v/>
      </c>
      <c r="AL399" s="229" t="str">
        <f t="shared" si="6"/>
        <v/>
      </c>
    </row>
    <row r="400" spans="1:38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499"/>
      <c r="AF400" s="500"/>
      <c r="AG400" s="500"/>
      <c r="AH400" s="501"/>
      <c r="AK400" s="229" t="str">
        <f>IF(OR(A400="",A400="[ALL]", A400="[ALL J]", A400="[ALL G]"),"",MAX(AK$3:AK399)+1)</f>
        <v/>
      </c>
      <c r="AL400" s="229" t="str">
        <f t="shared" si="6"/>
        <v/>
      </c>
    </row>
    <row r="401" spans="1:38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499"/>
      <c r="AF401" s="500"/>
      <c r="AG401" s="500"/>
      <c r="AH401" s="501"/>
      <c r="AK401" s="229" t="str">
        <f>IF(OR(A401="",A401="[ALL]", A401="[ALL J]", A401="[ALL G]"),"",MAX(AK$3:AK400)+1)</f>
        <v/>
      </c>
      <c r="AL401" s="229" t="str">
        <f t="shared" si="6"/>
        <v/>
      </c>
    </row>
    <row r="402" spans="1:38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499"/>
      <c r="AF402" s="500"/>
      <c r="AG402" s="500"/>
      <c r="AH402" s="501"/>
      <c r="AK402" s="229" t="str">
        <f>IF(OR(A402="",A402="[ALL]", A402="[ALL J]", A402="[ALL G]"),"",MAX(AK$3:AK401)+1)</f>
        <v/>
      </c>
      <c r="AL402" s="229" t="str">
        <f t="shared" si="6"/>
        <v/>
      </c>
    </row>
    <row r="403" spans="1:38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499"/>
      <c r="AF403" s="500"/>
      <c r="AG403" s="500"/>
      <c r="AH403" s="501"/>
      <c r="AK403" s="229" t="str">
        <f>IF(OR(A403="",A403="[ALL]", A403="[ALL J]", A403="[ALL G]"),"",MAX(AK$3:AK402)+1)</f>
        <v/>
      </c>
      <c r="AL403" s="229" t="str">
        <f t="shared" si="6"/>
        <v/>
      </c>
    </row>
    <row r="404" spans="1:38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499"/>
      <c r="AF404" s="500"/>
      <c r="AG404" s="500"/>
      <c r="AH404" s="501"/>
      <c r="AK404" s="229" t="str">
        <f>IF(OR(A404="",A404="[ALL]", A404="[ALL J]", A404="[ALL G]"),"",MAX(AK$3:AK403)+1)</f>
        <v/>
      </c>
      <c r="AL404" s="229" t="str">
        <f t="shared" si="6"/>
        <v/>
      </c>
    </row>
    <row r="405" spans="1:38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499"/>
      <c r="AF405" s="500"/>
      <c r="AG405" s="500"/>
      <c r="AH405" s="501"/>
      <c r="AK405" s="229" t="str">
        <f>IF(OR(A405="",A405="[ALL]", A405="[ALL J]", A405="[ALL G]"),"",MAX(AK$3:AK404)+1)</f>
        <v/>
      </c>
      <c r="AL405" s="229" t="str">
        <f t="shared" si="6"/>
        <v/>
      </c>
    </row>
    <row r="406" spans="1:38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499"/>
      <c r="AF406" s="500"/>
      <c r="AG406" s="500"/>
      <c r="AH406" s="501"/>
      <c r="AK406" s="229" t="str">
        <f>IF(OR(A406="",A406="[ALL]", A406="[ALL J]", A406="[ALL G]"),"",MAX(AK$3:AK405)+1)</f>
        <v/>
      </c>
      <c r="AL406" s="229" t="str">
        <f t="shared" si="6"/>
        <v/>
      </c>
    </row>
    <row r="407" spans="1:38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499"/>
      <c r="AF407" s="500"/>
      <c r="AG407" s="500"/>
      <c r="AH407" s="501"/>
      <c r="AK407" s="229" t="str">
        <f>IF(OR(A407="",A407="[ALL]", A407="[ALL J]", A407="[ALL G]"),"",MAX(AK$3:AK406)+1)</f>
        <v/>
      </c>
      <c r="AL407" s="229" t="str">
        <f t="shared" si="6"/>
        <v/>
      </c>
    </row>
    <row r="408" spans="1:38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499"/>
      <c r="AF408" s="500"/>
      <c r="AG408" s="500"/>
      <c r="AH408" s="501"/>
      <c r="AK408" s="229" t="str">
        <f>IF(OR(A408="",A408="[ALL]", A408="[ALL J]", A408="[ALL G]"),"",MAX(AK$3:AK407)+1)</f>
        <v/>
      </c>
      <c r="AL408" s="229" t="str">
        <f t="shared" si="6"/>
        <v/>
      </c>
    </row>
    <row r="409" spans="1:38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499"/>
      <c r="AF409" s="500"/>
      <c r="AG409" s="500"/>
      <c r="AH409" s="501"/>
      <c r="AK409" s="229" t="str">
        <f>IF(OR(A409="",A409="[ALL]", A409="[ALL J]", A409="[ALL G]"),"",MAX(AK$3:AK408)+1)</f>
        <v/>
      </c>
      <c r="AL409" s="229" t="str">
        <f t="shared" si="6"/>
        <v/>
      </c>
    </row>
    <row r="410" spans="1:38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499"/>
      <c r="AF410" s="500"/>
      <c r="AG410" s="500"/>
      <c r="AH410" s="501"/>
      <c r="AK410" s="229" t="str">
        <f>IF(OR(A410="",A410="[ALL]", A410="[ALL J]", A410="[ALL G]"),"",MAX(AK$3:AK409)+1)</f>
        <v/>
      </c>
      <c r="AL410" s="229" t="str">
        <f t="shared" si="6"/>
        <v/>
      </c>
    </row>
    <row r="411" spans="1:38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499"/>
      <c r="AF411" s="500"/>
      <c r="AG411" s="500"/>
      <c r="AH411" s="501"/>
      <c r="AK411" s="229" t="str">
        <f>IF(OR(A411="",A411="[ALL]", A411="[ALL J]", A411="[ALL G]"),"",MAX(AK$3:AK410)+1)</f>
        <v/>
      </c>
      <c r="AL411" s="229" t="str">
        <f t="shared" si="6"/>
        <v/>
      </c>
    </row>
    <row r="412" spans="1:38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499"/>
      <c r="AF412" s="500"/>
      <c r="AG412" s="500"/>
      <c r="AH412" s="501"/>
      <c r="AK412" s="229" t="str">
        <f>IF(OR(A412="",A412="[ALL]", A412="[ALL J]", A412="[ALL G]"),"",MAX(AK$3:AK411)+1)</f>
        <v/>
      </c>
      <c r="AL412" s="229" t="str">
        <f t="shared" si="6"/>
        <v/>
      </c>
    </row>
    <row r="413" spans="1:38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499"/>
      <c r="AF413" s="500"/>
      <c r="AG413" s="500"/>
      <c r="AH413" s="501"/>
      <c r="AK413" s="229" t="str">
        <f>IF(OR(A413="",A413="[ALL]", A413="[ALL J]", A413="[ALL G]"),"",MAX(AK$3:AK412)+1)</f>
        <v/>
      </c>
      <c r="AL413" s="229" t="str">
        <f t="shared" si="6"/>
        <v/>
      </c>
    </row>
    <row r="414" spans="1:38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499"/>
      <c r="AF414" s="500"/>
      <c r="AG414" s="500"/>
      <c r="AH414" s="501"/>
      <c r="AK414" s="229" t="str">
        <f>IF(OR(A414="",A414="[ALL]", A414="[ALL J]", A414="[ALL G]"),"",MAX(AK$3:AK413)+1)</f>
        <v/>
      </c>
      <c r="AL414" s="229" t="str">
        <f t="shared" si="6"/>
        <v/>
      </c>
    </row>
    <row r="415" spans="1:38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499"/>
      <c r="AF415" s="500"/>
      <c r="AG415" s="500"/>
      <c r="AH415" s="501"/>
      <c r="AK415" s="229" t="str">
        <f>IF(OR(A415="",A415="[ALL]", A415="[ALL J]", A415="[ALL G]"),"",MAX(AK$3:AK414)+1)</f>
        <v/>
      </c>
      <c r="AL415" s="229" t="str">
        <f t="shared" si="6"/>
        <v/>
      </c>
    </row>
    <row r="416" spans="1:38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499"/>
      <c r="AF416" s="500"/>
      <c r="AG416" s="500"/>
      <c r="AH416" s="501"/>
      <c r="AK416" s="229" t="str">
        <f>IF(OR(A416="",A416="[ALL]", A416="[ALL J]", A416="[ALL G]"),"",MAX(AK$3:AK415)+1)</f>
        <v/>
      </c>
      <c r="AL416" s="229" t="str">
        <f t="shared" si="6"/>
        <v/>
      </c>
    </row>
    <row r="417" spans="1:38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499"/>
      <c r="AF417" s="500"/>
      <c r="AG417" s="500"/>
      <c r="AH417" s="501"/>
      <c r="AK417" s="229" t="str">
        <f>IF(OR(A417="",A417="[ALL]", A417="[ALL J]", A417="[ALL G]"),"",MAX(AK$3:AK416)+1)</f>
        <v/>
      </c>
      <c r="AL417" s="229" t="str">
        <f t="shared" si="6"/>
        <v/>
      </c>
    </row>
    <row r="418" spans="1:38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499"/>
      <c r="AF418" s="500"/>
      <c r="AG418" s="500"/>
      <c r="AH418" s="501"/>
      <c r="AK418" s="229" t="str">
        <f>IF(OR(A418="",A418="[ALL]", A418="[ALL J]", A418="[ALL G]"),"",MAX(AK$3:AK417)+1)</f>
        <v/>
      </c>
      <c r="AL418" s="229" t="str">
        <f t="shared" si="6"/>
        <v/>
      </c>
    </row>
    <row r="419" spans="1:38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499"/>
      <c r="AF419" s="500"/>
      <c r="AG419" s="500"/>
      <c r="AH419" s="501"/>
      <c r="AK419" s="229" t="str">
        <f>IF(OR(A419="",A419="[ALL]", A419="[ALL J]", A419="[ALL G]"),"",MAX(AK$3:AK418)+1)</f>
        <v/>
      </c>
      <c r="AL419" s="229" t="str">
        <f t="shared" si="6"/>
        <v/>
      </c>
    </row>
    <row r="420" spans="1:38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499"/>
      <c r="AF420" s="500"/>
      <c r="AG420" s="500"/>
      <c r="AH420" s="501"/>
      <c r="AK420" s="229" t="str">
        <f>IF(OR(A420="",A420="[ALL]", A420="[ALL J]", A420="[ALL G]"),"",MAX(AK$3:AK419)+1)</f>
        <v/>
      </c>
      <c r="AL420" s="229" t="str">
        <f t="shared" si="6"/>
        <v/>
      </c>
    </row>
    <row r="421" spans="1:38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499"/>
      <c r="AF421" s="500"/>
      <c r="AG421" s="500"/>
      <c r="AH421" s="501"/>
      <c r="AK421" s="229" t="str">
        <f>IF(OR(A421="",A421="[ALL]", A421="[ALL J]", A421="[ALL G]"),"",MAX(AK$3:AK420)+1)</f>
        <v/>
      </c>
      <c r="AL421" s="229" t="str">
        <f t="shared" si="6"/>
        <v/>
      </c>
    </row>
    <row r="422" spans="1:38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499"/>
      <c r="AF422" s="500"/>
      <c r="AG422" s="500"/>
      <c r="AH422" s="501"/>
      <c r="AK422" s="229" t="str">
        <f>IF(OR(A422="",A422="[ALL]", A422="[ALL J]", A422="[ALL G]"),"",MAX(AK$3:AK421)+1)</f>
        <v/>
      </c>
      <c r="AL422" s="229" t="str">
        <f t="shared" si="6"/>
        <v/>
      </c>
    </row>
    <row r="423" spans="1:38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499"/>
      <c r="AF423" s="500"/>
      <c r="AG423" s="500"/>
      <c r="AH423" s="501"/>
      <c r="AK423" s="229" t="str">
        <f>IF(OR(A423="",A423="[ALL]", A423="[ALL J]", A423="[ALL G]"),"",MAX(AK$3:AK422)+1)</f>
        <v/>
      </c>
      <c r="AL423" s="229" t="str">
        <f t="shared" si="6"/>
        <v/>
      </c>
    </row>
    <row r="424" spans="1:38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499"/>
      <c r="AF424" s="500"/>
      <c r="AG424" s="500"/>
      <c r="AH424" s="501"/>
      <c r="AK424" s="229" t="str">
        <f>IF(OR(A424="",A424="[ALL]", A424="[ALL J]", A424="[ALL G]"),"",MAX(AK$3:AK423)+1)</f>
        <v/>
      </c>
      <c r="AL424" s="229" t="str">
        <f t="shared" si="6"/>
        <v/>
      </c>
    </row>
    <row r="425" spans="1:38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499"/>
      <c r="AF425" s="500"/>
      <c r="AG425" s="500"/>
      <c r="AH425" s="501"/>
      <c r="AK425" s="229" t="str">
        <f>IF(OR(A425="",A425="[ALL]", A425="[ALL J]", A425="[ALL G]"),"",MAX(AK$3:AK424)+1)</f>
        <v/>
      </c>
      <c r="AL425" s="229" t="str">
        <f t="shared" si="6"/>
        <v/>
      </c>
    </row>
    <row r="426" spans="1:38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499"/>
      <c r="AF426" s="500"/>
      <c r="AG426" s="500"/>
      <c r="AH426" s="501"/>
      <c r="AK426" s="229" t="str">
        <f>IF(OR(A426="",A426="[ALL]", A426="[ALL J]", A426="[ALL G]"),"",MAX(AK$3:AK425)+1)</f>
        <v/>
      </c>
      <c r="AL426" s="229" t="str">
        <f t="shared" si="6"/>
        <v/>
      </c>
    </row>
    <row r="427" spans="1:38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499"/>
      <c r="AF427" s="500"/>
      <c r="AG427" s="500"/>
      <c r="AH427" s="501"/>
      <c r="AK427" s="229" t="str">
        <f>IF(OR(A427="",A427="[ALL]", A427="[ALL J]", A427="[ALL G]"),"",MAX(AK$3:AK426)+1)</f>
        <v/>
      </c>
      <c r="AL427" s="229" t="str">
        <f t="shared" si="6"/>
        <v/>
      </c>
    </row>
    <row r="428" spans="1:38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499"/>
      <c r="AF428" s="500"/>
      <c r="AG428" s="500"/>
      <c r="AH428" s="501"/>
      <c r="AK428" s="229" t="str">
        <f>IF(OR(A428="",A428="[ALL]", A428="[ALL J]", A428="[ALL G]"),"",MAX(AK$3:AK427)+1)</f>
        <v/>
      </c>
      <c r="AL428" s="229" t="str">
        <f t="shared" si="6"/>
        <v/>
      </c>
    </row>
    <row r="429" spans="1:38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499"/>
      <c r="AF429" s="500"/>
      <c r="AG429" s="500"/>
      <c r="AH429" s="501"/>
      <c r="AK429" s="229" t="str">
        <f>IF(OR(A429="",A429="[ALL]", A429="[ALL J]", A429="[ALL G]"),"",MAX(AK$3:AK428)+1)</f>
        <v/>
      </c>
      <c r="AL429" s="229" t="str">
        <f t="shared" si="6"/>
        <v/>
      </c>
    </row>
    <row r="430" spans="1:38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499"/>
      <c r="AF430" s="500"/>
      <c r="AG430" s="500"/>
      <c r="AH430" s="501"/>
      <c r="AK430" s="229" t="str">
        <f>IF(OR(A430="",A430="[ALL]", A430="[ALL J]", A430="[ALL G]"),"",MAX(AK$3:AK429)+1)</f>
        <v/>
      </c>
      <c r="AL430" s="229" t="str">
        <f t="shared" si="6"/>
        <v/>
      </c>
    </row>
    <row r="431" spans="1:38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499"/>
      <c r="AF431" s="500"/>
      <c r="AG431" s="500"/>
      <c r="AH431" s="501"/>
      <c r="AK431" s="229" t="str">
        <f>IF(OR(A431="",A431="[ALL]", A431="[ALL J]", A431="[ALL G]"),"",MAX(AK$3:AK430)+1)</f>
        <v/>
      </c>
      <c r="AL431" s="229" t="str">
        <f t="shared" si="6"/>
        <v/>
      </c>
    </row>
    <row r="432" spans="1:38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499"/>
      <c r="AF432" s="500"/>
      <c r="AG432" s="500"/>
      <c r="AH432" s="501"/>
      <c r="AK432" s="229" t="str">
        <f>IF(OR(A432="",A432="[ALL]", A432="[ALL J]", A432="[ALL G]"),"",MAX(AK$3:AK431)+1)</f>
        <v/>
      </c>
      <c r="AL432" s="229" t="str">
        <f t="shared" si="6"/>
        <v/>
      </c>
    </row>
    <row r="433" spans="1:38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499"/>
      <c r="AF433" s="500"/>
      <c r="AG433" s="500"/>
      <c r="AH433" s="501"/>
      <c r="AK433" s="229" t="str">
        <f>IF(OR(A433="",A433="[ALL]", A433="[ALL J]", A433="[ALL G]"),"",MAX(AK$3:AK432)+1)</f>
        <v/>
      </c>
      <c r="AL433" s="229" t="str">
        <f t="shared" si="6"/>
        <v/>
      </c>
    </row>
    <row r="434" spans="1:38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499"/>
      <c r="AF434" s="500"/>
      <c r="AG434" s="500"/>
      <c r="AH434" s="501"/>
      <c r="AK434" s="229" t="str">
        <f>IF(OR(A434="",A434="[ALL]", A434="[ALL J]", A434="[ALL G]"),"",MAX(AK$3:AK433)+1)</f>
        <v/>
      </c>
      <c r="AL434" s="229" t="str">
        <f t="shared" si="6"/>
        <v/>
      </c>
    </row>
    <row r="435" spans="1:38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499"/>
      <c r="AF435" s="500"/>
      <c r="AG435" s="500"/>
      <c r="AH435" s="501"/>
      <c r="AK435" s="229" t="str">
        <f>IF(OR(A435="",A435="[ALL]", A435="[ALL J]", A435="[ALL G]"),"",MAX(AK$3:AK434)+1)</f>
        <v/>
      </c>
      <c r="AL435" s="229" t="str">
        <f t="shared" si="6"/>
        <v/>
      </c>
    </row>
    <row r="436" spans="1:38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499"/>
      <c r="AF436" s="500"/>
      <c r="AG436" s="500"/>
      <c r="AH436" s="501"/>
      <c r="AK436" s="229" t="str">
        <f>IF(OR(A436="",A436="[ALL]", A436="[ALL J]", A436="[ALL G]"),"",MAX(AK$3:AK435)+1)</f>
        <v/>
      </c>
      <c r="AL436" s="229" t="str">
        <f t="shared" si="6"/>
        <v/>
      </c>
    </row>
    <row r="437" spans="1:38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499"/>
      <c r="AF437" s="500"/>
      <c r="AG437" s="500"/>
      <c r="AH437" s="501"/>
      <c r="AK437" s="229" t="str">
        <f>IF(OR(A437="",A437="[ALL]", A437="[ALL J]", A437="[ALL G]"),"",MAX(AK$3:AK436)+1)</f>
        <v/>
      </c>
      <c r="AL437" s="229" t="str">
        <f t="shared" si="6"/>
        <v/>
      </c>
    </row>
    <row r="438" spans="1:38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499"/>
      <c r="AF438" s="500"/>
      <c r="AG438" s="500"/>
      <c r="AH438" s="501"/>
      <c r="AK438" s="229" t="str">
        <f>IF(OR(A438="",A438="[ALL]", A438="[ALL J]", A438="[ALL G]"),"",MAX(AK$3:AK437)+1)</f>
        <v/>
      </c>
      <c r="AL438" s="229" t="str">
        <f t="shared" si="6"/>
        <v/>
      </c>
    </row>
    <row r="439" spans="1:38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499"/>
      <c r="AF439" s="500"/>
      <c r="AG439" s="500"/>
      <c r="AH439" s="501"/>
      <c r="AK439" s="229" t="str">
        <f>IF(OR(A439="",A439="[ALL]", A439="[ALL J]", A439="[ALL G]"),"",MAX(AK$3:AK438)+1)</f>
        <v/>
      </c>
      <c r="AL439" s="229" t="str">
        <f t="shared" si="6"/>
        <v/>
      </c>
    </row>
    <row r="440" spans="1:38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499"/>
      <c r="AF440" s="500"/>
      <c r="AG440" s="500"/>
      <c r="AH440" s="501"/>
      <c r="AK440" s="229" t="str">
        <f>IF(OR(A440="",A440="[ALL]", A440="[ALL J]", A440="[ALL G]"),"",MAX(AK$3:AK439)+1)</f>
        <v/>
      </c>
      <c r="AL440" s="229" t="str">
        <f t="shared" si="6"/>
        <v/>
      </c>
    </row>
    <row r="441" spans="1:38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499"/>
      <c r="AF441" s="500"/>
      <c r="AG441" s="500"/>
      <c r="AH441" s="501"/>
      <c r="AK441" s="229" t="str">
        <f>IF(OR(A441="",A441="[ALL]", A441="[ALL J]", A441="[ALL G]"),"",MAX(AK$3:AK440)+1)</f>
        <v/>
      </c>
      <c r="AL441" s="229" t="str">
        <f t="shared" si="6"/>
        <v/>
      </c>
    </row>
    <row r="442" spans="1:38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499"/>
      <c r="AF442" s="500"/>
      <c r="AG442" s="500"/>
      <c r="AH442" s="501"/>
      <c r="AK442" s="229" t="str">
        <f>IF(OR(A442="",A442="[ALL]", A442="[ALL J]", A442="[ALL G]"),"",MAX(AK$3:AK441)+1)</f>
        <v/>
      </c>
      <c r="AL442" s="229" t="str">
        <f t="shared" si="6"/>
        <v/>
      </c>
    </row>
    <row r="443" spans="1:38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499"/>
      <c r="AF443" s="500"/>
      <c r="AG443" s="500"/>
      <c r="AH443" s="501"/>
      <c r="AK443" s="229" t="str">
        <f>IF(OR(A443="",A443="[ALL]", A443="[ALL J]", A443="[ALL G]"),"",MAX(AK$3:AK442)+1)</f>
        <v/>
      </c>
      <c r="AL443" s="229" t="str">
        <f t="shared" si="6"/>
        <v/>
      </c>
    </row>
    <row r="444" spans="1:38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499"/>
      <c r="AF444" s="500"/>
      <c r="AG444" s="500"/>
      <c r="AH444" s="501"/>
      <c r="AK444" s="229" t="str">
        <f>IF(OR(A444="",A444="[ALL]", A444="[ALL J]", A444="[ALL G]"),"",MAX(AK$3:AK443)+1)</f>
        <v/>
      </c>
      <c r="AL444" s="229" t="str">
        <f t="shared" si="6"/>
        <v/>
      </c>
    </row>
    <row r="445" spans="1:38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499"/>
      <c r="AF445" s="500"/>
      <c r="AG445" s="500"/>
      <c r="AH445" s="501"/>
      <c r="AK445" s="229" t="str">
        <f>IF(OR(A445="",A445="[ALL]", A445="[ALL J]", A445="[ALL G]"),"",MAX(AK$3:AK444)+1)</f>
        <v/>
      </c>
      <c r="AL445" s="229" t="str">
        <f t="shared" si="6"/>
        <v/>
      </c>
    </row>
    <row r="446" spans="1:38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499"/>
      <c r="AF446" s="500"/>
      <c r="AG446" s="500"/>
      <c r="AH446" s="501"/>
      <c r="AK446" s="229" t="str">
        <f>IF(OR(A446="",A446="[ALL]", A446="[ALL J]", A446="[ALL G]"),"",MAX(AK$3:AK445)+1)</f>
        <v/>
      </c>
      <c r="AL446" s="229" t="str">
        <f t="shared" si="6"/>
        <v/>
      </c>
    </row>
    <row r="447" spans="1:38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499"/>
      <c r="AF447" s="500"/>
      <c r="AG447" s="500"/>
      <c r="AH447" s="501"/>
      <c r="AK447" s="229" t="str">
        <f>IF(OR(A447="",A447="[ALL]", A447="[ALL J]", A447="[ALL G]"),"",MAX(AK$3:AK446)+1)</f>
        <v/>
      </c>
      <c r="AL447" s="229" t="str">
        <f t="shared" si="6"/>
        <v/>
      </c>
    </row>
    <row r="448" spans="1:38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499"/>
      <c r="AF448" s="500"/>
      <c r="AG448" s="500"/>
      <c r="AH448" s="501"/>
      <c r="AK448" s="229" t="str">
        <f>IF(OR(A448="",A448="[ALL]", A448="[ALL J]", A448="[ALL G]"),"",MAX(AK$3:AK447)+1)</f>
        <v/>
      </c>
      <c r="AL448" s="229" t="str">
        <f t="shared" si="6"/>
        <v/>
      </c>
    </row>
    <row r="449" spans="1:38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499"/>
      <c r="AF449" s="500"/>
      <c r="AG449" s="500"/>
      <c r="AH449" s="501"/>
      <c r="AK449" s="229" t="str">
        <f>IF(OR(A449="",A449="[ALL]", A449="[ALL J]", A449="[ALL G]"),"",MAX(AK$3:AK448)+1)</f>
        <v/>
      </c>
      <c r="AL449" s="229" t="str">
        <f t="shared" si="6"/>
        <v/>
      </c>
    </row>
    <row r="450" spans="1:38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499"/>
      <c r="AF450" s="500"/>
      <c r="AG450" s="500"/>
      <c r="AH450" s="501"/>
      <c r="AK450" s="229" t="str">
        <f>IF(OR(A450="",A450="[ALL]", A450="[ALL J]", A450="[ALL G]"),"",MAX(AK$3:AK449)+1)</f>
        <v/>
      </c>
      <c r="AL450" s="229" t="str">
        <f t="shared" si="6"/>
        <v/>
      </c>
    </row>
    <row r="451" spans="1:38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499"/>
      <c r="AF451" s="500"/>
      <c r="AG451" s="500"/>
      <c r="AH451" s="501"/>
      <c r="AK451" s="229" t="str">
        <f>IF(OR(A451="",A451="[ALL]", A451="[ALL J]", A451="[ALL G]"),"",MAX(AK$3:AK450)+1)</f>
        <v/>
      </c>
      <c r="AL451" s="229" t="str">
        <f t="shared" si="6"/>
        <v/>
      </c>
    </row>
    <row r="452" spans="1:38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499"/>
      <c r="AF452" s="500"/>
      <c r="AG452" s="500"/>
      <c r="AH452" s="501"/>
      <c r="AK452" s="229" t="str">
        <f>IF(OR(A452="",A452="[ALL]", A452="[ALL J]", A452="[ALL G]"),"",MAX(AK$3:AK451)+1)</f>
        <v/>
      </c>
      <c r="AL452" s="229" t="str">
        <f t="shared" si="6"/>
        <v/>
      </c>
    </row>
    <row r="453" spans="1:38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499"/>
      <c r="AF453" s="500"/>
      <c r="AG453" s="500"/>
      <c r="AH453" s="501"/>
      <c r="AK453" s="229" t="str">
        <f>IF(OR(A453="",A453="[ALL]", A453="[ALL J]", A453="[ALL G]"),"",MAX(AK$3:AK452)+1)</f>
        <v/>
      </c>
      <c r="AL453" s="229" t="str">
        <f t="shared" ref="AL453:AL516" si="7">IFERROR(INDEX($A$4:$A$1000,MATCH(ROW()-ROW($AL$3),$AK$4:$AK$1000,0)),"")</f>
        <v/>
      </c>
    </row>
    <row r="454" spans="1:38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499"/>
      <c r="AF454" s="500"/>
      <c r="AG454" s="500"/>
      <c r="AH454" s="501"/>
      <c r="AK454" s="229" t="str">
        <f>IF(OR(A454="",A454="[ALL]", A454="[ALL J]", A454="[ALL G]"),"",MAX(AK$3:AK453)+1)</f>
        <v/>
      </c>
      <c r="AL454" s="229" t="str">
        <f t="shared" si="7"/>
        <v/>
      </c>
    </row>
    <row r="455" spans="1:38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499"/>
      <c r="AF455" s="500"/>
      <c r="AG455" s="500"/>
      <c r="AH455" s="501"/>
      <c r="AK455" s="229" t="str">
        <f>IF(OR(A455="",A455="[ALL]", A455="[ALL J]", A455="[ALL G]"),"",MAX(AK$3:AK454)+1)</f>
        <v/>
      </c>
      <c r="AL455" s="229" t="str">
        <f t="shared" si="7"/>
        <v/>
      </c>
    </row>
    <row r="456" spans="1:38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499"/>
      <c r="AF456" s="500"/>
      <c r="AG456" s="500"/>
      <c r="AH456" s="501"/>
      <c r="AK456" s="229" t="str">
        <f>IF(OR(A456="",A456="[ALL]", A456="[ALL J]", A456="[ALL G]"),"",MAX(AK$3:AK455)+1)</f>
        <v/>
      </c>
      <c r="AL456" s="229" t="str">
        <f t="shared" si="7"/>
        <v/>
      </c>
    </row>
    <row r="457" spans="1:38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499"/>
      <c r="AF457" s="500"/>
      <c r="AG457" s="500"/>
      <c r="AH457" s="501"/>
      <c r="AK457" s="229" t="str">
        <f>IF(OR(A457="",A457="[ALL]", A457="[ALL J]", A457="[ALL G]"),"",MAX(AK$3:AK456)+1)</f>
        <v/>
      </c>
      <c r="AL457" s="229" t="str">
        <f t="shared" si="7"/>
        <v/>
      </c>
    </row>
    <row r="458" spans="1:38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499"/>
      <c r="AF458" s="500"/>
      <c r="AG458" s="500"/>
      <c r="AH458" s="501"/>
      <c r="AK458" s="229" t="str">
        <f>IF(OR(A458="",A458="[ALL]", A458="[ALL J]", A458="[ALL G]"),"",MAX(AK$3:AK457)+1)</f>
        <v/>
      </c>
      <c r="AL458" s="229" t="str">
        <f t="shared" si="7"/>
        <v/>
      </c>
    </row>
    <row r="459" spans="1:38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499"/>
      <c r="AF459" s="500"/>
      <c r="AG459" s="500"/>
      <c r="AH459" s="501"/>
      <c r="AK459" s="229" t="str">
        <f>IF(OR(A459="",A459="[ALL]", A459="[ALL J]", A459="[ALL G]"),"",MAX(AK$3:AK458)+1)</f>
        <v/>
      </c>
      <c r="AL459" s="229" t="str">
        <f t="shared" si="7"/>
        <v/>
      </c>
    </row>
    <row r="460" spans="1:38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499"/>
      <c r="AF460" s="500"/>
      <c r="AG460" s="500"/>
      <c r="AH460" s="501"/>
      <c r="AK460" s="229" t="str">
        <f>IF(OR(A460="",A460="[ALL]", A460="[ALL J]", A460="[ALL G]"),"",MAX(AK$3:AK459)+1)</f>
        <v/>
      </c>
      <c r="AL460" s="229" t="str">
        <f t="shared" si="7"/>
        <v/>
      </c>
    </row>
    <row r="461" spans="1:38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499"/>
      <c r="AF461" s="500"/>
      <c r="AG461" s="500"/>
      <c r="AH461" s="501"/>
      <c r="AK461" s="229" t="str">
        <f>IF(OR(A461="",A461="[ALL]", A461="[ALL J]", A461="[ALL G]"),"",MAX(AK$3:AK460)+1)</f>
        <v/>
      </c>
      <c r="AL461" s="229" t="str">
        <f t="shared" si="7"/>
        <v/>
      </c>
    </row>
    <row r="462" spans="1:38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499"/>
      <c r="AF462" s="500"/>
      <c r="AG462" s="500"/>
      <c r="AH462" s="501"/>
      <c r="AK462" s="229" t="str">
        <f>IF(OR(A462="",A462="[ALL]", A462="[ALL J]", A462="[ALL G]"),"",MAX(AK$3:AK461)+1)</f>
        <v/>
      </c>
      <c r="AL462" s="229" t="str">
        <f t="shared" si="7"/>
        <v/>
      </c>
    </row>
    <row r="463" spans="1:38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499"/>
      <c r="AF463" s="500"/>
      <c r="AG463" s="500"/>
      <c r="AH463" s="501"/>
      <c r="AK463" s="229" t="str">
        <f>IF(OR(A463="",A463="[ALL]", A463="[ALL J]", A463="[ALL G]"),"",MAX(AK$3:AK462)+1)</f>
        <v/>
      </c>
      <c r="AL463" s="229" t="str">
        <f t="shared" si="7"/>
        <v/>
      </c>
    </row>
    <row r="464" spans="1:38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499"/>
      <c r="AF464" s="500"/>
      <c r="AG464" s="500"/>
      <c r="AH464" s="501"/>
      <c r="AK464" s="229" t="str">
        <f>IF(OR(A464="",A464="[ALL]", A464="[ALL J]", A464="[ALL G]"),"",MAX(AK$3:AK463)+1)</f>
        <v/>
      </c>
      <c r="AL464" s="229" t="str">
        <f t="shared" si="7"/>
        <v/>
      </c>
    </row>
    <row r="465" spans="1:38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499"/>
      <c r="AF465" s="500"/>
      <c r="AG465" s="500"/>
      <c r="AH465" s="501"/>
      <c r="AK465" s="229" t="str">
        <f>IF(OR(A465="",A465="[ALL]", A465="[ALL J]", A465="[ALL G]"),"",MAX(AK$3:AK464)+1)</f>
        <v/>
      </c>
      <c r="AL465" s="229" t="str">
        <f t="shared" si="7"/>
        <v/>
      </c>
    </row>
    <row r="466" spans="1:38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499"/>
      <c r="AF466" s="500"/>
      <c r="AG466" s="500"/>
      <c r="AH466" s="501"/>
      <c r="AK466" s="229" t="str">
        <f>IF(OR(A466="",A466="[ALL]", A466="[ALL J]", A466="[ALL G]"),"",MAX(AK$3:AK465)+1)</f>
        <v/>
      </c>
      <c r="AL466" s="229" t="str">
        <f t="shared" si="7"/>
        <v/>
      </c>
    </row>
    <row r="467" spans="1:38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499"/>
      <c r="AF467" s="500"/>
      <c r="AG467" s="500"/>
      <c r="AH467" s="501"/>
      <c r="AK467" s="229" t="str">
        <f>IF(OR(A467="",A467="[ALL]", A467="[ALL J]", A467="[ALL G]"),"",MAX(AK$3:AK466)+1)</f>
        <v/>
      </c>
      <c r="AL467" s="229" t="str">
        <f t="shared" si="7"/>
        <v/>
      </c>
    </row>
    <row r="468" spans="1:38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499"/>
      <c r="AF468" s="500"/>
      <c r="AG468" s="500"/>
      <c r="AH468" s="501"/>
      <c r="AK468" s="229" t="str">
        <f>IF(OR(A468="",A468="[ALL]", A468="[ALL J]", A468="[ALL G]"),"",MAX(AK$3:AK467)+1)</f>
        <v/>
      </c>
      <c r="AL468" s="229" t="str">
        <f t="shared" si="7"/>
        <v/>
      </c>
    </row>
    <row r="469" spans="1:38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499"/>
      <c r="AF469" s="500"/>
      <c r="AG469" s="500"/>
      <c r="AH469" s="501"/>
      <c r="AK469" s="229" t="str">
        <f>IF(OR(A469="",A469="[ALL]", A469="[ALL J]", A469="[ALL G]"),"",MAX(AK$3:AK468)+1)</f>
        <v/>
      </c>
      <c r="AL469" s="229" t="str">
        <f t="shared" si="7"/>
        <v/>
      </c>
    </row>
    <row r="470" spans="1:38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499"/>
      <c r="AF470" s="500"/>
      <c r="AG470" s="500"/>
      <c r="AH470" s="501"/>
      <c r="AK470" s="229" t="str">
        <f>IF(OR(A470="",A470="[ALL]", A470="[ALL J]", A470="[ALL G]"),"",MAX(AK$3:AK469)+1)</f>
        <v/>
      </c>
      <c r="AL470" s="229" t="str">
        <f t="shared" si="7"/>
        <v/>
      </c>
    </row>
    <row r="471" spans="1:38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499"/>
      <c r="AF471" s="500"/>
      <c r="AG471" s="500"/>
      <c r="AH471" s="501"/>
      <c r="AK471" s="229" t="str">
        <f>IF(OR(A471="",A471="[ALL]", A471="[ALL J]", A471="[ALL G]"),"",MAX(AK$3:AK470)+1)</f>
        <v/>
      </c>
      <c r="AL471" s="229" t="str">
        <f t="shared" si="7"/>
        <v/>
      </c>
    </row>
    <row r="472" spans="1:38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499"/>
      <c r="AF472" s="500"/>
      <c r="AG472" s="500"/>
      <c r="AH472" s="501"/>
      <c r="AK472" s="229" t="str">
        <f>IF(OR(A472="",A472="[ALL]", A472="[ALL J]", A472="[ALL G]"),"",MAX(AK$3:AK471)+1)</f>
        <v/>
      </c>
      <c r="AL472" s="229" t="str">
        <f t="shared" si="7"/>
        <v/>
      </c>
    </row>
    <row r="473" spans="1:38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499"/>
      <c r="AF473" s="500"/>
      <c r="AG473" s="500"/>
      <c r="AH473" s="501"/>
      <c r="AK473" s="229" t="str">
        <f>IF(OR(A473="",A473="[ALL]", A473="[ALL J]", A473="[ALL G]"),"",MAX(AK$3:AK472)+1)</f>
        <v/>
      </c>
      <c r="AL473" s="229" t="str">
        <f t="shared" si="7"/>
        <v/>
      </c>
    </row>
    <row r="474" spans="1:38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499"/>
      <c r="AF474" s="500"/>
      <c r="AG474" s="500"/>
      <c r="AH474" s="501"/>
      <c r="AK474" s="229" t="str">
        <f>IF(OR(A474="",A474="[ALL]", A474="[ALL J]", A474="[ALL G]"),"",MAX(AK$3:AK473)+1)</f>
        <v/>
      </c>
      <c r="AL474" s="229" t="str">
        <f t="shared" si="7"/>
        <v/>
      </c>
    </row>
    <row r="475" spans="1:38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499"/>
      <c r="AF475" s="500"/>
      <c r="AG475" s="500"/>
      <c r="AH475" s="501"/>
      <c r="AK475" s="229" t="str">
        <f>IF(OR(A475="",A475="[ALL]", A475="[ALL J]", A475="[ALL G]"),"",MAX(AK$3:AK474)+1)</f>
        <v/>
      </c>
      <c r="AL475" s="229" t="str">
        <f t="shared" si="7"/>
        <v/>
      </c>
    </row>
    <row r="476" spans="1:38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499"/>
      <c r="AF476" s="500"/>
      <c r="AG476" s="500"/>
      <c r="AH476" s="501"/>
      <c r="AK476" s="229" t="str">
        <f>IF(OR(A476="",A476="[ALL]", A476="[ALL J]", A476="[ALL G]"),"",MAX(AK$3:AK475)+1)</f>
        <v/>
      </c>
      <c r="AL476" s="229" t="str">
        <f t="shared" si="7"/>
        <v/>
      </c>
    </row>
    <row r="477" spans="1:38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499"/>
      <c r="AF477" s="500"/>
      <c r="AG477" s="500"/>
      <c r="AH477" s="501"/>
      <c r="AK477" s="229" t="str">
        <f>IF(OR(A477="",A477="[ALL]", A477="[ALL J]", A477="[ALL G]"),"",MAX(AK$3:AK476)+1)</f>
        <v/>
      </c>
      <c r="AL477" s="229" t="str">
        <f t="shared" si="7"/>
        <v/>
      </c>
    </row>
    <row r="478" spans="1:38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499"/>
      <c r="AF478" s="500"/>
      <c r="AG478" s="500"/>
      <c r="AH478" s="501"/>
      <c r="AK478" s="229" t="str">
        <f>IF(OR(A478="",A478="[ALL]", A478="[ALL J]", A478="[ALL G]"),"",MAX(AK$3:AK477)+1)</f>
        <v/>
      </c>
      <c r="AL478" s="229" t="str">
        <f t="shared" si="7"/>
        <v/>
      </c>
    </row>
    <row r="479" spans="1:38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499"/>
      <c r="AF479" s="500"/>
      <c r="AG479" s="500"/>
      <c r="AH479" s="501"/>
      <c r="AK479" s="229" t="str">
        <f>IF(OR(A479="",A479="[ALL]", A479="[ALL J]", A479="[ALL G]"),"",MAX(AK$3:AK478)+1)</f>
        <v/>
      </c>
      <c r="AL479" s="229" t="str">
        <f t="shared" si="7"/>
        <v/>
      </c>
    </row>
    <row r="480" spans="1:38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499"/>
      <c r="AF480" s="500"/>
      <c r="AG480" s="500"/>
      <c r="AH480" s="501"/>
      <c r="AK480" s="229" t="str">
        <f>IF(OR(A480="",A480="[ALL]", A480="[ALL J]", A480="[ALL G]"),"",MAX(AK$3:AK479)+1)</f>
        <v/>
      </c>
      <c r="AL480" s="229" t="str">
        <f t="shared" si="7"/>
        <v/>
      </c>
    </row>
    <row r="481" spans="1:38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499"/>
      <c r="AF481" s="500"/>
      <c r="AG481" s="500"/>
      <c r="AH481" s="501"/>
      <c r="AK481" s="229" t="str">
        <f>IF(OR(A481="",A481="[ALL]", A481="[ALL J]", A481="[ALL G]"),"",MAX(AK$3:AK480)+1)</f>
        <v/>
      </c>
      <c r="AL481" s="229" t="str">
        <f t="shared" si="7"/>
        <v/>
      </c>
    </row>
    <row r="482" spans="1:38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499"/>
      <c r="AF482" s="500"/>
      <c r="AG482" s="500"/>
      <c r="AH482" s="501"/>
      <c r="AK482" s="229" t="str">
        <f>IF(OR(A482="",A482="[ALL]", A482="[ALL J]", A482="[ALL G]"),"",MAX(AK$3:AK481)+1)</f>
        <v/>
      </c>
      <c r="AL482" s="229" t="str">
        <f t="shared" si="7"/>
        <v/>
      </c>
    </row>
    <row r="483" spans="1:38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499"/>
      <c r="AF483" s="500"/>
      <c r="AG483" s="500"/>
      <c r="AH483" s="501"/>
      <c r="AK483" s="229" t="str">
        <f>IF(OR(A483="",A483="[ALL]", A483="[ALL J]", A483="[ALL G]"),"",MAX(AK$3:AK482)+1)</f>
        <v/>
      </c>
      <c r="AL483" s="229" t="str">
        <f t="shared" si="7"/>
        <v/>
      </c>
    </row>
    <row r="484" spans="1:38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499"/>
      <c r="AF484" s="500"/>
      <c r="AG484" s="500"/>
      <c r="AH484" s="501"/>
      <c r="AK484" s="229" t="str">
        <f>IF(OR(A484="",A484="[ALL]", A484="[ALL J]", A484="[ALL G]"),"",MAX(AK$3:AK483)+1)</f>
        <v/>
      </c>
      <c r="AL484" s="229" t="str">
        <f t="shared" si="7"/>
        <v/>
      </c>
    </row>
    <row r="485" spans="1:38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499"/>
      <c r="AF485" s="500"/>
      <c r="AG485" s="500"/>
      <c r="AH485" s="501"/>
      <c r="AK485" s="229" t="str">
        <f>IF(OR(A485="",A485="[ALL]", A485="[ALL J]", A485="[ALL G]"),"",MAX(AK$3:AK484)+1)</f>
        <v/>
      </c>
      <c r="AL485" s="229" t="str">
        <f t="shared" si="7"/>
        <v/>
      </c>
    </row>
    <row r="486" spans="1:38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499"/>
      <c r="AF486" s="500"/>
      <c r="AG486" s="500"/>
      <c r="AH486" s="501"/>
      <c r="AK486" s="229" t="str">
        <f>IF(OR(A486="",A486="[ALL]", A486="[ALL J]", A486="[ALL G]"),"",MAX(AK$3:AK485)+1)</f>
        <v/>
      </c>
      <c r="AL486" s="229" t="str">
        <f t="shared" si="7"/>
        <v/>
      </c>
    </row>
    <row r="487" spans="1:38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499"/>
      <c r="AF487" s="500"/>
      <c r="AG487" s="500"/>
      <c r="AH487" s="501"/>
      <c r="AK487" s="229" t="str">
        <f>IF(OR(A487="",A487="[ALL]", A487="[ALL J]", A487="[ALL G]"),"",MAX(AK$3:AK486)+1)</f>
        <v/>
      </c>
      <c r="AL487" s="229" t="str">
        <f t="shared" si="7"/>
        <v/>
      </c>
    </row>
    <row r="488" spans="1:38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499"/>
      <c r="AF488" s="500"/>
      <c r="AG488" s="500"/>
      <c r="AH488" s="501"/>
      <c r="AK488" s="229" t="str">
        <f>IF(OR(A488="",A488="[ALL]", A488="[ALL J]", A488="[ALL G]"),"",MAX(AK$3:AK487)+1)</f>
        <v/>
      </c>
      <c r="AL488" s="229" t="str">
        <f t="shared" si="7"/>
        <v/>
      </c>
    </row>
    <row r="489" spans="1:38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499"/>
      <c r="AF489" s="500"/>
      <c r="AG489" s="500"/>
      <c r="AH489" s="501"/>
      <c r="AK489" s="229" t="str">
        <f>IF(OR(A489="",A489="[ALL]", A489="[ALL J]", A489="[ALL G]"),"",MAX(AK$3:AK488)+1)</f>
        <v/>
      </c>
      <c r="AL489" s="229" t="str">
        <f t="shared" si="7"/>
        <v/>
      </c>
    </row>
    <row r="490" spans="1:38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499"/>
      <c r="AF490" s="500"/>
      <c r="AG490" s="500"/>
      <c r="AH490" s="501"/>
      <c r="AK490" s="229" t="str">
        <f>IF(OR(A490="",A490="[ALL]", A490="[ALL J]", A490="[ALL G]"),"",MAX(AK$3:AK489)+1)</f>
        <v/>
      </c>
      <c r="AL490" s="229" t="str">
        <f t="shared" si="7"/>
        <v/>
      </c>
    </row>
    <row r="491" spans="1:38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499"/>
      <c r="AF491" s="500"/>
      <c r="AG491" s="500"/>
      <c r="AH491" s="501"/>
      <c r="AK491" s="229" t="str">
        <f>IF(OR(A491="",A491="[ALL]", A491="[ALL J]", A491="[ALL G]"),"",MAX(AK$3:AK490)+1)</f>
        <v/>
      </c>
      <c r="AL491" s="229" t="str">
        <f t="shared" si="7"/>
        <v/>
      </c>
    </row>
    <row r="492" spans="1:38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499"/>
      <c r="AF492" s="500"/>
      <c r="AG492" s="500"/>
      <c r="AH492" s="501"/>
      <c r="AK492" s="229" t="str">
        <f>IF(OR(A492="",A492="[ALL]", A492="[ALL J]", A492="[ALL G]"),"",MAX(AK$3:AK491)+1)</f>
        <v/>
      </c>
      <c r="AL492" s="229" t="str">
        <f t="shared" si="7"/>
        <v/>
      </c>
    </row>
    <row r="493" spans="1:38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499"/>
      <c r="AF493" s="500"/>
      <c r="AG493" s="500"/>
      <c r="AH493" s="501"/>
      <c r="AK493" s="229" t="str">
        <f>IF(OR(A493="",A493="[ALL]", A493="[ALL J]", A493="[ALL G]"),"",MAX(AK$3:AK492)+1)</f>
        <v/>
      </c>
      <c r="AL493" s="229" t="str">
        <f t="shared" si="7"/>
        <v/>
      </c>
    </row>
    <row r="494" spans="1:38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499"/>
      <c r="AF494" s="500"/>
      <c r="AG494" s="500"/>
      <c r="AH494" s="501"/>
      <c r="AK494" s="229" t="str">
        <f>IF(OR(A494="",A494="[ALL]", A494="[ALL J]", A494="[ALL G]"),"",MAX(AK$3:AK493)+1)</f>
        <v/>
      </c>
      <c r="AL494" s="229" t="str">
        <f t="shared" si="7"/>
        <v/>
      </c>
    </row>
    <row r="495" spans="1:38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499"/>
      <c r="AF495" s="500"/>
      <c r="AG495" s="500"/>
      <c r="AH495" s="501"/>
      <c r="AK495" s="229" t="str">
        <f>IF(OR(A495="",A495="[ALL]", A495="[ALL J]", A495="[ALL G]"),"",MAX(AK$3:AK494)+1)</f>
        <v/>
      </c>
      <c r="AL495" s="229" t="str">
        <f t="shared" si="7"/>
        <v/>
      </c>
    </row>
    <row r="496" spans="1:38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499"/>
      <c r="AF496" s="500"/>
      <c r="AG496" s="500"/>
      <c r="AH496" s="501"/>
      <c r="AK496" s="229" t="str">
        <f>IF(OR(A496="",A496="[ALL]", A496="[ALL J]", A496="[ALL G]"),"",MAX(AK$3:AK495)+1)</f>
        <v/>
      </c>
      <c r="AL496" s="229" t="str">
        <f t="shared" si="7"/>
        <v/>
      </c>
    </row>
    <row r="497" spans="1:38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499"/>
      <c r="AF497" s="500"/>
      <c r="AG497" s="500"/>
      <c r="AH497" s="501"/>
      <c r="AK497" s="229" t="str">
        <f>IF(OR(A497="",A497="[ALL]", A497="[ALL J]", A497="[ALL G]"),"",MAX(AK$3:AK496)+1)</f>
        <v/>
      </c>
      <c r="AL497" s="229" t="str">
        <f t="shared" si="7"/>
        <v/>
      </c>
    </row>
    <row r="498" spans="1:38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499"/>
      <c r="AF498" s="500"/>
      <c r="AG498" s="500"/>
      <c r="AH498" s="501"/>
      <c r="AK498" s="229" t="str">
        <f>IF(OR(A498="",A498="[ALL]", A498="[ALL J]", A498="[ALL G]"),"",MAX(AK$3:AK497)+1)</f>
        <v/>
      </c>
      <c r="AL498" s="229" t="str">
        <f t="shared" si="7"/>
        <v/>
      </c>
    </row>
    <row r="499" spans="1:38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499"/>
      <c r="AF499" s="500"/>
      <c r="AG499" s="500"/>
      <c r="AH499" s="501"/>
      <c r="AK499" s="229" t="str">
        <f>IF(OR(A499="",A499="[ALL]", A499="[ALL J]", A499="[ALL G]"),"",MAX(AK$3:AK498)+1)</f>
        <v/>
      </c>
      <c r="AL499" s="229" t="str">
        <f t="shared" si="7"/>
        <v/>
      </c>
    </row>
    <row r="500" spans="1:38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499"/>
      <c r="AF500" s="500"/>
      <c r="AG500" s="500"/>
      <c r="AH500" s="501"/>
      <c r="AK500" s="229" t="str">
        <f>IF(OR(A500="",A500="[ALL]", A500="[ALL J]", A500="[ALL G]"),"",MAX(AK$3:AK499)+1)</f>
        <v/>
      </c>
      <c r="AL500" s="229" t="str">
        <f t="shared" si="7"/>
        <v/>
      </c>
    </row>
    <row r="501" spans="1:38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499"/>
      <c r="AF501" s="500"/>
      <c r="AG501" s="500"/>
      <c r="AH501" s="501"/>
      <c r="AK501" s="229" t="str">
        <f>IF(OR(A501="",A501="[ALL]", A501="[ALL J]", A501="[ALL G]"),"",MAX(AK$3:AK500)+1)</f>
        <v/>
      </c>
      <c r="AL501" s="229" t="str">
        <f t="shared" si="7"/>
        <v/>
      </c>
    </row>
    <row r="502" spans="1:38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499"/>
      <c r="AF502" s="500"/>
      <c r="AG502" s="500"/>
      <c r="AH502" s="501"/>
      <c r="AK502" s="229" t="str">
        <f>IF(OR(A502="",A502="[ALL]", A502="[ALL J]", A502="[ALL G]"),"",MAX(AK$3:AK501)+1)</f>
        <v/>
      </c>
      <c r="AL502" s="229" t="str">
        <f t="shared" si="7"/>
        <v/>
      </c>
    </row>
    <row r="503" spans="1:38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499"/>
      <c r="AF503" s="500"/>
      <c r="AG503" s="500"/>
      <c r="AH503" s="501"/>
      <c r="AK503" s="229" t="str">
        <f>IF(OR(A503="",A503="[ALL]", A503="[ALL J]", A503="[ALL G]"),"",MAX(AK$3:AK502)+1)</f>
        <v/>
      </c>
      <c r="AL503" s="229" t="str">
        <f t="shared" si="7"/>
        <v/>
      </c>
    </row>
    <row r="504" spans="1:38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499"/>
      <c r="AF504" s="500"/>
      <c r="AG504" s="500"/>
      <c r="AH504" s="501"/>
      <c r="AK504" s="229" t="str">
        <f>IF(OR(A504="",A504="[ALL]", A504="[ALL J]", A504="[ALL G]"),"",MAX(AK$3:AK503)+1)</f>
        <v/>
      </c>
      <c r="AL504" s="229" t="str">
        <f t="shared" si="7"/>
        <v/>
      </c>
    </row>
    <row r="505" spans="1:38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499"/>
      <c r="AF505" s="500"/>
      <c r="AG505" s="500"/>
      <c r="AH505" s="501"/>
      <c r="AK505" s="229" t="str">
        <f>IF(OR(A505="",A505="[ALL]", A505="[ALL J]", A505="[ALL G]"),"",MAX(AK$3:AK504)+1)</f>
        <v/>
      </c>
      <c r="AL505" s="229" t="str">
        <f t="shared" si="7"/>
        <v/>
      </c>
    </row>
    <row r="506" spans="1:38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499"/>
      <c r="AF506" s="500"/>
      <c r="AG506" s="500"/>
      <c r="AH506" s="501"/>
      <c r="AK506" s="229" t="str">
        <f>IF(OR(A506="",A506="[ALL]", A506="[ALL J]", A506="[ALL G]"),"",MAX(AK$3:AK505)+1)</f>
        <v/>
      </c>
      <c r="AL506" s="229" t="str">
        <f t="shared" si="7"/>
        <v/>
      </c>
    </row>
    <row r="507" spans="1:38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499"/>
      <c r="AF507" s="500"/>
      <c r="AG507" s="500"/>
      <c r="AH507" s="501"/>
      <c r="AK507" s="229" t="str">
        <f>IF(OR(A507="",A507="[ALL]", A507="[ALL J]", A507="[ALL G]"),"",MAX(AK$3:AK506)+1)</f>
        <v/>
      </c>
      <c r="AL507" s="229" t="str">
        <f t="shared" si="7"/>
        <v/>
      </c>
    </row>
    <row r="508" spans="1:38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499"/>
      <c r="AF508" s="500"/>
      <c r="AG508" s="500"/>
      <c r="AH508" s="501"/>
      <c r="AK508" s="229" t="str">
        <f>IF(OR(A508="",A508="[ALL]", A508="[ALL J]", A508="[ALL G]"),"",MAX(AK$3:AK507)+1)</f>
        <v/>
      </c>
      <c r="AL508" s="229" t="str">
        <f t="shared" si="7"/>
        <v/>
      </c>
    </row>
    <row r="509" spans="1:38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499"/>
      <c r="AF509" s="500"/>
      <c r="AG509" s="500"/>
      <c r="AH509" s="501"/>
      <c r="AK509" s="229" t="str">
        <f>IF(OR(A509="",A509="[ALL]", A509="[ALL J]", A509="[ALL G]"),"",MAX(AK$3:AK508)+1)</f>
        <v/>
      </c>
      <c r="AL509" s="229" t="str">
        <f t="shared" si="7"/>
        <v/>
      </c>
    </row>
    <row r="510" spans="1:38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499"/>
      <c r="AF510" s="500"/>
      <c r="AG510" s="500"/>
      <c r="AH510" s="501"/>
      <c r="AK510" s="229" t="str">
        <f>IF(OR(A510="",A510="[ALL]", A510="[ALL J]", A510="[ALL G]"),"",MAX(AK$3:AK509)+1)</f>
        <v/>
      </c>
      <c r="AL510" s="229" t="str">
        <f t="shared" si="7"/>
        <v/>
      </c>
    </row>
    <row r="511" spans="1:38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499"/>
      <c r="AF511" s="500"/>
      <c r="AG511" s="500"/>
      <c r="AH511" s="501"/>
      <c r="AK511" s="229" t="str">
        <f>IF(OR(A511="",A511="[ALL]", A511="[ALL J]", A511="[ALL G]"),"",MAX(AK$3:AK510)+1)</f>
        <v/>
      </c>
      <c r="AL511" s="229" t="str">
        <f t="shared" si="7"/>
        <v/>
      </c>
    </row>
    <row r="512" spans="1:38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499"/>
      <c r="AF512" s="500"/>
      <c r="AG512" s="500"/>
      <c r="AH512" s="501"/>
      <c r="AK512" s="229" t="str">
        <f>IF(OR(A512="",A512="[ALL]", A512="[ALL J]", A512="[ALL G]"),"",MAX(AK$3:AK511)+1)</f>
        <v/>
      </c>
      <c r="AL512" s="229" t="str">
        <f t="shared" si="7"/>
        <v/>
      </c>
    </row>
    <row r="513" spans="1:38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499"/>
      <c r="AF513" s="500"/>
      <c r="AG513" s="500"/>
      <c r="AH513" s="501"/>
      <c r="AK513" s="229" t="str">
        <f>IF(OR(A513="",A513="[ALL]", A513="[ALL J]", A513="[ALL G]"),"",MAX(AK$3:AK512)+1)</f>
        <v/>
      </c>
      <c r="AL513" s="229" t="str">
        <f t="shared" si="7"/>
        <v/>
      </c>
    </row>
    <row r="514" spans="1:38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499"/>
      <c r="AF514" s="500"/>
      <c r="AG514" s="500"/>
      <c r="AH514" s="501"/>
      <c r="AK514" s="229" t="str">
        <f>IF(OR(A514="",A514="[ALL]", A514="[ALL J]", A514="[ALL G]"),"",MAX(AK$3:AK513)+1)</f>
        <v/>
      </c>
      <c r="AL514" s="229" t="str">
        <f t="shared" si="7"/>
        <v/>
      </c>
    </row>
    <row r="515" spans="1:38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499"/>
      <c r="AF515" s="500"/>
      <c r="AG515" s="500"/>
      <c r="AH515" s="501"/>
      <c r="AK515" s="229" t="str">
        <f>IF(OR(A515="",A515="[ALL]", A515="[ALL J]", A515="[ALL G]"),"",MAX(AK$3:AK514)+1)</f>
        <v/>
      </c>
      <c r="AL515" s="229" t="str">
        <f t="shared" si="7"/>
        <v/>
      </c>
    </row>
    <row r="516" spans="1:38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499"/>
      <c r="AF516" s="500"/>
      <c r="AG516" s="500"/>
      <c r="AH516" s="501"/>
      <c r="AK516" s="229" t="str">
        <f>IF(OR(A516="",A516="[ALL]", A516="[ALL J]", A516="[ALL G]"),"",MAX(AK$3:AK515)+1)</f>
        <v/>
      </c>
      <c r="AL516" s="229" t="str">
        <f t="shared" si="7"/>
        <v/>
      </c>
    </row>
    <row r="517" spans="1:38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499"/>
      <c r="AF517" s="500"/>
      <c r="AG517" s="500"/>
      <c r="AH517" s="501"/>
      <c r="AK517" s="229" t="str">
        <f>IF(OR(A517="",A517="[ALL]", A517="[ALL J]", A517="[ALL G]"),"",MAX(AK$3:AK516)+1)</f>
        <v/>
      </c>
      <c r="AL517" s="229" t="str">
        <f t="shared" ref="AL517:AL580" si="8">IFERROR(INDEX($A$4:$A$1000,MATCH(ROW()-ROW($AL$3),$AK$4:$AK$1000,0)),"")</f>
        <v/>
      </c>
    </row>
    <row r="518" spans="1:38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499"/>
      <c r="AF518" s="500"/>
      <c r="AG518" s="500"/>
      <c r="AH518" s="501"/>
      <c r="AK518" s="229" t="str">
        <f>IF(OR(A518="",A518="[ALL]", A518="[ALL J]", A518="[ALL G]"),"",MAX(AK$3:AK517)+1)</f>
        <v/>
      </c>
      <c r="AL518" s="229" t="str">
        <f t="shared" si="8"/>
        <v/>
      </c>
    </row>
    <row r="519" spans="1:38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499"/>
      <c r="AF519" s="500"/>
      <c r="AG519" s="500"/>
      <c r="AH519" s="501"/>
      <c r="AK519" s="229" t="str">
        <f>IF(OR(A519="",A519="[ALL]", A519="[ALL J]", A519="[ALL G]"),"",MAX(AK$3:AK518)+1)</f>
        <v/>
      </c>
      <c r="AL519" s="229" t="str">
        <f t="shared" si="8"/>
        <v/>
      </c>
    </row>
    <row r="520" spans="1:38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499"/>
      <c r="AF520" s="500"/>
      <c r="AG520" s="500"/>
      <c r="AH520" s="501"/>
      <c r="AK520" s="229" t="str">
        <f>IF(OR(A520="",A520="[ALL]", A520="[ALL J]", A520="[ALL G]"),"",MAX(AK$3:AK519)+1)</f>
        <v/>
      </c>
      <c r="AL520" s="229" t="str">
        <f t="shared" si="8"/>
        <v/>
      </c>
    </row>
    <row r="521" spans="1:38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499"/>
      <c r="AF521" s="500"/>
      <c r="AG521" s="500"/>
      <c r="AH521" s="501"/>
      <c r="AK521" s="229" t="str">
        <f>IF(OR(A521="",A521="[ALL]", A521="[ALL J]", A521="[ALL G]"),"",MAX(AK$3:AK520)+1)</f>
        <v/>
      </c>
      <c r="AL521" s="229" t="str">
        <f t="shared" si="8"/>
        <v/>
      </c>
    </row>
    <row r="522" spans="1:38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499"/>
      <c r="AF522" s="500"/>
      <c r="AG522" s="500"/>
      <c r="AH522" s="501"/>
      <c r="AK522" s="229" t="str">
        <f>IF(OR(A522="",A522="[ALL]", A522="[ALL J]", A522="[ALL G]"),"",MAX(AK$3:AK521)+1)</f>
        <v/>
      </c>
      <c r="AL522" s="229" t="str">
        <f t="shared" si="8"/>
        <v/>
      </c>
    </row>
    <row r="523" spans="1:38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499"/>
      <c r="AF523" s="500"/>
      <c r="AG523" s="500"/>
      <c r="AH523" s="501"/>
      <c r="AK523" s="229" t="str">
        <f>IF(OR(A523="",A523="[ALL]", A523="[ALL J]", A523="[ALL G]"),"",MAX(AK$3:AK522)+1)</f>
        <v/>
      </c>
      <c r="AL523" s="229" t="str">
        <f t="shared" si="8"/>
        <v/>
      </c>
    </row>
    <row r="524" spans="1:38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499"/>
      <c r="AF524" s="500"/>
      <c r="AG524" s="500"/>
      <c r="AH524" s="501"/>
      <c r="AK524" s="229" t="str">
        <f>IF(OR(A524="",A524="[ALL]", A524="[ALL J]", A524="[ALL G]"),"",MAX(AK$3:AK523)+1)</f>
        <v/>
      </c>
      <c r="AL524" s="229" t="str">
        <f t="shared" si="8"/>
        <v/>
      </c>
    </row>
    <row r="525" spans="1:38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499"/>
      <c r="AF525" s="500"/>
      <c r="AG525" s="500"/>
      <c r="AH525" s="501"/>
      <c r="AK525" s="229" t="str">
        <f>IF(OR(A525="",A525="[ALL]", A525="[ALL J]", A525="[ALL G]"),"",MAX(AK$3:AK524)+1)</f>
        <v/>
      </c>
      <c r="AL525" s="229" t="str">
        <f t="shared" si="8"/>
        <v/>
      </c>
    </row>
    <row r="526" spans="1:38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499"/>
      <c r="AF526" s="500"/>
      <c r="AG526" s="500"/>
      <c r="AH526" s="501"/>
      <c r="AK526" s="229" t="str">
        <f>IF(OR(A526="",A526="[ALL]", A526="[ALL J]", A526="[ALL G]"),"",MAX(AK$3:AK525)+1)</f>
        <v/>
      </c>
      <c r="AL526" s="229" t="str">
        <f t="shared" si="8"/>
        <v/>
      </c>
    </row>
    <row r="527" spans="1:38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499"/>
      <c r="AF527" s="500"/>
      <c r="AG527" s="500"/>
      <c r="AH527" s="501"/>
      <c r="AK527" s="229" t="str">
        <f>IF(OR(A527="",A527="[ALL]", A527="[ALL J]", A527="[ALL G]"),"",MAX(AK$3:AK526)+1)</f>
        <v/>
      </c>
      <c r="AL527" s="229" t="str">
        <f t="shared" si="8"/>
        <v/>
      </c>
    </row>
    <row r="528" spans="1:38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499"/>
      <c r="AF528" s="500"/>
      <c r="AG528" s="500"/>
      <c r="AH528" s="501"/>
      <c r="AK528" s="229" t="str">
        <f>IF(OR(A528="",A528="[ALL]", A528="[ALL J]", A528="[ALL G]"),"",MAX(AK$3:AK527)+1)</f>
        <v/>
      </c>
      <c r="AL528" s="229" t="str">
        <f t="shared" si="8"/>
        <v/>
      </c>
    </row>
    <row r="529" spans="1:38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499"/>
      <c r="AF529" s="500"/>
      <c r="AG529" s="500"/>
      <c r="AH529" s="501"/>
      <c r="AK529" s="229" t="str">
        <f>IF(OR(A529="",A529="[ALL]", A529="[ALL J]", A529="[ALL G]"),"",MAX(AK$3:AK528)+1)</f>
        <v/>
      </c>
      <c r="AL529" s="229" t="str">
        <f t="shared" si="8"/>
        <v/>
      </c>
    </row>
    <row r="530" spans="1:38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499"/>
      <c r="AF530" s="500"/>
      <c r="AG530" s="500"/>
      <c r="AH530" s="501"/>
      <c r="AK530" s="229" t="str">
        <f>IF(OR(A530="",A530="[ALL]", A530="[ALL J]", A530="[ALL G]"),"",MAX(AK$3:AK529)+1)</f>
        <v/>
      </c>
      <c r="AL530" s="229" t="str">
        <f t="shared" si="8"/>
        <v/>
      </c>
    </row>
    <row r="531" spans="1:38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499"/>
      <c r="AF531" s="500"/>
      <c r="AG531" s="500"/>
      <c r="AH531" s="501"/>
      <c r="AK531" s="229" t="str">
        <f>IF(OR(A531="",A531="[ALL]", A531="[ALL J]", A531="[ALL G]"),"",MAX(AK$3:AK530)+1)</f>
        <v/>
      </c>
      <c r="AL531" s="229" t="str">
        <f t="shared" si="8"/>
        <v/>
      </c>
    </row>
    <row r="532" spans="1:38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499"/>
      <c r="AF532" s="500"/>
      <c r="AG532" s="500"/>
      <c r="AH532" s="501"/>
      <c r="AK532" s="229" t="str">
        <f>IF(OR(A532="",A532="[ALL]", A532="[ALL J]", A532="[ALL G]"),"",MAX(AK$3:AK531)+1)</f>
        <v/>
      </c>
      <c r="AL532" s="229" t="str">
        <f t="shared" si="8"/>
        <v/>
      </c>
    </row>
    <row r="533" spans="1:38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499"/>
      <c r="AF533" s="500"/>
      <c r="AG533" s="500"/>
      <c r="AH533" s="501"/>
      <c r="AK533" s="229" t="str">
        <f>IF(OR(A533="",A533="[ALL]", A533="[ALL J]", A533="[ALL G]"),"",MAX(AK$3:AK532)+1)</f>
        <v/>
      </c>
      <c r="AL533" s="229" t="str">
        <f t="shared" si="8"/>
        <v/>
      </c>
    </row>
    <row r="534" spans="1:38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499"/>
      <c r="AF534" s="500"/>
      <c r="AG534" s="500"/>
      <c r="AH534" s="501"/>
      <c r="AK534" s="229" t="str">
        <f>IF(OR(A534="",A534="[ALL]", A534="[ALL J]", A534="[ALL G]"),"",MAX(AK$3:AK533)+1)</f>
        <v/>
      </c>
      <c r="AL534" s="229" t="str">
        <f t="shared" si="8"/>
        <v/>
      </c>
    </row>
    <row r="535" spans="1:38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499"/>
      <c r="AF535" s="500"/>
      <c r="AG535" s="500"/>
      <c r="AH535" s="501"/>
      <c r="AK535" s="229" t="str">
        <f>IF(OR(A535="",A535="[ALL]", A535="[ALL J]", A535="[ALL G]"),"",MAX(AK$3:AK534)+1)</f>
        <v/>
      </c>
      <c r="AL535" s="229" t="str">
        <f t="shared" si="8"/>
        <v/>
      </c>
    </row>
    <row r="536" spans="1:38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499"/>
      <c r="AF536" s="500"/>
      <c r="AG536" s="500"/>
      <c r="AH536" s="501"/>
      <c r="AK536" s="229" t="str">
        <f>IF(OR(A536="",A536="[ALL]", A536="[ALL J]", A536="[ALL G]"),"",MAX(AK$3:AK535)+1)</f>
        <v/>
      </c>
      <c r="AL536" s="229" t="str">
        <f t="shared" si="8"/>
        <v/>
      </c>
    </row>
    <row r="537" spans="1:38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499"/>
      <c r="AF537" s="500"/>
      <c r="AG537" s="500"/>
      <c r="AH537" s="501"/>
      <c r="AK537" s="229" t="str">
        <f>IF(OR(A537="",A537="[ALL]", A537="[ALL J]", A537="[ALL G]"),"",MAX(AK$3:AK536)+1)</f>
        <v/>
      </c>
      <c r="AL537" s="229" t="str">
        <f t="shared" si="8"/>
        <v/>
      </c>
    </row>
    <row r="538" spans="1:38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499"/>
      <c r="AF538" s="500"/>
      <c r="AG538" s="500"/>
      <c r="AH538" s="501"/>
      <c r="AK538" s="229" t="str">
        <f>IF(OR(A538="",A538="[ALL]", A538="[ALL J]", A538="[ALL G]"),"",MAX(AK$3:AK537)+1)</f>
        <v/>
      </c>
      <c r="AL538" s="229" t="str">
        <f t="shared" si="8"/>
        <v/>
      </c>
    </row>
    <row r="539" spans="1:38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499"/>
      <c r="AF539" s="500"/>
      <c r="AG539" s="500"/>
      <c r="AH539" s="501"/>
      <c r="AK539" s="229" t="str">
        <f>IF(OR(A539="",A539="[ALL]", A539="[ALL J]", A539="[ALL G]"),"",MAX(AK$3:AK538)+1)</f>
        <v/>
      </c>
      <c r="AL539" s="229" t="str">
        <f t="shared" si="8"/>
        <v/>
      </c>
    </row>
    <row r="540" spans="1:38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499"/>
      <c r="AF540" s="500"/>
      <c r="AG540" s="500"/>
      <c r="AH540" s="501"/>
      <c r="AK540" s="229" t="str">
        <f>IF(OR(A540="",A540="[ALL]", A540="[ALL J]", A540="[ALL G]"),"",MAX(AK$3:AK539)+1)</f>
        <v/>
      </c>
      <c r="AL540" s="229" t="str">
        <f t="shared" si="8"/>
        <v/>
      </c>
    </row>
    <row r="541" spans="1:38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499"/>
      <c r="AF541" s="500"/>
      <c r="AG541" s="500"/>
      <c r="AH541" s="501"/>
      <c r="AK541" s="229" t="str">
        <f>IF(OR(A541="",A541="[ALL]", A541="[ALL J]", A541="[ALL G]"),"",MAX(AK$3:AK540)+1)</f>
        <v/>
      </c>
      <c r="AL541" s="229" t="str">
        <f t="shared" si="8"/>
        <v/>
      </c>
    </row>
    <row r="542" spans="1:38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499"/>
      <c r="AF542" s="500"/>
      <c r="AG542" s="500"/>
      <c r="AH542" s="501"/>
      <c r="AK542" s="229" t="str">
        <f>IF(OR(A542="",A542="[ALL]", A542="[ALL J]", A542="[ALL G]"),"",MAX(AK$3:AK541)+1)</f>
        <v/>
      </c>
      <c r="AL542" s="229" t="str">
        <f t="shared" si="8"/>
        <v/>
      </c>
    </row>
    <row r="543" spans="1:38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499"/>
      <c r="AF543" s="500"/>
      <c r="AG543" s="500"/>
      <c r="AH543" s="501"/>
      <c r="AK543" s="229" t="str">
        <f>IF(OR(A543="",A543="[ALL]", A543="[ALL J]", A543="[ALL G]"),"",MAX(AK$3:AK542)+1)</f>
        <v/>
      </c>
      <c r="AL543" s="229" t="str">
        <f t="shared" si="8"/>
        <v/>
      </c>
    </row>
    <row r="544" spans="1:38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499"/>
      <c r="AF544" s="500"/>
      <c r="AG544" s="500"/>
      <c r="AH544" s="501"/>
      <c r="AK544" s="229" t="str">
        <f>IF(OR(A544="",A544="[ALL]", A544="[ALL J]", A544="[ALL G]"),"",MAX(AK$3:AK543)+1)</f>
        <v/>
      </c>
      <c r="AL544" s="229" t="str">
        <f t="shared" si="8"/>
        <v/>
      </c>
    </row>
    <row r="545" spans="1:38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499"/>
      <c r="AF545" s="500"/>
      <c r="AG545" s="500"/>
      <c r="AH545" s="501"/>
      <c r="AK545" s="229" t="str">
        <f>IF(OR(A545="",A545="[ALL]", A545="[ALL J]", A545="[ALL G]"),"",MAX(AK$3:AK544)+1)</f>
        <v/>
      </c>
      <c r="AL545" s="229" t="str">
        <f t="shared" si="8"/>
        <v/>
      </c>
    </row>
    <row r="546" spans="1:38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499"/>
      <c r="AF546" s="500"/>
      <c r="AG546" s="500"/>
      <c r="AH546" s="501"/>
      <c r="AK546" s="229" t="str">
        <f>IF(OR(A546="",A546="[ALL]", A546="[ALL J]", A546="[ALL G]"),"",MAX(AK$3:AK545)+1)</f>
        <v/>
      </c>
      <c r="AL546" s="229" t="str">
        <f t="shared" si="8"/>
        <v/>
      </c>
    </row>
    <row r="547" spans="1:38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499"/>
      <c r="AF547" s="500"/>
      <c r="AG547" s="500"/>
      <c r="AH547" s="501"/>
      <c r="AK547" s="229" t="str">
        <f>IF(OR(A547="",A547="[ALL]", A547="[ALL J]", A547="[ALL G]"),"",MAX(AK$3:AK546)+1)</f>
        <v/>
      </c>
      <c r="AL547" s="229" t="str">
        <f t="shared" si="8"/>
        <v/>
      </c>
    </row>
    <row r="548" spans="1:38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499"/>
      <c r="AF548" s="500"/>
      <c r="AG548" s="500"/>
      <c r="AH548" s="501"/>
      <c r="AK548" s="229" t="str">
        <f>IF(OR(A548="",A548="[ALL]", A548="[ALL J]", A548="[ALL G]"),"",MAX(AK$3:AK547)+1)</f>
        <v/>
      </c>
      <c r="AL548" s="229" t="str">
        <f t="shared" si="8"/>
        <v/>
      </c>
    </row>
    <row r="549" spans="1:38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499"/>
      <c r="AF549" s="500"/>
      <c r="AG549" s="500"/>
      <c r="AH549" s="501"/>
      <c r="AK549" s="229" t="str">
        <f>IF(OR(A549="",A549="[ALL]", A549="[ALL J]", A549="[ALL G]"),"",MAX(AK$3:AK548)+1)</f>
        <v/>
      </c>
      <c r="AL549" s="229" t="str">
        <f t="shared" si="8"/>
        <v/>
      </c>
    </row>
    <row r="550" spans="1:38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499"/>
      <c r="AF550" s="500"/>
      <c r="AG550" s="500"/>
      <c r="AH550" s="501"/>
      <c r="AK550" s="229" t="str">
        <f>IF(OR(A550="",A550="[ALL]", A550="[ALL J]", A550="[ALL G]"),"",MAX(AK$3:AK549)+1)</f>
        <v/>
      </c>
      <c r="AL550" s="229" t="str">
        <f t="shared" si="8"/>
        <v/>
      </c>
    </row>
    <row r="551" spans="1:38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499"/>
      <c r="AF551" s="500"/>
      <c r="AG551" s="500"/>
      <c r="AH551" s="501"/>
      <c r="AK551" s="229" t="str">
        <f>IF(OR(A551="",A551="[ALL]", A551="[ALL J]", A551="[ALL G]"),"",MAX(AK$3:AK550)+1)</f>
        <v/>
      </c>
      <c r="AL551" s="229" t="str">
        <f t="shared" si="8"/>
        <v/>
      </c>
    </row>
    <row r="552" spans="1:38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499"/>
      <c r="AF552" s="500"/>
      <c r="AG552" s="500"/>
      <c r="AH552" s="501"/>
      <c r="AK552" s="229" t="str">
        <f>IF(OR(A552="",A552="[ALL]", A552="[ALL J]", A552="[ALL G]"),"",MAX(AK$3:AK551)+1)</f>
        <v/>
      </c>
      <c r="AL552" s="229" t="str">
        <f t="shared" si="8"/>
        <v/>
      </c>
    </row>
    <row r="553" spans="1:38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499"/>
      <c r="AF553" s="500"/>
      <c r="AG553" s="500"/>
      <c r="AH553" s="501"/>
      <c r="AK553" s="229" t="str">
        <f>IF(OR(A553="",A553="[ALL]", A553="[ALL J]", A553="[ALL G]"),"",MAX(AK$3:AK552)+1)</f>
        <v/>
      </c>
      <c r="AL553" s="229" t="str">
        <f t="shared" si="8"/>
        <v/>
      </c>
    </row>
    <row r="554" spans="1:38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499"/>
      <c r="AF554" s="500"/>
      <c r="AG554" s="500"/>
      <c r="AH554" s="501"/>
      <c r="AK554" s="229" t="str">
        <f>IF(OR(A554="",A554="[ALL]", A554="[ALL J]", A554="[ALL G]"),"",MAX(AK$3:AK553)+1)</f>
        <v/>
      </c>
      <c r="AL554" s="229" t="str">
        <f t="shared" si="8"/>
        <v/>
      </c>
    </row>
    <row r="555" spans="1:38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499"/>
      <c r="AF555" s="500"/>
      <c r="AG555" s="500"/>
      <c r="AH555" s="501"/>
      <c r="AK555" s="229" t="str">
        <f>IF(OR(A555="",A555="[ALL]", A555="[ALL J]", A555="[ALL G]"),"",MAX(AK$3:AK554)+1)</f>
        <v/>
      </c>
      <c r="AL555" s="229" t="str">
        <f t="shared" si="8"/>
        <v/>
      </c>
    </row>
    <row r="556" spans="1:38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499"/>
      <c r="AF556" s="500"/>
      <c r="AG556" s="500"/>
      <c r="AH556" s="501"/>
      <c r="AK556" s="229" t="str">
        <f>IF(OR(A556="",A556="[ALL]", A556="[ALL J]", A556="[ALL G]"),"",MAX(AK$3:AK555)+1)</f>
        <v/>
      </c>
      <c r="AL556" s="229" t="str">
        <f t="shared" si="8"/>
        <v/>
      </c>
    </row>
    <row r="557" spans="1:38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499"/>
      <c r="AF557" s="500"/>
      <c r="AG557" s="500"/>
      <c r="AH557" s="501"/>
      <c r="AK557" s="229" t="str">
        <f>IF(OR(A557="",A557="[ALL]", A557="[ALL J]", A557="[ALL G]"),"",MAX(AK$3:AK556)+1)</f>
        <v/>
      </c>
      <c r="AL557" s="229" t="str">
        <f t="shared" si="8"/>
        <v/>
      </c>
    </row>
    <row r="558" spans="1:38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499"/>
      <c r="AF558" s="500"/>
      <c r="AG558" s="500"/>
      <c r="AH558" s="501"/>
      <c r="AK558" s="229" t="str">
        <f>IF(OR(A558="",A558="[ALL]", A558="[ALL J]", A558="[ALL G]"),"",MAX(AK$3:AK557)+1)</f>
        <v/>
      </c>
      <c r="AL558" s="229" t="str">
        <f t="shared" si="8"/>
        <v/>
      </c>
    </row>
    <row r="559" spans="1:38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499"/>
      <c r="AF559" s="500"/>
      <c r="AG559" s="500"/>
      <c r="AH559" s="501"/>
      <c r="AK559" s="229" t="str">
        <f>IF(OR(A559="",A559="[ALL]", A559="[ALL J]", A559="[ALL G]"),"",MAX(AK$3:AK558)+1)</f>
        <v/>
      </c>
      <c r="AL559" s="229" t="str">
        <f t="shared" si="8"/>
        <v/>
      </c>
    </row>
    <row r="560" spans="1:38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499"/>
      <c r="AF560" s="500"/>
      <c r="AG560" s="500"/>
      <c r="AH560" s="501"/>
      <c r="AK560" s="229" t="str">
        <f>IF(OR(A560="",A560="[ALL]", A560="[ALL J]", A560="[ALL G]"),"",MAX(AK$3:AK559)+1)</f>
        <v/>
      </c>
      <c r="AL560" s="229" t="str">
        <f t="shared" si="8"/>
        <v/>
      </c>
    </row>
    <row r="561" spans="1:38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499"/>
      <c r="AF561" s="500"/>
      <c r="AG561" s="500"/>
      <c r="AH561" s="501"/>
      <c r="AK561" s="229" t="str">
        <f>IF(OR(A561="",A561="[ALL]", A561="[ALL J]", A561="[ALL G]"),"",MAX(AK$3:AK560)+1)</f>
        <v/>
      </c>
      <c r="AL561" s="229" t="str">
        <f t="shared" si="8"/>
        <v/>
      </c>
    </row>
    <row r="562" spans="1:38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499"/>
      <c r="AF562" s="500"/>
      <c r="AG562" s="500"/>
      <c r="AH562" s="501"/>
      <c r="AK562" s="229" t="str">
        <f>IF(OR(A562="",A562="[ALL]", A562="[ALL J]", A562="[ALL G]"),"",MAX(AK$3:AK561)+1)</f>
        <v/>
      </c>
      <c r="AL562" s="229" t="str">
        <f t="shared" si="8"/>
        <v/>
      </c>
    </row>
    <row r="563" spans="1:38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499"/>
      <c r="AF563" s="500"/>
      <c r="AG563" s="500"/>
      <c r="AH563" s="501"/>
      <c r="AK563" s="229" t="str">
        <f>IF(OR(A563="",A563="[ALL]", A563="[ALL J]", A563="[ALL G]"),"",MAX(AK$3:AK562)+1)</f>
        <v/>
      </c>
      <c r="AL563" s="229" t="str">
        <f t="shared" si="8"/>
        <v/>
      </c>
    </row>
    <row r="564" spans="1:38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499"/>
      <c r="AF564" s="500"/>
      <c r="AG564" s="500"/>
      <c r="AH564" s="501"/>
      <c r="AK564" s="229" t="str">
        <f>IF(OR(A564="",A564="[ALL]", A564="[ALL J]", A564="[ALL G]"),"",MAX(AK$3:AK563)+1)</f>
        <v/>
      </c>
      <c r="AL564" s="229" t="str">
        <f t="shared" si="8"/>
        <v/>
      </c>
    </row>
    <row r="565" spans="1:38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499"/>
      <c r="AF565" s="500"/>
      <c r="AG565" s="500"/>
      <c r="AH565" s="501"/>
      <c r="AK565" s="229" t="str">
        <f>IF(OR(A565="",A565="[ALL]", A565="[ALL J]", A565="[ALL G]"),"",MAX(AK$3:AK564)+1)</f>
        <v/>
      </c>
      <c r="AL565" s="229" t="str">
        <f t="shared" si="8"/>
        <v/>
      </c>
    </row>
    <row r="566" spans="1:38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499"/>
      <c r="AF566" s="500"/>
      <c r="AG566" s="500"/>
      <c r="AH566" s="501"/>
      <c r="AK566" s="229" t="str">
        <f>IF(OR(A566="",A566="[ALL]", A566="[ALL J]", A566="[ALL G]"),"",MAX(AK$3:AK565)+1)</f>
        <v/>
      </c>
      <c r="AL566" s="229" t="str">
        <f t="shared" si="8"/>
        <v/>
      </c>
    </row>
    <row r="567" spans="1:38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499"/>
      <c r="AF567" s="500"/>
      <c r="AG567" s="500"/>
      <c r="AH567" s="501"/>
      <c r="AK567" s="229" t="str">
        <f>IF(OR(A567="",A567="[ALL]", A567="[ALL J]", A567="[ALL G]"),"",MAX(AK$3:AK566)+1)</f>
        <v/>
      </c>
      <c r="AL567" s="229" t="str">
        <f t="shared" si="8"/>
        <v/>
      </c>
    </row>
    <row r="568" spans="1:38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499"/>
      <c r="AF568" s="500"/>
      <c r="AG568" s="500"/>
      <c r="AH568" s="501"/>
      <c r="AK568" s="229" t="str">
        <f>IF(OR(A568="",A568="[ALL]", A568="[ALL J]", A568="[ALL G]"),"",MAX(AK$3:AK567)+1)</f>
        <v/>
      </c>
      <c r="AL568" s="229" t="str">
        <f t="shared" si="8"/>
        <v/>
      </c>
    </row>
    <row r="569" spans="1:38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499"/>
      <c r="AF569" s="500"/>
      <c r="AG569" s="500"/>
      <c r="AH569" s="501"/>
      <c r="AK569" s="229" t="str">
        <f>IF(OR(A569="",A569="[ALL]", A569="[ALL J]", A569="[ALL G]"),"",MAX(AK$3:AK568)+1)</f>
        <v/>
      </c>
      <c r="AL569" s="229" t="str">
        <f t="shared" si="8"/>
        <v/>
      </c>
    </row>
    <row r="570" spans="1:38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499"/>
      <c r="AF570" s="500"/>
      <c r="AG570" s="500"/>
      <c r="AH570" s="501"/>
      <c r="AK570" s="229" t="str">
        <f>IF(OR(A570="",A570="[ALL]", A570="[ALL J]", A570="[ALL G]"),"",MAX(AK$3:AK569)+1)</f>
        <v/>
      </c>
      <c r="AL570" s="229" t="str">
        <f t="shared" si="8"/>
        <v/>
      </c>
    </row>
    <row r="571" spans="1:38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499"/>
      <c r="AF571" s="500"/>
      <c r="AG571" s="500"/>
      <c r="AH571" s="501"/>
      <c r="AK571" s="229" t="str">
        <f>IF(OR(A571="",A571="[ALL]", A571="[ALL J]", A571="[ALL G]"),"",MAX(AK$3:AK570)+1)</f>
        <v/>
      </c>
      <c r="AL571" s="229" t="str">
        <f t="shared" si="8"/>
        <v/>
      </c>
    </row>
    <row r="572" spans="1:38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499"/>
      <c r="AF572" s="500"/>
      <c r="AG572" s="500"/>
      <c r="AH572" s="501"/>
      <c r="AK572" s="229" t="str">
        <f>IF(OR(A572="",A572="[ALL]", A572="[ALL J]", A572="[ALL G]"),"",MAX(AK$3:AK571)+1)</f>
        <v/>
      </c>
      <c r="AL572" s="229" t="str">
        <f t="shared" si="8"/>
        <v/>
      </c>
    </row>
    <row r="573" spans="1:38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499"/>
      <c r="AF573" s="500"/>
      <c r="AG573" s="500"/>
      <c r="AH573" s="501"/>
      <c r="AK573" s="229" t="str">
        <f>IF(OR(A573="",A573="[ALL]", A573="[ALL J]", A573="[ALL G]"),"",MAX(AK$3:AK572)+1)</f>
        <v/>
      </c>
      <c r="AL573" s="229" t="str">
        <f t="shared" si="8"/>
        <v/>
      </c>
    </row>
    <row r="574" spans="1:38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499"/>
      <c r="AF574" s="500"/>
      <c r="AG574" s="500"/>
      <c r="AH574" s="501"/>
      <c r="AK574" s="229" t="str">
        <f>IF(OR(A574="",A574="[ALL]", A574="[ALL J]", A574="[ALL G]"),"",MAX(AK$3:AK573)+1)</f>
        <v/>
      </c>
      <c r="AL574" s="229" t="str">
        <f t="shared" si="8"/>
        <v/>
      </c>
    </row>
    <row r="575" spans="1:38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499"/>
      <c r="AF575" s="500"/>
      <c r="AG575" s="500"/>
      <c r="AH575" s="501"/>
      <c r="AK575" s="229" t="str">
        <f>IF(OR(A575="",A575="[ALL]", A575="[ALL J]", A575="[ALL G]"),"",MAX(AK$3:AK574)+1)</f>
        <v/>
      </c>
      <c r="AL575" s="229" t="str">
        <f t="shared" si="8"/>
        <v/>
      </c>
    </row>
    <row r="576" spans="1:38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499"/>
      <c r="AF576" s="500"/>
      <c r="AG576" s="500"/>
      <c r="AH576" s="501"/>
      <c r="AK576" s="229" t="str">
        <f>IF(OR(A576="",A576="[ALL]", A576="[ALL J]", A576="[ALL G]"),"",MAX(AK$3:AK575)+1)</f>
        <v/>
      </c>
      <c r="AL576" s="229" t="str">
        <f t="shared" si="8"/>
        <v/>
      </c>
    </row>
    <row r="577" spans="1:38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499"/>
      <c r="AF577" s="500"/>
      <c r="AG577" s="500"/>
      <c r="AH577" s="501"/>
      <c r="AK577" s="229" t="str">
        <f>IF(OR(A577="",A577="[ALL]", A577="[ALL J]", A577="[ALL G]"),"",MAX(AK$3:AK576)+1)</f>
        <v/>
      </c>
      <c r="AL577" s="229" t="str">
        <f t="shared" si="8"/>
        <v/>
      </c>
    </row>
    <row r="578" spans="1:38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499"/>
      <c r="AF578" s="500"/>
      <c r="AG578" s="500"/>
      <c r="AH578" s="501"/>
      <c r="AK578" s="229" t="str">
        <f>IF(OR(A578="",A578="[ALL]", A578="[ALL J]", A578="[ALL G]"),"",MAX(AK$3:AK577)+1)</f>
        <v/>
      </c>
      <c r="AL578" s="229" t="str">
        <f t="shared" si="8"/>
        <v/>
      </c>
    </row>
    <row r="579" spans="1:38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499"/>
      <c r="AF579" s="500"/>
      <c r="AG579" s="500"/>
      <c r="AH579" s="501"/>
      <c r="AK579" s="229" t="str">
        <f>IF(OR(A579="",A579="[ALL]", A579="[ALL J]", A579="[ALL G]"),"",MAX(AK$3:AK578)+1)</f>
        <v/>
      </c>
      <c r="AL579" s="229" t="str">
        <f t="shared" si="8"/>
        <v/>
      </c>
    </row>
    <row r="580" spans="1:38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499"/>
      <c r="AF580" s="500"/>
      <c r="AG580" s="500"/>
      <c r="AH580" s="501"/>
      <c r="AK580" s="229" t="str">
        <f>IF(OR(A580="",A580="[ALL]", A580="[ALL J]", A580="[ALL G]"),"",MAX(AK$3:AK579)+1)</f>
        <v/>
      </c>
      <c r="AL580" s="229" t="str">
        <f t="shared" si="8"/>
        <v/>
      </c>
    </row>
    <row r="581" spans="1:38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499"/>
      <c r="AF581" s="500"/>
      <c r="AG581" s="500"/>
      <c r="AH581" s="501"/>
      <c r="AK581" s="229" t="str">
        <f>IF(OR(A581="",A581="[ALL]", A581="[ALL J]", A581="[ALL G]"),"",MAX(AK$3:AK580)+1)</f>
        <v/>
      </c>
      <c r="AL581" s="229" t="str">
        <f t="shared" ref="AL581:AL644" si="9">IFERROR(INDEX($A$4:$A$1000,MATCH(ROW()-ROW($AL$3),$AK$4:$AK$1000,0)),"")</f>
        <v/>
      </c>
    </row>
    <row r="582" spans="1:38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499"/>
      <c r="AF582" s="500"/>
      <c r="AG582" s="500"/>
      <c r="AH582" s="501"/>
      <c r="AK582" s="229" t="str">
        <f>IF(OR(A582="",A582="[ALL]", A582="[ALL J]", A582="[ALL G]"),"",MAX(AK$3:AK581)+1)</f>
        <v/>
      </c>
      <c r="AL582" s="229" t="str">
        <f t="shared" si="9"/>
        <v/>
      </c>
    </row>
    <row r="583" spans="1:38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499"/>
      <c r="AF583" s="500"/>
      <c r="AG583" s="500"/>
      <c r="AH583" s="501"/>
      <c r="AK583" s="229" t="str">
        <f>IF(OR(A583="",A583="[ALL]", A583="[ALL J]", A583="[ALL G]"),"",MAX(AK$3:AK582)+1)</f>
        <v/>
      </c>
      <c r="AL583" s="229" t="str">
        <f t="shared" si="9"/>
        <v/>
      </c>
    </row>
    <row r="584" spans="1:38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499"/>
      <c r="AF584" s="500"/>
      <c r="AG584" s="500"/>
      <c r="AH584" s="501"/>
      <c r="AK584" s="229" t="str">
        <f>IF(OR(A584="",A584="[ALL]", A584="[ALL J]", A584="[ALL G]"),"",MAX(AK$3:AK583)+1)</f>
        <v/>
      </c>
      <c r="AL584" s="229" t="str">
        <f t="shared" si="9"/>
        <v/>
      </c>
    </row>
    <row r="585" spans="1:38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499"/>
      <c r="AF585" s="500"/>
      <c r="AG585" s="500"/>
      <c r="AH585" s="501"/>
      <c r="AK585" s="229" t="str">
        <f>IF(OR(A585="",A585="[ALL]", A585="[ALL J]", A585="[ALL G]"),"",MAX(AK$3:AK584)+1)</f>
        <v/>
      </c>
      <c r="AL585" s="229" t="str">
        <f t="shared" si="9"/>
        <v/>
      </c>
    </row>
    <row r="586" spans="1:38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499"/>
      <c r="AF586" s="500"/>
      <c r="AG586" s="500"/>
      <c r="AH586" s="501"/>
      <c r="AK586" s="229" t="str">
        <f>IF(OR(A586="",A586="[ALL]", A586="[ALL J]", A586="[ALL G]"),"",MAX(AK$3:AK585)+1)</f>
        <v/>
      </c>
      <c r="AL586" s="229" t="str">
        <f t="shared" si="9"/>
        <v/>
      </c>
    </row>
    <row r="587" spans="1:38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499"/>
      <c r="AF587" s="500"/>
      <c r="AG587" s="500"/>
      <c r="AH587" s="501"/>
      <c r="AK587" s="229" t="str">
        <f>IF(OR(A587="",A587="[ALL]", A587="[ALL J]", A587="[ALL G]"),"",MAX(AK$3:AK586)+1)</f>
        <v/>
      </c>
      <c r="AL587" s="229" t="str">
        <f t="shared" si="9"/>
        <v/>
      </c>
    </row>
    <row r="588" spans="1:38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499"/>
      <c r="AF588" s="500"/>
      <c r="AG588" s="500"/>
      <c r="AH588" s="501"/>
      <c r="AK588" s="229" t="str">
        <f>IF(OR(A588="",A588="[ALL]", A588="[ALL J]", A588="[ALL G]"),"",MAX(AK$3:AK587)+1)</f>
        <v/>
      </c>
      <c r="AL588" s="229" t="str">
        <f t="shared" si="9"/>
        <v/>
      </c>
    </row>
    <row r="589" spans="1:38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499"/>
      <c r="AF589" s="500"/>
      <c r="AG589" s="500"/>
      <c r="AH589" s="501"/>
      <c r="AK589" s="229" t="str">
        <f>IF(OR(A589="",A589="[ALL]", A589="[ALL J]", A589="[ALL G]"),"",MAX(AK$3:AK588)+1)</f>
        <v/>
      </c>
      <c r="AL589" s="229" t="str">
        <f t="shared" si="9"/>
        <v/>
      </c>
    </row>
    <row r="590" spans="1:38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499"/>
      <c r="AF590" s="500"/>
      <c r="AG590" s="500"/>
      <c r="AH590" s="501"/>
      <c r="AK590" s="229" t="str">
        <f>IF(OR(A590="",A590="[ALL]", A590="[ALL J]", A590="[ALL G]"),"",MAX(AK$3:AK589)+1)</f>
        <v/>
      </c>
      <c r="AL590" s="229" t="str">
        <f t="shared" si="9"/>
        <v/>
      </c>
    </row>
    <row r="591" spans="1:38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499"/>
      <c r="AF591" s="500"/>
      <c r="AG591" s="500"/>
      <c r="AH591" s="501"/>
      <c r="AK591" s="229" t="str">
        <f>IF(OR(A591="",A591="[ALL]", A591="[ALL J]", A591="[ALL G]"),"",MAX(AK$3:AK590)+1)</f>
        <v/>
      </c>
      <c r="AL591" s="229" t="str">
        <f t="shared" si="9"/>
        <v/>
      </c>
    </row>
    <row r="592" spans="1:38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499"/>
      <c r="AF592" s="500"/>
      <c r="AG592" s="500"/>
      <c r="AH592" s="501"/>
      <c r="AK592" s="229" t="str">
        <f>IF(OR(A592="",A592="[ALL]", A592="[ALL J]", A592="[ALL G]"),"",MAX(AK$3:AK591)+1)</f>
        <v/>
      </c>
      <c r="AL592" s="229" t="str">
        <f t="shared" si="9"/>
        <v/>
      </c>
    </row>
    <row r="593" spans="1:38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499"/>
      <c r="AF593" s="500"/>
      <c r="AG593" s="500"/>
      <c r="AH593" s="501"/>
      <c r="AK593" s="229" t="str">
        <f>IF(OR(A593="",A593="[ALL]", A593="[ALL J]", A593="[ALL G]"),"",MAX(AK$3:AK592)+1)</f>
        <v/>
      </c>
      <c r="AL593" s="229" t="str">
        <f t="shared" si="9"/>
        <v/>
      </c>
    </row>
    <row r="594" spans="1:38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499"/>
      <c r="AF594" s="500"/>
      <c r="AG594" s="500"/>
      <c r="AH594" s="501"/>
      <c r="AK594" s="229" t="str">
        <f>IF(OR(A594="",A594="[ALL]", A594="[ALL J]", A594="[ALL G]"),"",MAX(AK$3:AK593)+1)</f>
        <v/>
      </c>
      <c r="AL594" s="229" t="str">
        <f t="shared" si="9"/>
        <v/>
      </c>
    </row>
    <row r="595" spans="1:38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499"/>
      <c r="AF595" s="500"/>
      <c r="AG595" s="500"/>
      <c r="AH595" s="501"/>
      <c r="AK595" s="229" t="str">
        <f>IF(OR(A595="",A595="[ALL]", A595="[ALL J]", A595="[ALL G]"),"",MAX(AK$3:AK594)+1)</f>
        <v/>
      </c>
      <c r="AL595" s="229" t="str">
        <f t="shared" si="9"/>
        <v/>
      </c>
    </row>
    <row r="596" spans="1:38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499"/>
      <c r="AF596" s="500"/>
      <c r="AG596" s="500"/>
      <c r="AH596" s="501"/>
      <c r="AK596" s="229" t="str">
        <f>IF(OR(A596="",A596="[ALL]", A596="[ALL J]", A596="[ALL G]"),"",MAX(AK$3:AK595)+1)</f>
        <v/>
      </c>
      <c r="AL596" s="229" t="str">
        <f t="shared" si="9"/>
        <v/>
      </c>
    </row>
    <row r="597" spans="1:38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499"/>
      <c r="AF597" s="500"/>
      <c r="AG597" s="500"/>
      <c r="AH597" s="501"/>
      <c r="AK597" s="229" t="str">
        <f>IF(OR(A597="",A597="[ALL]", A597="[ALL J]", A597="[ALL G]"),"",MAX(AK$3:AK596)+1)</f>
        <v/>
      </c>
      <c r="AL597" s="229" t="str">
        <f t="shared" si="9"/>
        <v/>
      </c>
    </row>
    <row r="598" spans="1:38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499"/>
      <c r="AF598" s="500"/>
      <c r="AG598" s="500"/>
      <c r="AH598" s="501"/>
      <c r="AK598" s="229" t="str">
        <f>IF(OR(A598="",A598="[ALL]", A598="[ALL J]", A598="[ALL G]"),"",MAX(AK$3:AK597)+1)</f>
        <v/>
      </c>
      <c r="AL598" s="229" t="str">
        <f t="shared" si="9"/>
        <v/>
      </c>
    </row>
    <row r="599" spans="1:38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499"/>
      <c r="AF599" s="500"/>
      <c r="AG599" s="500"/>
      <c r="AH599" s="501"/>
      <c r="AK599" s="229" t="str">
        <f>IF(OR(A599="",A599="[ALL]", A599="[ALL J]", A599="[ALL G]"),"",MAX(AK$3:AK598)+1)</f>
        <v/>
      </c>
      <c r="AL599" s="229" t="str">
        <f t="shared" si="9"/>
        <v/>
      </c>
    </row>
    <row r="600" spans="1:38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499"/>
      <c r="AF600" s="500"/>
      <c r="AG600" s="500"/>
      <c r="AH600" s="501"/>
      <c r="AK600" s="229" t="str">
        <f>IF(OR(A600="",A600="[ALL]", A600="[ALL J]", A600="[ALL G]"),"",MAX(AK$3:AK599)+1)</f>
        <v/>
      </c>
      <c r="AL600" s="229" t="str">
        <f t="shared" si="9"/>
        <v/>
      </c>
    </row>
    <row r="601" spans="1:38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499"/>
      <c r="AF601" s="500"/>
      <c r="AG601" s="500"/>
      <c r="AH601" s="501"/>
      <c r="AK601" s="229" t="str">
        <f>IF(OR(A601="",A601="[ALL]", A601="[ALL J]", A601="[ALL G]"),"",MAX(AK$3:AK600)+1)</f>
        <v/>
      </c>
      <c r="AL601" s="229" t="str">
        <f t="shared" si="9"/>
        <v/>
      </c>
    </row>
    <row r="602" spans="1:38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499"/>
      <c r="AF602" s="500"/>
      <c r="AG602" s="500"/>
      <c r="AH602" s="501"/>
      <c r="AK602" s="229" t="str">
        <f>IF(OR(A602="",A602="[ALL]", A602="[ALL J]", A602="[ALL G]"),"",MAX(AK$3:AK601)+1)</f>
        <v/>
      </c>
      <c r="AL602" s="229" t="str">
        <f t="shared" si="9"/>
        <v/>
      </c>
    </row>
    <row r="603" spans="1:38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499"/>
      <c r="AF603" s="500"/>
      <c r="AG603" s="500"/>
      <c r="AH603" s="501"/>
      <c r="AK603" s="229" t="str">
        <f>IF(OR(A603="",A603="[ALL]", A603="[ALL J]", A603="[ALL G]"),"",MAX(AK$3:AK602)+1)</f>
        <v/>
      </c>
      <c r="AL603" s="229" t="str">
        <f t="shared" si="9"/>
        <v/>
      </c>
    </row>
    <row r="604" spans="1:38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499"/>
      <c r="AF604" s="500"/>
      <c r="AG604" s="500"/>
      <c r="AH604" s="501"/>
      <c r="AK604" s="229" t="str">
        <f>IF(OR(A604="",A604="[ALL]", A604="[ALL J]", A604="[ALL G]"),"",MAX(AK$3:AK603)+1)</f>
        <v/>
      </c>
      <c r="AL604" s="229" t="str">
        <f t="shared" si="9"/>
        <v/>
      </c>
    </row>
    <row r="605" spans="1:38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499"/>
      <c r="AF605" s="500"/>
      <c r="AG605" s="500"/>
      <c r="AH605" s="501"/>
      <c r="AK605" s="229" t="str">
        <f>IF(OR(A605="",A605="[ALL]", A605="[ALL J]", A605="[ALL G]"),"",MAX(AK$3:AK604)+1)</f>
        <v/>
      </c>
      <c r="AL605" s="229" t="str">
        <f t="shared" si="9"/>
        <v/>
      </c>
    </row>
    <row r="606" spans="1:38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499"/>
      <c r="AF606" s="500"/>
      <c r="AG606" s="500"/>
      <c r="AH606" s="501"/>
      <c r="AK606" s="229" t="str">
        <f>IF(OR(A606="",A606="[ALL]", A606="[ALL J]", A606="[ALL G]"),"",MAX(AK$3:AK605)+1)</f>
        <v/>
      </c>
      <c r="AL606" s="229" t="str">
        <f t="shared" si="9"/>
        <v/>
      </c>
    </row>
    <row r="607" spans="1:38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499"/>
      <c r="AF607" s="500"/>
      <c r="AG607" s="500"/>
      <c r="AH607" s="501"/>
      <c r="AK607" s="229" t="str">
        <f>IF(OR(A607="",A607="[ALL]", A607="[ALL J]", A607="[ALL G]"),"",MAX(AK$3:AK606)+1)</f>
        <v/>
      </c>
      <c r="AL607" s="229" t="str">
        <f t="shared" si="9"/>
        <v/>
      </c>
    </row>
    <row r="608" spans="1:38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499"/>
      <c r="AF608" s="500"/>
      <c r="AG608" s="500"/>
      <c r="AH608" s="501"/>
      <c r="AK608" s="229" t="str">
        <f>IF(OR(A608="",A608="[ALL]", A608="[ALL J]", A608="[ALL G]"),"",MAX(AK$3:AK607)+1)</f>
        <v/>
      </c>
      <c r="AL608" s="229" t="str">
        <f t="shared" si="9"/>
        <v/>
      </c>
    </row>
    <row r="609" spans="1:38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499"/>
      <c r="AF609" s="500"/>
      <c r="AG609" s="500"/>
      <c r="AH609" s="501"/>
      <c r="AK609" s="229" t="str">
        <f>IF(OR(A609="",A609="[ALL]", A609="[ALL J]", A609="[ALL G]"),"",MAX(AK$3:AK608)+1)</f>
        <v/>
      </c>
      <c r="AL609" s="229" t="str">
        <f t="shared" si="9"/>
        <v/>
      </c>
    </row>
    <row r="610" spans="1:38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499"/>
      <c r="AF610" s="500"/>
      <c r="AG610" s="500"/>
      <c r="AH610" s="501"/>
      <c r="AK610" s="229" t="str">
        <f>IF(OR(A610="",A610="[ALL]", A610="[ALL J]", A610="[ALL G]"),"",MAX(AK$3:AK609)+1)</f>
        <v/>
      </c>
      <c r="AL610" s="229" t="str">
        <f t="shared" si="9"/>
        <v/>
      </c>
    </row>
    <row r="611" spans="1:38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499"/>
      <c r="AF611" s="500"/>
      <c r="AG611" s="500"/>
      <c r="AH611" s="501"/>
      <c r="AK611" s="229" t="str">
        <f>IF(OR(A611="",A611="[ALL]", A611="[ALL J]", A611="[ALL G]"),"",MAX(AK$3:AK610)+1)</f>
        <v/>
      </c>
      <c r="AL611" s="229" t="str">
        <f t="shared" si="9"/>
        <v/>
      </c>
    </row>
    <row r="612" spans="1:38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499"/>
      <c r="AF612" s="500"/>
      <c r="AG612" s="500"/>
      <c r="AH612" s="501"/>
      <c r="AK612" s="229" t="str">
        <f>IF(OR(A612="",A612="[ALL]", A612="[ALL J]", A612="[ALL G]"),"",MAX(AK$3:AK611)+1)</f>
        <v/>
      </c>
      <c r="AL612" s="229" t="str">
        <f t="shared" si="9"/>
        <v/>
      </c>
    </row>
    <row r="613" spans="1:38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499"/>
      <c r="AF613" s="500"/>
      <c r="AG613" s="500"/>
      <c r="AH613" s="501"/>
      <c r="AK613" s="229" t="str">
        <f>IF(OR(A613="",A613="[ALL]", A613="[ALL J]", A613="[ALL G]"),"",MAX(AK$3:AK612)+1)</f>
        <v/>
      </c>
      <c r="AL613" s="229" t="str">
        <f t="shared" si="9"/>
        <v/>
      </c>
    </row>
    <row r="614" spans="1:38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499"/>
      <c r="AF614" s="500"/>
      <c r="AG614" s="500"/>
      <c r="AH614" s="501"/>
      <c r="AK614" s="229" t="str">
        <f>IF(OR(A614="",A614="[ALL]", A614="[ALL J]", A614="[ALL G]"),"",MAX(AK$3:AK613)+1)</f>
        <v/>
      </c>
      <c r="AL614" s="229" t="str">
        <f t="shared" si="9"/>
        <v/>
      </c>
    </row>
    <row r="615" spans="1:38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499"/>
      <c r="AF615" s="500"/>
      <c r="AG615" s="500"/>
      <c r="AH615" s="501"/>
      <c r="AK615" s="229" t="str">
        <f>IF(OR(A615="",A615="[ALL]", A615="[ALL J]", A615="[ALL G]"),"",MAX(AK$3:AK614)+1)</f>
        <v/>
      </c>
      <c r="AL615" s="229" t="str">
        <f t="shared" si="9"/>
        <v/>
      </c>
    </row>
    <row r="616" spans="1:38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499"/>
      <c r="AF616" s="500"/>
      <c r="AG616" s="500"/>
      <c r="AH616" s="501"/>
      <c r="AK616" s="229" t="str">
        <f>IF(OR(A616="",A616="[ALL]", A616="[ALL J]", A616="[ALL G]"),"",MAX(AK$3:AK615)+1)</f>
        <v/>
      </c>
      <c r="AL616" s="229" t="str">
        <f t="shared" si="9"/>
        <v/>
      </c>
    </row>
    <row r="617" spans="1:38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499"/>
      <c r="AF617" s="500"/>
      <c r="AG617" s="500"/>
      <c r="AH617" s="501"/>
      <c r="AK617" s="229" t="str">
        <f>IF(OR(A617="",A617="[ALL]", A617="[ALL J]", A617="[ALL G]"),"",MAX(AK$3:AK616)+1)</f>
        <v/>
      </c>
      <c r="AL617" s="229" t="str">
        <f t="shared" si="9"/>
        <v/>
      </c>
    </row>
    <row r="618" spans="1:38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499"/>
      <c r="AF618" s="500"/>
      <c r="AG618" s="500"/>
      <c r="AH618" s="501"/>
      <c r="AK618" s="229" t="str">
        <f>IF(OR(A618="",A618="[ALL]", A618="[ALL J]", A618="[ALL G]"),"",MAX(AK$3:AK617)+1)</f>
        <v/>
      </c>
      <c r="AL618" s="229" t="str">
        <f t="shared" si="9"/>
        <v/>
      </c>
    </row>
    <row r="619" spans="1:38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499"/>
      <c r="AF619" s="500"/>
      <c r="AG619" s="500"/>
      <c r="AH619" s="501"/>
      <c r="AK619" s="229" t="str">
        <f>IF(OR(A619="",A619="[ALL]", A619="[ALL J]", A619="[ALL G]"),"",MAX(AK$3:AK618)+1)</f>
        <v/>
      </c>
      <c r="AL619" s="229" t="str">
        <f t="shared" si="9"/>
        <v/>
      </c>
    </row>
    <row r="620" spans="1:38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499"/>
      <c r="AF620" s="500"/>
      <c r="AG620" s="500"/>
      <c r="AH620" s="501"/>
      <c r="AK620" s="229" t="str">
        <f>IF(OR(A620="",A620="[ALL]", A620="[ALL J]", A620="[ALL G]"),"",MAX(AK$3:AK619)+1)</f>
        <v/>
      </c>
      <c r="AL620" s="229" t="str">
        <f t="shared" si="9"/>
        <v/>
      </c>
    </row>
    <row r="621" spans="1:38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499"/>
      <c r="AF621" s="500"/>
      <c r="AG621" s="500"/>
      <c r="AH621" s="501"/>
      <c r="AK621" s="229" t="str">
        <f>IF(OR(A621="",A621="[ALL]", A621="[ALL J]", A621="[ALL G]"),"",MAX(AK$3:AK620)+1)</f>
        <v/>
      </c>
      <c r="AL621" s="229" t="str">
        <f t="shared" si="9"/>
        <v/>
      </c>
    </row>
    <row r="622" spans="1:38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499"/>
      <c r="AF622" s="500"/>
      <c r="AG622" s="500"/>
      <c r="AH622" s="501"/>
      <c r="AK622" s="229" t="str">
        <f>IF(OR(A622="",A622="[ALL]", A622="[ALL J]", A622="[ALL G]"),"",MAX(AK$3:AK621)+1)</f>
        <v/>
      </c>
      <c r="AL622" s="229" t="str">
        <f t="shared" si="9"/>
        <v/>
      </c>
    </row>
    <row r="623" spans="1:38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499"/>
      <c r="AF623" s="500"/>
      <c r="AG623" s="500"/>
      <c r="AH623" s="501"/>
      <c r="AK623" s="229" t="str">
        <f>IF(OR(A623="",A623="[ALL]", A623="[ALL J]", A623="[ALL G]"),"",MAX(AK$3:AK622)+1)</f>
        <v/>
      </c>
      <c r="AL623" s="229" t="str">
        <f t="shared" si="9"/>
        <v/>
      </c>
    </row>
    <row r="624" spans="1:38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499"/>
      <c r="AF624" s="500"/>
      <c r="AG624" s="500"/>
      <c r="AH624" s="501"/>
      <c r="AK624" s="229" t="str">
        <f>IF(OR(A624="",A624="[ALL]", A624="[ALL J]", A624="[ALL G]"),"",MAX(AK$3:AK623)+1)</f>
        <v/>
      </c>
      <c r="AL624" s="229" t="str">
        <f t="shared" si="9"/>
        <v/>
      </c>
    </row>
    <row r="625" spans="1:38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499"/>
      <c r="AF625" s="500"/>
      <c r="AG625" s="500"/>
      <c r="AH625" s="501"/>
      <c r="AK625" s="229" t="str">
        <f>IF(OR(A625="",A625="[ALL]", A625="[ALL J]", A625="[ALL G]"),"",MAX(AK$3:AK624)+1)</f>
        <v/>
      </c>
      <c r="AL625" s="229" t="str">
        <f t="shared" si="9"/>
        <v/>
      </c>
    </row>
    <row r="626" spans="1:38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499"/>
      <c r="AF626" s="500"/>
      <c r="AG626" s="500"/>
      <c r="AH626" s="501"/>
      <c r="AK626" s="229" t="str">
        <f>IF(OR(A626="",A626="[ALL]", A626="[ALL J]", A626="[ALL G]"),"",MAX(AK$3:AK625)+1)</f>
        <v/>
      </c>
      <c r="AL626" s="229" t="str">
        <f t="shared" si="9"/>
        <v/>
      </c>
    </row>
    <row r="627" spans="1:38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499"/>
      <c r="AF627" s="500"/>
      <c r="AG627" s="500"/>
      <c r="AH627" s="501"/>
      <c r="AK627" s="229" t="str">
        <f>IF(OR(A627="",A627="[ALL]", A627="[ALL J]", A627="[ALL G]"),"",MAX(AK$3:AK626)+1)</f>
        <v/>
      </c>
      <c r="AL627" s="229" t="str">
        <f t="shared" si="9"/>
        <v/>
      </c>
    </row>
    <row r="628" spans="1:38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499"/>
      <c r="AF628" s="500"/>
      <c r="AG628" s="500"/>
      <c r="AH628" s="501"/>
      <c r="AK628" s="229" t="str">
        <f>IF(OR(A628="",A628="[ALL]", A628="[ALL J]", A628="[ALL G]"),"",MAX(AK$3:AK627)+1)</f>
        <v/>
      </c>
      <c r="AL628" s="229" t="str">
        <f t="shared" si="9"/>
        <v/>
      </c>
    </row>
    <row r="629" spans="1:38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499"/>
      <c r="AF629" s="500"/>
      <c r="AG629" s="500"/>
      <c r="AH629" s="501"/>
      <c r="AK629" s="229" t="str">
        <f>IF(OR(A629="",A629="[ALL]", A629="[ALL J]", A629="[ALL G]"),"",MAX(AK$3:AK628)+1)</f>
        <v/>
      </c>
      <c r="AL629" s="229" t="str">
        <f t="shared" si="9"/>
        <v/>
      </c>
    </row>
    <row r="630" spans="1:38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499"/>
      <c r="AF630" s="500"/>
      <c r="AG630" s="500"/>
      <c r="AH630" s="501"/>
      <c r="AK630" s="229" t="str">
        <f>IF(OR(A630="",A630="[ALL]", A630="[ALL J]", A630="[ALL G]"),"",MAX(AK$3:AK629)+1)</f>
        <v/>
      </c>
      <c r="AL630" s="229" t="str">
        <f t="shared" si="9"/>
        <v/>
      </c>
    </row>
    <row r="631" spans="1:38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499"/>
      <c r="AF631" s="500"/>
      <c r="AG631" s="500"/>
      <c r="AH631" s="501"/>
      <c r="AK631" s="229" t="str">
        <f>IF(OR(A631="",A631="[ALL]", A631="[ALL J]", A631="[ALL G]"),"",MAX(AK$3:AK630)+1)</f>
        <v/>
      </c>
      <c r="AL631" s="229" t="str">
        <f t="shared" si="9"/>
        <v/>
      </c>
    </row>
    <row r="632" spans="1:38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499"/>
      <c r="AF632" s="500"/>
      <c r="AG632" s="500"/>
      <c r="AH632" s="501"/>
      <c r="AK632" s="229" t="str">
        <f>IF(OR(A632="",A632="[ALL]", A632="[ALL J]", A632="[ALL G]"),"",MAX(AK$3:AK631)+1)</f>
        <v/>
      </c>
      <c r="AL632" s="229" t="str">
        <f t="shared" si="9"/>
        <v/>
      </c>
    </row>
    <row r="633" spans="1:38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499"/>
      <c r="AF633" s="500"/>
      <c r="AG633" s="500"/>
      <c r="AH633" s="501"/>
      <c r="AK633" s="229" t="str">
        <f>IF(OR(A633="",A633="[ALL]", A633="[ALL J]", A633="[ALL G]"),"",MAX(AK$3:AK632)+1)</f>
        <v/>
      </c>
      <c r="AL633" s="229" t="str">
        <f t="shared" si="9"/>
        <v/>
      </c>
    </row>
    <row r="634" spans="1:38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499"/>
      <c r="AF634" s="500"/>
      <c r="AG634" s="500"/>
      <c r="AH634" s="501"/>
      <c r="AK634" s="229" t="str">
        <f>IF(OR(A634="",A634="[ALL]", A634="[ALL J]", A634="[ALL G]"),"",MAX(AK$3:AK633)+1)</f>
        <v/>
      </c>
      <c r="AL634" s="229" t="str">
        <f t="shared" si="9"/>
        <v/>
      </c>
    </row>
    <row r="635" spans="1:38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499"/>
      <c r="AF635" s="500"/>
      <c r="AG635" s="500"/>
      <c r="AH635" s="501"/>
      <c r="AK635" s="229" t="str">
        <f>IF(OR(A635="",A635="[ALL]", A635="[ALL J]", A635="[ALL G]"),"",MAX(AK$3:AK634)+1)</f>
        <v/>
      </c>
      <c r="AL635" s="229" t="str">
        <f t="shared" si="9"/>
        <v/>
      </c>
    </row>
    <row r="636" spans="1:38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499"/>
      <c r="AF636" s="500"/>
      <c r="AG636" s="500"/>
      <c r="AH636" s="501"/>
      <c r="AK636" s="229" t="str">
        <f>IF(OR(A636="",A636="[ALL]", A636="[ALL J]", A636="[ALL G]"),"",MAX(AK$3:AK635)+1)</f>
        <v/>
      </c>
      <c r="AL636" s="229" t="str">
        <f t="shared" si="9"/>
        <v/>
      </c>
    </row>
    <row r="637" spans="1:38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499"/>
      <c r="AF637" s="500"/>
      <c r="AG637" s="500"/>
      <c r="AH637" s="501"/>
      <c r="AK637" s="229" t="str">
        <f>IF(OR(A637="",A637="[ALL]", A637="[ALL J]", A637="[ALL G]"),"",MAX(AK$3:AK636)+1)</f>
        <v/>
      </c>
      <c r="AL637" s="229" t="str">
        <f t="shared" si="9"/>
        <v/>
      </c>
    </row>
    <row r="638" spans="1:38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499"/>
      <c r="AF638" s="500"/>
      <c r="AG638" s="500"/>
      <c r="AH638" s="501"/>
      <c r="AK638" s="229" t="str">
        <f>IF(OR(A638="",A638="[ALL]", A638="[ALL J]", A638="[ALL G]"),"",MAX(AK$3:AK637)+1)</f>
        <v/>
      </c>
      <c r="AL638" s="229" t="str">
        <f t="shared" si="9"/>
        <v/>
      </c>
    </row>
    <row r="639" spans="1:38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499"/>
      <c r="AF639" s="500"/>
      <c r="AG639" s="500"/>
      <c r="AH639" s="501"/>
      <c r="AK639" s="229" t="str">
        <f>IF(OR(A639="",A639="[ALL]", A639="[ALL J]", A639="[ALL G]"),"",MAX(AK$3:AK638)+1)</f>
        <v/>
      </c>
      <c r="AL639" s="229" t="str">
        <f t="shared" si="9"/>
        <v/>
      </c>
    </row>
    <row r="640" spans="1:38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499"/>
      <c r="AF640" s="500"/>
      <c r="AG640" s="500"/>
      <c r="AH640" s="501"/>
      <c r="AK640" s="229" t="str">
        <f>IF(OR(A640="",A640="[ALL]", A640="[ALL J]", A640="[ALL G]"),"",MAX(AK$3:AK639)+1)</f>
        <v/>
      </c>
      <c r="AL640" s="229" t="str">
        <f t="shared" si="9"/>
        <v/>
      </c>
    </row>
    <row r="641" spans="1:38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499"/>
      <c r="AF641" s="500"/>
      <c r="AG641" s="500"/>
      <c r="AH641" s="501"/>
      <c r="AK641" s="229" t="str">
        <f>IF(OR(A641="",A641="[ALL]", A641="[ALL J]", A641="[ALL G]"),"",MAX(AK$3:AK640)+1)</f>
        <v/>
      </c>
      <c r="AL641" s="229" t="str">
        <f t="shared" si="9"/>
        <v/>
      </c>
    </row>
    <row r="642" spans="1:38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499"/>
      <c r="AF642" s="500"/>
      <c r="AG642" s="500"/>
      <c r="AH642" s="501"/>
      <c r="AK642" s="229" t="str">
        <f>IF(OR(A642="",A642="[ALL]", A642="[ALL J]", A642="[ALL G]"),"",MAX(AK$3:AK641)+1)</f>
        <v/>
      </c>
      <c r="AL642" s="229" t="str">
        <f t="shared" si="9"/>
        <v/>
      </c>
    </row>
    <row r="643" spans="1:38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499"/>
      <c r="AF643" s="500"/>
      <c r="AG643" s="500"/>
      <c r="AH643" s="501"/>
      <c r="AK643" s="229" t="str">
        <f>IF(OR(A643="",A643="[ALL]", A643="[ALL J]", A643="[ALL G]"),"",MAX(AK$3:AK642)+1)</f>
        <v/>
      </c>
      <c r="AL643" s="229" t="str">
        <f t="shared" si="9"/>
        <v/>
      </c>
    </row>
    <row r="644" spans="1:38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499"/>
      <c r="AF644" s="500"/>
      <c r="AG644" s="500"/>
      <c r="AH644" s="501"/>
      <c r="AK644" s="229" t="str">
        <f>IF(OR(A644="",A644="[ALL]", A644="[ALL J]", A644="[ALL G]"),"",MAX(AK$3:AK643)+1)</f>
        <v/>
      </c>
      <c r="AL644" s="229" t="str">
        <f t="shared" si="9"/>
        <v/>
      </c>
    </row>
    <row r="645" spans="1:38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499"/>
      <c r="AF645" s="500"/>
      <c r="AG645" s="500"/>
      <c r="AH645" s="501"/>
      <c r="AK645" s="229" t="str">
        <f>IF(OR(A645="",A645="[ALL]", A645="[ALL J]", A645="[ALL G]"),"",MAX(AK$3:AK644)+1)</f>
        <v/>
      </c>
      <c r="AL645" s="229" t="str">
        <f t="shared" ref="AL645:AL708" si="10">IFERROR(INDEX($A$4:$A$1000,MATCH(ROW()-ROW($AL$3),$AK$4:$AK$1000,0)),"")</f>
        <v/>
      </c>
    </row>
    <row r="646" spans="1:38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499"/>
      <c r="AF646" s="500"/>
      <c r="AG646" s="500"/>
      <c r="AH646" s="501"/>
      <c r="AK646" s="229" t="str">
        <f>IF(OR(A646="",A646="[ALL]", A646="[ALL J]", A646="[ALL G]"),"",MAX(AK$3:AK645)+1)</f>
        <v/>
      </c>
      <c r="AL646" s="229" t="str">
        <f t="shared" si="10"/>
        <v/>
      </c>
    </row>
    <row r="647" spans="1:38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499"/>
      <c r="AF647" s="500"/>
      <c r="AG647" s="500"/>
      <c r="AH647" s="501"/>
      <c r="AK647" s="229" t="str">
        <f>IF(OR(A647="",A647="[ALL]", A647="[ALL J]", A647="[ALL G]"),"",MAX(AK$3:AK646)+1)</f>
        <v/>
      </c>
      <c r="AL647" s="229" t="str">
        <f t="shared" si="10"/>
        <v/>
      </c>
    </row>
    <row r="648" spans="1:38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499"/>
      <c r="AF648" s="500"/>
      <c r="AG648" s="500"/>
      <c r="AH648" s="501"/>
      <c r="AK648" s="229" t="str">
        <f>IF(OR(A648="",A648="[ALL]", A648="[ALL J]", A648="[ALL G]"),"",MAX(AK$3:AK647)+1)</f>
        <v/>
      </c>
      <c r="AL648" s="229" t="str">
        <f t="shared" si="10"/>
        <v/>
      </c>
    </row>
    <row r="649" spans="1:38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499"/>
      <c r="AF649" s="500"/>
      <c r="AG649" s="500"/>
      <c r="AH649" s="501"/>
      <c r="AK649" s="229" t="str">
        <f>IF(OR(A649="",A649="[ALL]", A649="[ALL J]", A649="[ALL G]"),"",MAX(AK$3:AK648)+1)</f>
        <v/>
      </c>
      <c r="AL649" s="229" t="str">
        <f t="shared" si="10"/>
        <v/>
      </c>
    </row>
    <row r="650" spans="1:38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499"/>
      <c r="AF650" s="500"/>
      <c r="AG650" s="500"/>
      <c r="AH650" s="501"/>
      <c r="AK650" s="229" t="str">
        <f>IF(OR(A650="",A650="[ALL]", A650="[ALL J]", A650="[ALL G]"),"",MAX(AK$3:AK649)+1)</f>
        <v/>
      </c>
      <c r="AL650" s="229" t="str">
        <f t="shared" si="10"/>
        <v/>
      </c>
    </row>
    <row r="651" spans="1:38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499"/>
      <c r="AF651" s="500"/>
      <c r="AG651" s="500"/>
      <c r="AH651" s="501"/>
      <c r="AK651" s="229" t="str">
        <f>IF(OR(A651="",A651="[ALL]", A651="[ALL J]", A651="[ALL G]"),"",MAX(AK$3:AK650)+1)</f>
        <v/>
      </c>
      <c r="AL651" s="229" t="str">
        <f t="shared" si="10"/>
        <v/>
      </c>
    </row>
    <row r="652" spans="1:38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499"/>
      <c r="AF652" s="500"/>
      <c r="AG652" s="500"/>
      <c r="AH652" s="501"/>
      <c r="AK652" s="229" t="str">
        <f>IF(OR(A652="",A652="[ALL]", A652="[ALL J]", A652="[ALL G]"),"",MAX(AK$3:AK651)+1)</f>
        <v/>
      </c>
      <c r="AL652" s="229" t="str">
        <f t="shared" si="10"/>
        <v/>
      </c>
    </row>
    <row r="653" spans="1:38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499"/>
      <c r="AF653" s="500"/>
      <c r="AG653" s="500"/>
      <c r="AH653" s="501"/>
      <c r="AK653" s="229" t="str">
        <f>IF(OR(A653="",A653="[ALL]", A653="[ALL J]", A653="[ALL G]"),"",MAX(AK$3:AK652)+1)</f>
        <v/>
      </c>
      <c r="AL653" s="229" t="str">
        <f t="shared" si="10"/>
        <v/>
      </c>
    </row>
    <row r="654" spans="1:38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499"/>
      <c r="AF654" s="500"/>
      <c r="AG654" s="500"/>
      <c r="AH654" s="501"/>
      <c r="AK654" s="229" t="str">
        <f>IF(OR(A654="",A654="[ALL]", A654="[ALL J]", A654="[ALL G]"),"",MAX(AK$3:AK653)+1)</f>
        <v/>
      </c>
      <c r="AL654" s="229" t="str">
        <f t="shared" si="10"/>
        <v/>
      </c>
    </row>
    <row r="655" spans="1:38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499"/>
      <c r="AF655" s="500"/>
      <c r="AG655" s="500"/>
      <c r="AH655" s="501"/>
      <c r="AK655" s="229" t="str">
        <f>IF(OR(A655="",A655="[ALL]", A655="[ALL J]", A655="[ALL G]"),"",MAX(AK$3:AK654)+1)</f>
        <v/>
      </c>
      <c r="AL655" s="229" t="str">
        <f t="shared" si="10"/>
        <v/>
      </c>
    </row>
    <row r="656" spans="1:38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499"/>
      <c r="AF656" s="500"/>
      <c r="AG656" s="500"/>
      <c r="AH656" s="501"/>
      <c r="AK656" s="229" t="str">
        <f>IF(OR(A656="",A656="[ALL]", A656="[ALL J]", A656="[ALL G]"),"",MAX(AK$3:AK655)+1)</f>
        <v/>
      </c>
      <c r="AL656" s="229" t="str">
        <f t="shared" si="10"/>
        <v/>
      </c>
    </row>
    <row r="657" spans="1:38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499"/>
      <c r="AF657" s="500"/>
      <c r="AG657" s="500"/>
      <c r="AH657" s="501"/>
      <c r="AK657" s="229" t="str">
        <f>IF(OR(A657="",A657="[ALL]", A657="[ALL J]", A657="[ALL G]"),"",MAX(AK$3:AK656)+1)</f>
        <v/>
      </c>
      <c r="AL657" s="229" t="str">
        <f t="shared" si="10"/>
        <v/>
      </c>
    </row>
    <row r="658" spans="1:38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499"/>
      <c r="AF658" s="500"/>
      <c r="AG658" s="500"/>
      <c r="AH658" s="501"/>
      <c r="AK658" s="229" t="str">
        <f>IF(OR(A658="",A658="[ALL]", A658="[ALL J]", A658="[ALL G]"),"",MAX(AK$3:AK657)+1)</f>
        <v/>
      </c>
      <c r="AL658" s="229" t="str">
        <f t="shared" si="10"/>
        <v/>
      </c>
    </row>
    <row r="659" spans="1:38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499"/>
      <c r="AF659" s="500"/>
      <c r="AG659" s="500"/>
      <c r="AH659" s="501"/>
      <c r="AK659" s="229" t="str">
        <f>IF(OR(A659="",A659="[ALL]", A659="[ALL J]", A659="[ALL G]"),"",MAX(AK$3:AK658)+1)</f>
        <v/>
      </c>
      <c r="AL659" s="229" t="str">
        <f t="shared" si="10"/>
        <v/>
      </c>
    </row>
    <row r="660" spans="1:38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499"/>
      <c r="AF660" s="500"/>
      <c r="AG660" s="500"/>
      <c r="AH660" s="501"/>
      <c r="AK660" s="229" t="str">
        <f>IF(OR(A660="",A660="[ALL]", A660="[ALL J]", A660="[ALL G]"),"",MAX(AK$3:AK659)+1)</f>
        <v/>
      </c>
      <c r="AL660" s="229" t="str">
        <f t="shared" si="10"/>
        <v/>
      </c>
    </row>
    <row r="661" spans="1:38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499"/>
      <c r="AF661" s="500"/>
      <c r="AG661" s="500"/>
      <c r="AH661" s="501"/>
      <c r="AK661" s="229" t="str">
        <f>IF(OR(A661="",A661="[ALL]", A661="[ALL J]", A661="[ALL G]"),"",MAX(AK$3:AK660)+1)</f>
        <v/>
      </c>
      <c r="AL661" s="229" t="str">
        <f t="shared" si="10"/>
        <v/>
      </c>
    </row>
    <row r="662" spans="1:38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499"/>
      <c r="AF662" s="500"/>
      <c r="AG662" s="500"/>
      <c r="AH662" s="501"/>
      <c r="AK662" s="229" t="str">
        <f>IF(OR(A662="",A662="[ALL]", A662="[ALL J]", A662="[ALL G]"),"",MAX(AK$3:AK661)+1)</f>
        <v/>
      </c>
      <c r="AL662" s="229" t="str">
        <f t="shared" si="10"/>
        <v/>
      </c>
    </row>
    <row r="663" spans="1:38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499"/>
      <c r="AF663" s="500"/>
      <c r="AG663" s="500"/>
      <c r="AH663" s="501"/>
      <c r="AK663" s="229" t="str">
        <f>IF(OR(A663="",A663="[ALL]", A663="[ALL J]", A663="[ALL G]"),"",MAX(AK$3:AK662)+1)</f>
        <v/>
      </c>
      <c r="AL663" s="229" t="str">
        <f t="shared" si="10"/>
        <v/>
      </c>
    </row>
    <row r="664" spans="1:38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499"/>
      <c r="AF664" s="500"/>
      <c r="AG664" s="500"/>
      <c r="AH664" s="501"/>
      <c r="AK664" s="229" t="str">
        <f>IF(OR(A664="",A664="[ALL]", A664="[ALL J]", A664="[ALL G]"),"",MAX(AK$3:AK663)+1)</f>
        <v/>
      </c>
      <c r="AL664" s="229" t="str">
        <f t="shared" si="10"/>
        <v/>
      </c>
    </row>
    <row r="665" spans="1:38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499"/>
      <c r="AF665" s="500"/>
      <c r="AG665" s="500"/>
      <c r="AH665" s="501"/>
      <c r="AK665" s="229" t="str">
        <f>IF(OR(A665="",A665="[ALL]", A665="[ALL J]", A665="[ALL G]"),"",MAX(AK$3:AK664)+1)</f>
        <v/>
      </c>
      <c r="AL665" s="229" t="str">
        <f t="shared" si="10"/>
        <v/>
      </c>
    </row>
    <row r="666" spans="1:38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499"/>
      <c r="AF666" s="500"/>
      <c r="AG666" s="500"/>
      <c r="AH666" s="501"/>
      <c r="AK666" s="229" t="str">
        <f>IF(OR(A666="",A666="[ALL]", A666="[ALL J]", A666="[ALL G]"),"",MAX(AK$3:AK665)+1)</f>
        <v/>
      </c>
      <c r="AL666" s="229" t="str">
        <f t="shared" si="10"/>
        <v/>
      </c>
    </row>
    <row r="667" spans="1:38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499"/>
      <c r="AF667" s="500"/>
      <c r="AG667" s="500"/>
      <c r="AH667" s="501"/>
      <c r="AK667" s="229" t="str">
        <f>IF(OR(A667="",A667="[ALL]", A667="[ALL J]", A667="[ALL G]"),"",MAX(AK$3:AK666)+1)</f>
        <v/>
      </c>
      <c r="AL667" s="229" t="str">
        <f t="shared" si="10"/>
        <v/>
      </c>
    </row>
    <row r="668" spans="1:38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499"/>
      <c r="AF668" s="500"/>
      <c r="AG668" s="500"/>
      <c r="AH668" s="501"/>
      <c r="AK668" s="229" t="str">
        <f>IF(OR(A668="",A668="[ALL]", A668="[ALL J]", A668="[ALL G]"),"",MAX(AK$3:AK667)+1)</f>
        <v/>
      </c>
      <c r="AL668" s="229" t="str">
        <f t="shared" si="10"/>
        <v/>
      </c>
    </row>
    <row r="669" spans="1:38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499"/>
      <c r="AF669" s="500"/>
      <c r="AG669" s="500"/>
      <c r="AH669" s="501"/>
      <c r="AK669" s="229" t="str">
        <f>IF(OR(A669="",A669="[ALL]", A669="[ALL J]", A669="[ALL G]"),"",MAX(AK$3:AK668)+1)</f>
        <v/>
      </c>
      <c r="AL669" s="229" t="str">
        <f t="shared" si="10"/>
        <v/>
      </c>
    </row>
    <row r="670" spans="1:38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499"/>
      <c r="AF670" s="500"/>
      <c r="AG670" s="500"/>
      <c r="AH670" s="501"/>
      <c r="AK670" s="229" t="str">
        <f>IF(OR(A670="",A670="[ALL]", A670="[ALL J]", A670="[ALL G]"),"",MAX(AK$3:AK669)+1)</f>
        <v/>
      </c>
      <c r="AL670" s="229" t="str">
        <f t="shared" si="10"/>
        <v/>
      </c>
    </row>
    <row r="671" spans="1:38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499"/>
      <c r="AF671" s="500"/>
      <c r="AG671" s="500"/>
      <c r="AH671" s="501"/>
      <c r="AK671" s="229" t="str">
        <f>IF(OR(A671="",A671="[ALL]", A671="[ALL J]", A671="[ALL G]"),"",MAX(AK$3:AK670)+1)</f>
        <v/>
      </c>
      <c r="AL671" s="229" t="str">
        <f t="shared" si="10"/>
        <v/>
      </c>
    </row>
    <row r="672" spans="1:38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499"/>
      <c r="AF672" s="500"/>
      <c r="AG672" s="500"/>
      <c r="AH672" s="501"/>
      <c r="AK672" s="229" t="str">
        <f>IF(OR(A672="",A672="[ALL]", A672="[ALL J]", A672="[ALL G]"),"",MAX(AK$3:AK671)+1)</f>
        <v/>
      </c>
      <c r="AL672" s="229" t="str">
        <f t="shared" si="10"/>
        <v/>
      </c>
    </row>
    <row r="673" spans="1:38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499"/>
      <c r="AF673" s="500"/>
      <c r="AG673" s="500"/>
      <c r="AH673" s="501"/>
      <c r="AK673" s="229" t="str">
        <f>IF(OR(A673="",A673="[ALL]", A673="[ALL J]", A673="[ALL G]"),"",MAX(AK$3:AK672)+1)</f>
        <v/>
      </c>
      <c r="AL673" s="229" t="str">
        <f t="shared" si="10"/>
        <v/>
      </c>
    </row>
    <row r="674" spans="1:38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499"/>
      <c r="AF674" s="500"/>
      <c r="AG674" s="500"/>
      <c r="AH674" s="501"/>
      <c r="AK674" s="229" t="str">
        <f>IF(OR(A674="",A674="[ALL]", A674="[ALL J]", A674="[ALL G]"),"",MAX(AK$3:AK673)+1)</f>
        <v/>
      </c>
      <c r="AL674" s="229" t="str">
        <f t="shared" si="10"/>
        <v/>
      </c>
    </row>
    <row r="675" spans="1:38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499"/>
      <c r="AF675" s="500"/>
      <c r="AG675" s="500"/>
      <c r="AH675" s="501"/>
      <c r="AK675" s="229" t="str">
        <f>IF(OR(A675="",A675="[ALL]", A675="[ALL J]", A675="[ALL G]"),"",MAX(AK$3:AK674)+1)</f>
        <v/>
      </c>
      <c r="AL675" s="229" t="str">
        <f t="shared" si="10"/>
        <v/>
      </c>
    </row>
    <row r="676" spans="1:38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499"/>
      <c r="AF676" s="500"/>
      <c r="AG676" s="500"/>
      <c r="AH676" s="501"/>
      <c r="AK676" s="229" t="str">
        <f>IF(OR(A676="",A676="[ALL]", A676="[ALL J]", A676="[ALL G]"),"",MAX(AK$3:AK675)+1)</f>
        <v/>
      </c>
      <c r="AL676" s="229" t="str">
        <f t="shared" si="10"/>
        <v/>
      </c>
    </row>
    <row r="677" spans="1:38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499"/>
      <c r="AF677" s="500"/>
      <c r="AG677" s="500"/>
      <c r="AH677" s="501"/>
      <c r="AK677" s="229" t="str">
        <f>IF(OR(A677="",A677="[ALL]", A677="[ALL J]", A677="[ALL G]"),"",MAX(AK$3:AK676)+1)</f>
        <v/>
      </c>
      <c r="AL677" s="229" t="str">
        <f t="shared" si="10"/>
        <v/>
      </c>
    </row>
    <row r="678" spans="1:38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499"/>
      <c r="AF678" s="500"/>
      <c r="AG678" s="500"/>
      <c r="AH678" s="501"/>
      <c r="AK678" s="229" t="str">
        <f>IF(OR(A678="",A678="[ALL]", A678="[ALL J]", A678="[ALL G]"),"",MAX(AK$3:AK677)+1)</f>
        <v/>
      </c>
      <c r="AL678" s="229" t="str">
        <f t="shared" si="10"/>
        <v/>
      </c>
    </row>
    <row r="679" spans="1:38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499"/>
      <c r="AF679" s="500"/>
      <c r="AG679" s="500"/>
      <c r="AH679" s="501"/>
      <c r="AK679" s="229" t="str">
        <f>IF(OR(A679="",A679="[ALL]", A679="[ALL J]", A679="[ALL G]"),"",MAX(AK$3:AK678)+1)</f>
        <v/>
      </c>
      <c r="AL679" s="229" t="str">
        <f t="shared" si="10"/>
        <v/>
      </c>
    </row>
    <row r="680" spans="1:38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499"/>
      <c r="AF680" s="500"/>
      <c r="AG680" s="500"/>
      <c r="AH680" s="501"/>
      <c r="AK680" s="229" t="str">
        <f>IF(OR(A680="",A680="[ALL]", A680="[ALL J]", A680="[ALL G]"),"",MAX(AK$3:AK679)+1)</f>
        <v/>
      </c>
      <c r="AL680" s="229" t="str">
        <f t="shared" si="10"/>
        <v/>
      </c>
    </row>
    <row r="681" spans="1:38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499"/>
      <c r="AF681" s="500"/>
      <c r="AG681" s="500"/>
      <c r="AH681" s="501"/>
      <c r="AK681" s="229" t="str">
        <f>IF(OR(A681="",A681="[ALL]", A681="[ALL J]", A681="[ALL G]"),"",MAX(AK$3:AK680)+1)</f>
        <v/>
      </c>
      <c r="AL681" s="229" t="str">
        <f t="shared" si="10"/>
        <v/>
      </c>
    </row>
    <row r="682" spans="1:38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499"/>
      <c r="AF682" s="500"/>
      <c r="AG682" s="500"/>
      <c r="AH682" s="501"/>
      <c r="AK682" s="229" t="str">
        <f>IF(OR(A682="",A682="[ALL]", A682="[ALL J]", A682="[ALL G]"),"",MAX(AK$3:AK681)+1)</f>
        <v/>
      </c>
      <c r="AL682" s="229" t="str">
        <f t="shared" si="10"/>
        <v/>
      </c>
    </row>
    <row r="683" spans="1:38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499"/>
      <c r="AF683" s="500"/>
      <c r="AG683" s="500"/>
      <c r="AH683" s="501"/>
      <c r="AK683" s="229" t="str">
        <f>IF(OR(A683="",A683="[ALL]", A683="[ALL J]", A683="[ALL G]"),"",MAX(AK$3:AK682)+1)</f>
        <v/>
      </c>
      <c r="AL683" s="229" t="str">
        <f t="shared" si="10"/>
        <v/>
      </c>
    </row>
    <row r="684" spans="1:38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499"/>
      <c r="AF684" s="500"/>
      <c r="AG684" s="500"/>
      <c r="AH684" s="501"/>
      <c r="AK684" s="229" t="str">
        <f>IF(OR(A684="",A684="[ALL]", A684="[ALL J]", A684="[ALL G]"),"",MAX(AK$3:AK683)+1)</f>
        <v/>
      </c>
      <c r="AL684" s="229" t="str">
        <f t="shared" si="10"/>
        <v/>
      </c>
    </row>
    <row r="685" spans="1:38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499"/>
      <c r="AF685" s="500"/>
      <c r="AG685" s="500"/>
      <c r="AH685" s="501"/>
      <c r="AK685" s="229" t="str">
        <f>IF(OR(A685="",A685="[ALL]", A685="[ALL J]", A685="[ALL G]"),"",MAX(AK$3:AK684)+1)</f>
        <v/>
      </c>
      <c r="AL685" s="229" t="str">
        <f t="shared" si="10"/>
        <v/>
      </c>
    </row>
    <row r="686" spans="1:38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499"/>
      <c r="AF686" s="500"/>
      <c r="AG686" s="500"/>
      <c r="AH686" s="501"/>
      <c r="AK686" s="229" t="str">
        <f>IF(OR(A686="",A686="[ALL]", A686="[ALL J]", A686="[ALL G]"),"",MAX(AK$3:AK685)+1)</f>
        <v/>
      </c>
      <c r="AL686" s="229" t="str">
        <f t="shared" si="10"/>
        <v/>
      </c>
    </row>
    <row r="687" spans="1:38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499"/>
      <c r="AF687" s="500"/>
      <c r="AG687" s="500"/>
      <c r="AH687" s="501"/>
      <c r="AK687" s="229" t="str">
        <f>IF(OR(A687="",A687="[ALL]", A687="[ALL J]", A687="[ALL G]"),"",MAX(AK$3:AK686)+1)</f>
        <v/>
      </c>
      <c r="AL687" s="229" t="str">
        <f t="shared" si="10"/>
        <v/>
      </c>
    </row>
    <row r="688" spans="1:38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499"/>
      <c r="AF688" s="500"/>
      <c r="AG688" s="500"/>
      <c r="AH688" s="501"/>
      <c r="AK688" s="229" t="str">
        <f>IF(OR(A688="",A688="[ALL]", A688="[ALL J]", A688="[ALL G]"),"",MAX(AK$3:AK687)+1)</f>
        <v/>
      </c>
      <c r="AL688" s="229" t="str">
        <f t="shared" si="10"/>
        <v/>
      </c>
    </row>
    <row r="689" spans="1:38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499"/>
      <c r="AF689" s="500"/>
      <c r="AG689" s="500"/>
      <c r="AH689" s="501"/>
      <c r="AK689" s="229" t="str">
        <f>IF(OR(A689="",A689="[ALL]", A689="[ALL J]", A689="[ALL G]"),"",MAX(AK$3:AK688)+1)</f>
        <v/>
      </c>
      <c r="AL689" s="229" t="str">
        <f t="shared" si="10"/>
        <v/>
      </c>
    </row>
    <row r="690" spans="1:38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499"/>
      <c r="AF690" s="500"/>
      <c r="AG690" s="500"/>
      <c r="AH690" s="501"/>
      <c r="AK690" s="229" t="str">
        <f>IF(OR(A690="",A690="[ALL]", A690="[ALL J]", A690="[ALL G]"),"",MAX(AK$3:AK689)+1)</f>
        <v/>
      </c>
      <c r="AL690" s="229" t="str">
        <f t="shared" si="10"/>
        <v/>
      </c>
    </row>
    <row r="691" spans="1:38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499"/>
      <c r="AF691" s="500"/>
      <c r="AG691" s="500"/>
      <c r="AH691" s="501"/>
      <c r="AK691" s="229" t="str">
        <f>IF(OR(A691="",A691="[ALL]", A691="[ALL J]", A691="[ALL G]"),"",MAX(AK$3:AK690)+1)</f>
        <v/>
      </c>
      <c r="AL691" s="229" t="str">
        <f t="shared" si="10"/>
        <v/>
      </c>
    </row>
    <row r="692" spans="1:38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499"/>
      <c r="AF692" s="500"/>
      <c r="AG692" s="500"/>
      <c r="AH692" s="501"/>
      <c r="AK692" s="229" t="str">
        <f>IF(OR(A692="",A692="[ALL]", A692="[ALL J]", A692="[ALL G]"),"",MAX(AK$3:AK691)+1)</f>
        <v/>
      </c>
      <c r="AL692" s="229" t="str">
        <f t="shared" si="10"/>
        <v/>
      </c>
    </row>
    <row r="693" spans="1:38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499"/>
      <c r="AF693" s="500"/>
      <c r="AG693" s="500"/>
      <c r="AH693" s="501"/>
      <c r="AK693" s="229" t="str">
        <f>IF(OR(A693="",A693="[ALL]", A693="[ALL J]", A693="[ALL G]"),"",MAX(AK$3:AK692)+1)</f>
        <v/>
      </c>
      <c r="AL693" s="229" t="str">
        <f t="shared" si="10"/>
        <v/>
      </c>
    </row>
    <row r="694" spans="1:38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499"/>
      <c r="AF694" s="500"/>
      <c r="AG694" s="500"/>
      <c r="AH694" s="501"/>
      <c r="AK694" s="229" t="str">
        <f>IF(OR(A694="",A694="[ALL]", A694="[ALL J]", A694="[ALL G]"),"",MAX(AK$3:AK693)+1)</f>
        <v/>
      </c>
      <c r="AL694" s="229" t="str">
        <f t="shared" si="10"/>
        <v/>
      </c>
    </row>
    <row r="695" spans="1:38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499"/>
      <c r="AF695" s="500"/>
      <c r="AG695" s="500"/>
      <c r="AH695" s="501"/>
      <c r="AK695" s="229" t="str">
        <f>IF(OR(A695="",A695="[ALL]", A695="[ALL J]", A695="[ALL G]"),"",MAX(AK$3:AK694)+1)</f>
        <v/>
      </c>
      <c r="AL695" s="229" t="str">
        <f t="shared" si="10"/>
        <v/>
      </c>
    </row>
    <row r="696" spans="1:38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499"/>
      <c r="AF696" s="500"/>
      <c r="AG696" s="500"/>
      <c r="AH696" s="501"/>
      <c r="AK696" s="229" t="str">
        <f>IF(OR(A696="",A696="[ALL]", A696="[ALL J]", A696="[ALL G]"),"",MAX(AK$3:AK695)+1)</f>
        <v/>
      </c>
      <c r="AL696" s="229" t="str">
        <f t="shared" si="10"/>
        <v/>
      </c>
    </row>
    <row r="697" spans="1:38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499"/>
      <c r="AF697" s="500"/>
      <c r="AG697" s="500"/>
      <c r="AH697" s="501"/>
      <c r="AK697" s="229" t="str">
        <f>IF(OR(A697="",A697="[ALL]", A697="[ALL J]", A697="[ALL G]"),"",MAX(AK$3:AK696)+1)</f>
        <v/>
      </c>
      <c r="AL697" s="229" t="str">
        <f t="shared" si="10"/>
        <v/>
      </c>
    </row>
    <row r="698" spans="1:38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499"/>
      <c r="AF698" s="500"/>
      <c r="AG698" s="500"/>
      <c r="AH698" s="501"/>
      <c r="AK698" s="229" t="str">
        <f>IF(OR(A698="",A698="[ALL]", A698="[ALL J]", A698="[ALL G]"),"",MAX(AK$3:AK697)+1)</f>
        <v/>
      </c>
      <c r="AL698" s="229" t="str">
        <f t="shared" si="10"/>
        <v/>
      </c>
    </row>
    <row r="699" spans="1:38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499"/>
      <c r="AF699" s="500"/>
      <c r="AG699" s="500"/>
      <c r="AH699" s="501"/>
      <c r="AK699" s="229" t="str">
        <f>IF(OR(A699="",A699="[ALL]", A699="[ALL J]", A699="[ALL G]"),"",MAX(AK$3:AK698)+1)</f>
        <v/>
      </c>
      <c r="AL699" s="229" t="str">
        <f t="shared" si="10"/>
        <v/>
      </c>
    </row>
    <row r="700" spans="1:38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499"/>
      <c r="AF700" s="500"/>
      <c r="AG700" s="500"/>
      <c r="AH700" s="501"/>
      <c r="AK700" s="229" t="str">
        <f>IF(OR(A700="",A700="[ALL]", A700="[ALL J]", A700="[ALL G]"),"",MAX(AK$3:AK699)+1)</f>
        <v/>
      </c>
      <c r="AL700" s="229" t="str">
        <f t="shared" si="10"/>
        <v/>
      </c>
    </row>
    <row r="701" spans="1:38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499"/>
      <c r="AF701" s="500"/>
      <c r="AG701" s="500"/>
      <c r="AH701" s="501"/>
      <c r="AK701" s="229" t="str">
        <f>IF(OR(A701="",A701="[ALL]", A701="[ALL J]", A701="[ALL G]"),"",MAX(AK$3:AK700)+1)</f>
        <v/>
      </c>
      <c r="AL701" s="229" t="str">
        <f t="shared" si="10"/>
        <v/>
      </c>
    </row>
    <row r="702" spans="1:38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499"/>
      <c r="AF702" s="500"/>
      <c r="AG702" s="500"/>
      <c r="AH702" s="501"/>
      <c r="AK702" s="229" t="str">
        <f>IF(OR(A702="",A702="[ALL]", A702="[ALL J]", A702="[ALL G]"),"",MAX(AK$3:AK701)+1)</f>
        <v/>
      </c>
      <c r="AL702" s="229" t="str">
        <f t="shared" si="10"/>
        <v/>
      </c>
    </row>
    <row r="703" spans="1:38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499"/>
      <c r="AF703" s="500"/>
      <c r="AG703" s="500"/>
      <c r="AH703" s="501"/>
      <c r="AK703" s="229" t="str">
        <f>IF(OR(A703="",A703="[ALL]", A703="[ALL J]", A703="[ALL G]"),"",MAX(AK$3:AK702)+1)</f>
        <v/>
      </c>
      <c r="AL703" s="229" t="str">
        <f t="shared" si="10"/>
        <v/>
      </c>
    </row>
    <row r="704" spans="1:38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499"/>
      <c r="AF704" s="500"/>
      <c r="AG704" s="500"/>
      <c r="AH704" s="501"/>
      <c r="AK704" s="229" t="str">
        <f>IF(OR(A704="",A704="[ALL]", A704="[ALL J]", A704="[ALL G]"),"",MAX(AK$3:AK703)+1)</f>
        <v/>
      </c>
      <c r="AL704" s="229" t="str">
        <f t="shared" si="10"/>
        <v/>
      </c>
    </row>
    <row r="705" spans="1:38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499"/>
      <c r="AF705" s="500"/>
      <c r="AG705" s="500"/>
      <c r="AH705" s="501"/>
      <c r="AK705" s="229" t="str">
        <f>IF(OR(A705="",A705="[ALL]", A705="[ALL J]", A705="[ALL G]"),"",MAX(AK$3:AK704)+1)</f>
        <v/>
      </c>
      <c r="AL705" s="229" t="str">
        <f t="shared" si="10"/>
        <v/>
      </c>
    </row>
    <row r="706" spans="1:38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499"/>
      <c r="AF706" s="500"/>
      <c r="AG706" s="500"/>
      <c r="AH706" s="501"/>
      <c r="AK706" s="229" t="str">
        <f>IF(OR(A706="",A706="[ALL]", A706="[ALL J]", A706="[ALL G]"),"",MAX(AK$3:AK705)+1)</f>
        <v/>
      </c>
      <c r="AL706" s="229" t="str">
        <f t="shared" si="10"/>
        <v/>
      </c>
    </row>
    <row r="707" spans="1:38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499"/>
      <c r="AF707" s="500"/>
      <c r="AG707" s="500"/>
      <c r="AH707" s="501"/>
      <c r="AK707" s="229" t="str">
        <f>IF(OR(A707="",A707="[ALL]", A707="[ALL J]", A707="[ALL G]"),"",MAX(AK$3:AK706)+1)</f>
        <v/>
      </c>
      <c r="AL707" s="229" t="str">
        <f t="shared" si="10"/>
        <v/>
      </c>
    </row>
    <row r="708" spans="1:38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499"/>
      <c r="AF708" s="500"/>
      <c r="AG708" s="500"/>
      <c r="AH708" s="501"/>
      <c r="AK708" s="229" t="str">
        <f>IF(OR(A708="",A708="[ALL]", A708="[ALL J]", A708="[ALL G]"),"",MAX(AK$3:AK707)+1)</f>
        <v/>
      </c>
      <c r="AL708" s="229" t="str">
        <f t="shared" si="10"/>
        <v/>
      </c>
    </row>
    <row r="709" spans="1:38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499"/>
      <c r="AF709" s="500"/>
      <c r="AG709" s="500"/>
      <c r="AH709" s="501"/>
      <c r="AK709" s="229" t="str">
        <f>IF(OR(A709="",A709="[ALL]", A709="[ALL J]", A709="[ALL G]"),"",MAX(AK$3:AK708)+1)</f>
        <v/>
      </c>
      <c r="AL709" s="229" t="str">
        <f t="shared" ref="AL709:AL772" si="11">IFERROR(INDEX($A$4:$A$1000,MATCH(ROW()-ROW($AL$3),$AK$4:$AK$1000,0)),"")</f>
        <v/>
      </c>
    </row>
    <row r="710" spans="1:38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499"/>
      <c r="AF710" s="500"/>
      <c r="AG710" s="500"/>
      <c r="AH710" s="501"/>
      <c r="AK710" s="229" t="str">
        <f>IF(OR(A710="",A710="[ALL]", A710="[ALL J]", A710="[ALL G]"),"",MAX(AK$3:AK709)+1)</f>
        <v/>
      </c>
      <c r="AL710" s="229" t="str">
        <f t="shared" si="11"/>
        <v/>
      </c>
    </row>
    <row r="711" spans="1:38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499"/>
      <c r="AF711" s="500"/>
      <c r="AG711" s="500"/>
      <c r="AH711" s="501"/>
      <c r="AK711" s="229" t="str">
        <f>IF(OR(A711="",A711="[ALL]", A711="[ALL J]", A711="[ALL G]"),"",MAX(AK$3:AK710)+1)</f>
        <v/>
      </c>
      <c r="AL711" s="229" t="str">
        <f t="shared" si="11"/>
        <v/>
      </c>
    </row>
    <row r="712" spans="1:38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499"/>
      <c r="AF712" s="500"/>
      <c r="AG712" s="500"/>
      <c r="AH712" s="501"/>
      <c r="AK712" s="229" t="str">
        <f>IF(OR(A712="",A712="[ALL]", A712="[ALL J]", A712="[ALL G]"),"",MAX(AK$3:AK711)+1)</f>
        <v/>
      </c>
      <c r="AL712" s="229" t="str">
        <f t="shared" si="11"/>
        <v/>
      </c>
    </row>
    <row r="713" spans="1:38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499"/>
      <c r="AF713" s="500"/>
      <c r="AG713" s="500"/>
      <c r="AH713" s="501"/>
      <c r="AK713" s="229" t="str">
        <f>IF(OR(A713="",A713="[ALL]", A713="[ALL J]", A713="[ALL G]"),"",MAX(AK$3:AK712)+1)</f>
        <v/>
      </c>
      <c r="AL713" s="229" t="str">
        <f t="shared" si="11"/>
        <v/>
      </c>
    </row>
    <row r="714" spans="1:38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499"/>
      <c r="AF714" s="500"/>
      <c r="AG714" s="500"/>
      <c r="AH714" s="501"/>
      <c r="AK714" s="229" t="str">
        <f>IF(OR(A714="",A714="[ALL]", A714="[ALL J]", A714="[ALL G]"),"",MAX(AK$3:AK713)+1)</f>
        <v/>
      </c>
      <c r="AL714" s="229" t="str">
        <f t="shared" si="11"/>
        <v/>
      </c>
    </row>
    <row r="715" spans="1:38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499"/>
      <c r="AF715" s="500"/>
      <c r="AG715" s="500"/>
      <c r="AH715" s="501"/>
      <c r="AK715" s="229" t="str">
        <f>IF(OR(A715="",A715="[ALL]", A715="[ALL J]", A715="[ALL G]"),"",MAX(AK$3:AK714)+1)</f>
        <v/>
      </c>
      <c r="AL715" s="229" t="str">
        <f t="shared" si="11"/>
        <v/>
      </c>
    </row>
    <row r="716" spans="1:38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499"/>
      <c r="AF716" s="500"/>
      <c r="AG716" s="500"/>
      <c r="AH716" s="501"/>
      <c r="AK716" s="229" t="str">
        <f>IF(OR(A716="",A716="[ALL]", A716="[ALL J]", A716="[ALL G]"),"",MAX(AK$3:AK715)+1)</f>
        <v/>
      </c>
      <c r="AL716" s="229" t="str">
        <f t="shared" si="11"/>
        <v/>
      </c>
    </row>
    <row r="717" spans="1:38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499"/>
      <c r="AF717" s="500"/>
      <c r="AG717" s="500"/>
      <c r="AH717" s="501"/>
      <c r="AK717" s="229" t="str">
        <f>IF(OR(A717="",A717="[ALL]", A717="[ALL J]", A717="[ALL G]"),"",MAX(AK$3:AK716)+1)</f>
        <v/>
      </c>
      <c r="AL717" s="229" t="str">
        <f t="shared" si="11"/>
        <v/>
      </c>
    </row>
    <row r="718" spans="1:38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499"/>
      <c r="AF718" s="500"/>
      <c r="AG718" s="500"/>
      <c r="AH718" s="501"/>
      <c r="AK718" s="229" t="str">
        <f>IF(OR(A718="",A718="[ALL]", A718="[ALL J]", A718="[ALL G]"),"",MAX(AK$3:AK717)+1)</f>
        <v/>
      </c>
      <c r="AL718" s="229" t="str">
        <f t="shared" si="11"/>
        <v/>
      </c>
    </row>
    <row r="719" spans="1:38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499"/>
      <c r="AF719" s="500"/>
      <c r="AG719" s="500"/>
      <c r="AH719" s="501"/>
      <c r="AK719" s="229" t="str">
        <f>IF(OR(A719="",A719="[ALL]", A719="[ALL J]", A719="[ALL G]"),"",MAX(AK$3:AK718)+1)</f>
        <v/>
      </c>
      <c r="AL719" s="229" t="str">
        <f t="shared" si="11"/>
        <v/>
      </c>
    </row>
    <row r="720" spans="1:38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499"/>
      <c r="AF720" s="500"/>
      <c r="AG720" s="500"/>
      <c r="AH720" s="501"/>
      <c r="AK720" s="229" t="str">
        <f>IF(OR(A720="",A720="[ALL]", A720="[ALL J]", A720="[ALL G]"),"",MAX(AK$3:AK719)+1)</f>
        <v/>
      </c>
      <c r="AL720" s="229" t="str">
        <f t="shared" si="11"/>
        <v/>
      </c>
    </row>
    <row r="721" spans="1:38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499"/>
      <c r="AF721" s="500"/>
      <c r="AG721" s="500"/>
      <c r="AH721" s="501"/>
      <c r="AK721" s="229" t="str">
        <f>IF(OR(A721="",A721="[ALL]", A721="[ALL J]", A721="[ALL G]"),"",MAX(AK$3:AK720)+1)</f>
        <v/>
      </c>
      <c r="AL721" s="229" t="str">
        <f t="shared" si="11"/>
        <v/>
      </c>
    </row>
    <row r="722" spans="1:38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499"/>
      <c r="AF722" s="500"/>
      <c r="AG722" s="500"/>
      <c r="AH722" s="501"/>
      <c r="AK722" s="229" t="str">
        <f>IF(OR(A722="",A722="[ALL]", A722="[ALL J]", A722="[ALL G]"),"",MAX(AK$3:AK721)+1)</f>
        <v/>
      </c>
      <c r="AL722" s="229" t="str">
        <f t="shared" si="11"/>
        <v/>
      </c>
    </row>
    <row r="723" spans="1:38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499"/>
      <c r="AF723" s="500"/>
      <c r="AG723" s="500"/>
      <c r="AH723" s="501"/>
      <c r="AK723" s="229" t="str">
        <f>IF(OR(A723="",A723="[ALL]", A723="[ALL J]", A723="[ALL G]"),"",MAX(AK$3:AK722)+1)</f>
        <v/>
      </c>
      <c r="AL723" s="229" t="str">
        <f t="shared" si="11"/>
        <v/>
      </c>
    </row>
    <row r="724" spans="1:38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499"/>
      <c r="AF724" s="500"/>
      <c r="AG724" s="500"/>
      <c r="AH724" s="501"/>
      <c r="AK724" s="229" t="str">
        <f>IF(OR(A724="",A724="[ALL]", A724="[ALL J]", A724="[ALL G]"),"",MAX(AK$3:AK723)+1)</f>
        <v/>
      </c>
      <c r="AL724" s="229" t="str">
        <f t="shared" si="11"/>
        <v/>
      </c>
    </row>
    <row r="725" spans="1:38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499"/>
      <c r="AF725" s="500"/>
      <c r="AG725" s="500"/>
      <c r="AH725" s="501"/>
      <c r="AK725" s="229" t="str">
        <f>IF(OR(A725="",A725="[ALL]", A725="[ALL J]", A725="[ALL G]"),"",MAX(AK$3:AK724)+1)</f>
        <v/>
      </c>
      <c r="AL725" s="229" t="str">
        <f t="shared" si="11"/>
        <v/>
      </c>
    </row>
    <row r="726" spans="1:38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499"/>
      <c r="AF726" s="500"/>
      <c r="AG726" s="500"/>
      <c r="AH726" s="501"/>
      <c r="AK726" s="229" t="str">
        <f>IF(OR(A726="",A726="[ALL]", A726="[ALL J]", A726="[ALL G]"),"",MAX(AK$3:AK725)+1)</f>
        <v/>
      </c>
      <c r="AL726" s="229" t="str">
        <f t="shared" si="11"/>
        <v/>
      </c>
    </row>
    <row r="727" spans="1:38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499"/>
      <c r="AF727" s="500"/>
      <c r="AG727" s="500"/>
      <c r="AH727" s="501"/>
      <c r="AK727" s="229" t="str">
        <f>IF(OR(A727="",A727="[ALL]", A727="[ALL J]", A727="[ALL G]"),"",MAX(AK$3:AK726)+1)</f>
        <v/>
      </c>
      <c r="AL727" s="229" t="str">
        <f t="shared" si="11"/>
        <v/>
      </c>
    </row>
    <row r="728" spans="1:38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499"/>
      <c r="AF728" s="500"/>
      <c r="AG728" s="500"/>
      <c r="AH728" s="501"/>
      <c r="AK728" s="229" t="str">
        <f>IF(OR(A728="",A728="[ALL]", A728="[ALL J]", A728="[ALL G]"),"",MAX(AK$3:AK727)+1)</f>
        <v/>
      </c>
      <c r="AL728" s="229" t="str">
        <f t="shared" si="11"/>
        <v/>
      </c>
    </row>
    <row r="729" spans="1:38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499"/>
      <c r="AF729" s="500"/>
      <c r="AG729" s="500"/>
      <c r="AH729" s="501"/>
      <c r="AK729" s="229" t="str">
        <f>IF(OR(A729="",A729="[ALL]", A729="[ALL J]", A729="[ALL G]"),"",MAX(AK$3:AK728)+1)</f>
        <v/>
      </c>
      <c r="AL729" s="229" t="str">
        <f t="shared" si="11"/>
        <v/>
      </c>
    </row>
    <row r="730" spans="1:38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499"/>
      <c r="AF730" s="500"/>
      <c r="AG730" s="500"/>
      <c r="AH730" s="501"/>
      <c r="AK730" s="229" t="str">
        <f>IF(OR(A730="",A730="[ALL]", A730="[ALL J]", A730="[ALL G]"),"",MAX(AK$3:AK729)+1)</f>
        <v/>
      </c>
      <c r="AL730" s="229" t="str">
        <f t="shared" si="11"/>
        <v/>
      </c>
    </row>
    <row r="731" spans="1:38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499"/>
      <c r="AF731" s="500"/>
      <c r="AG731" s="500"/>
      <c r="AH731" s="501"/>
      <c r="AK731" s="229" t="str">
        <f>IF(OR(A731="",A731="[ALL]", A731="[ALL J]", A731="[ALL G]"),"",MAX(AK$3:AK730)+1)</f>
        <v/>
      </c>
      <c r="AL731" s="229" t="str">
        <f t="shared" si="11"/>
        <v/>
      </c>
    </row>
    <row r="732" spans="1:38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499"/>
      <c r="AF732" s="500"/>
      <c r="AG732" s="500"/>
      <c r="AH732" s="501"/>
      <c r="AK732" s="229" t="str">
        <f>IF(OR(A732="",A732="[ALL]", A732="[ALL J]", A732="[ALL G]"),"",MAX(AK$3:AK731)+1)</f>
        <v/>
      </c>
      <c r="AL732" s="229" t="str">
        <f t="shared" si="11"/>
        <v/>
      </c>
    </row>
    <row r="733" spans="1:38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499"/>
      <c r="AF733" s="500"/>
      <c r="AG733" s="500"/>
      <c r="AH733" s="501"/>
      <c r="AK733" s="229" t="str">
        <f>IF(OR(A733="",A733="[ALL]", A733="[ALL J]", A733="[ALL G]"),"",MAX(AK$3:AK732)+1)</f>
        <v/>
      </c>
      <c r="AL733" s="229" t="str">
        <f t="shared" si="11"/>
        <v/>
      </c>
    </row>
    <row r="734" spans="1:38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499"/>
      <c r="AF734" s="500"/>
      <c r="AG734" s="500"/>
      <c r="AH734" s="501"/>
      <c r="AK734" s="229" t="str">
        <f>IF(OR(A734="",A734="[ALL]", A734="[ALL J]", A734="[ALL G]"),"",MAX(AK$3:AK733)+1)</f>
        <v/>
      </c>
      <c r="AL734" s="229" t="str">
        <f t="shared" si="11"/>
        <v/>
      </c>
    </row>
    <row r="735" spans="1:38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499"/>
      <c r="AF735" s="500"/>
      <c r="AG735" s="500"/>
      <c r="AH735" s="501"/>
      <c r="AK735" s="229" t="str">
        <f>IF(OR(A735="",A735="[ALL]", A735="[ALL J]", A735="[ALL G]"),"",MAX(AK$3:AK734)+1)</f>
        <v/>
      </c>
      <c r="AL735" s="229" t="str">
        <f t="shared" si="11"/>
        <v/>
      </c>
    </row>
    <row r="736" spans="1:38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499"/>
      <c r="AF736" s="500"/>
      <c r="AG736" s="500"/>
      <c r="AH736" s="501"/>
      <c r="AK736" s="229" t="str">
        <f>IF(OR(A736="",A736="[ALL]", A736="[ALL J]", A736="[ALL G]"),"",MAX(AK$3:AK735)+1)</f>
        <v/>
      </c>
      <c r="AL736" s="229" t="str">
        <f t="shared" si="11"/>
        <v/>
      </c>
    </row>
    <row r="737" spans="1:38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499"/>
      <c r="AF737" s="500"/>
      <c r="AG737" s="500"/>
      <c r="AH737" s="501"/>
      <c r="AK737" s="229" t="str">
        <f>IF(OR(A737="",A737="[ALL]", A737="[ALL J]", A737="[ALL G]"),"",MAX(AK$3:AK736)+1)</f>
        <v/>
      </c>
      <c r="AL737" s="229" t="str">
        <f t="shared" si="11"/>
        <v/>
      </c>
    </row>
    <row r="738" spans="1:38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499"/>
      <c r="AF738" s="500"/>
      <c r="AG738" s="500"/>
      <c r="AH738" s="501"/>
      <c r="AK738" s="229" t="str">
        <f>IF(OR(A738="",A738="[ALL]", A738="[ALL J]", A738="[ALL G]"),"",MAX(AK$3:AK737)+1)</f>
        <v/>
      </c>
      <c r="AL738" s="229" t="str">
        <f t="shared" si="11"/>
        <v/>
      </c>
    </row>
    <row r="739" spans="1:38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499"/>
      <c r="AF739" s="500"/>
      <c r="AG739" s="500"/>
      <c r="AH739" s="501"/>
      <c r="AK739" s="229" t="str">
        <f>IF(OR(A739="",A739="[ALL]", A739="[ALL J]", A739="[ALL G]"),"",MAX(AK$3:AK738)+1)</f>
        <v/>
      </c>
      <c r="AL739" s="229" t="str">
        <f t="shared" si="11"/>
        <v/>
      </c>
    </row>
    <row r="740" spans="1:38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499"/>
      <c r="AF740" s="500"/>
      <c r="AG740" s="500"/>
      <c r="AH740" s="501"/>
      <c r="AK740" s="229" t="str">
        <f>IF(OR(A740="",A740="[ALL]", A740="[ALL J]", A740="[ALL G]"),"",MAX(AK$3:AK739)+1)</f>
        <v/>
      </c>
      <c r="AL740" s="229" t="str">
        <f t="shared" si="11"/>
        <v/>
      </c>
    </row>
    <row r="741" spans="1:38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499"/>
      <c r="AF741" s="500"/>
      <c r="AG741" s="500"/>
      <c r="AH741" s="501"/>
      <c r="AK741" s="229" t="str">
        <f>IF(OR(A741="",A741="[ALL]", A741="[ALL J]", A741="[ALL G]"),"",MAX(AK$3:AK740)+1)</f>
        <v/>
      </c>
      <c r="AL741" s="229" t="str">
        <f t="shared" si="11"/>
        <v/>
      </c>
    </row>
    <row r="742" spans="1:38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499"/>
      <c r="AF742" s="500"/>
      <c r="AG742" s="500"/>
      <c r="AH742" s="501"/>
      <c r="AK742" s="229" t="str">
        <f>IF(OR(A742="",A742="[ALL]", A742="[ALL J]", A742="[ALL G]"),"",MAX(AK$3:AK741)+1)</f>
        <v/>
      </c>
      <c r="AL742" s="229" t="str">
        <f t="shared" si="11"/>
        <v/>
      </c>
    </row>
    <row r="743" spans="1:38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499"/>
      <c r="AF743" s="500"/>
      <c r="AG743" s="500"/>
      <c r="AH743" s="501"/>
      <c r="AK743" s="229" t="str">
        <f>IF(OR(A743="",A743="[ALL]", A743="[ALL J]", A743="[ALL G]"),"",MAX(AK$3:AK742)+1)</f>
        <v/>
      </c>
      <c r="AL743" s="229" t="str">
        <f t="shared" si="11"/>
        <v/>
      </c>
    </row>
    <row r="744" spans="1:38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499"/>
      <c r="AF744" s="500"/>
      <c r="AG744" s="500"/>
      <c r="AH744" s="501"/>
      <c r="AK744" s="229" t="str">
        <f>IF(OR(A744="",A744="[ALL]", A744="[ALL J]", A744="[ALL G]"),"",MAX(AK$3:AK743)+1)</f>
        <v/>
      </c>
      <c r="AL744" s="229" t="str">
        <f t="shared" si="11"/>
        <v/>
      </c>
    </row>
    <row r="745" spans="1:38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499"/>
      <c r="AF745" s="500"/>
      <c r="AG745" s="500"/>
      <c r="AH745" s="501"/>
      <c r="AK745" s="229" t="str">
        <f>IF(OR(A745="",A745="[ALL]", A745="[ALL J]", A745="[ALL G]"),"",MAX(AK$3:AK744)+1)</f>
        <v/>
      </c>
      <c r="AL745" s="229" t="str">
        <f t="shared" si="11"/>
        <v/>
      </c>
    </row>
    <row r="746" spans="1:38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499"/>
      <c r="AF746" s="500"/>
      <c r="AG746" s="500"/>
      <c r="AH746" s="501"/>
      <c r="AK746" s="229" t="str">
        <f>IF(OR(A746="",A746="[ALL]", A746="[ALL J]", A746="[ALL G]"),"",MAX(AK$3:AK745)+1)</f>
        <v/>
      </c>
      <c r="AL746" s="229" t="str">
        <f t="shared" si="11"/>
        <v/>
      </c>
    </row>
    <row r="747" spans="1:38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499"/>
      <c r="AF747" s="500"/>
      <c r="AG747" s="500"/>
      <c r="AH747" s="501"/>
      <c r="AK747" s="229" t="str">
        <f>IF(OR(A747="",A747="[ALL]", A747="[ALL J]", A747="[ALL G]"),"",MAX(AK$3:AK746)+1)</f>
        <v/>
      </c>
      <c r="AL747" s="229" t="str">
        <f t="shared" si="11"/>
        <v/>
      </c>
    </row>
    <row r="748" spans="1:38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499"/>
      <c r="AF748" s="500"/>
      <c r="AG748" s="500"/>
      <c r="AH748" s="501"/>
      <c r="AK748" s="229" t="str">
        <f>IF(OR(A748="",A748="[ALL]", A748="[ALL J]", A748="[ALL G]"),"",MAX(AK$3:AK747)+1)</f>
        <v/>
      </c>
      <c r="AL748" s="229" t="str">
        <f t="shared" si="11"/>
        <v/>
      </c>
    </row>
    <row r="749" spans="1:38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499"/>
      <c r="AF749" s="500"/>
      <c r="AG749" s="500"/>
      <c r="AH749" s="501"/>
      <c r="AK749" s="229" t="str">
        <f>IF(OR(A749="",A749="[ALL]", A749="[ALL J]", A749="[ALL G]"),"",MAX(AK$3:AK748)+1)</f>
        <v/>
      </c>
      <c r="AL749" s="229" t="str">
        <f t="shared" si="11"/>
        <v/>
      </c>
    </row>
    <row r="750" spans="1:38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499"/>
      <c r="AF750" s="500"/>
      <c r="AG750" s="500"/>
      <c r="AH750" s="501"/>
      <c r="AK750" s="229" t="str">
        <f>IF(OR(A750="",A750="[ALL]", A750="[ALL J]", A750="[ALL G]"),"",MAX(AK$3:AK749)+1)</f>
        <v/>
      </c>
      <c r="AL750" s="229" t="str">
        <f t="shared" si="11"/>
        <v/>
      </c>
    </row>
    <row r="751" spans="1:38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499"/>
      <c r="AF751" s="500"/>
      <c r="AG751" s="500"/>
      <c r="AH751" s="501"/>
      <c r="AK751" s="229" t="str">
        <f>IF(OR(A751="",A751="[ALL]", A751="[ALL J]", A751="[ALL G]"),"",MAX(AK$3:AK750)+1)</f>
        <v/>
      </c>
      <c r="AL751" s="229" t="str">
        <f t="shared" si="11"/>
        <v/>
      </c>
    </row>
    <row r="752" spans="1:38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499"/>
      <c r="AF752" s="500"/>
      <c r="AG752" s="500"/>
      <c r="AH752" s="501"/>
      <c r="AK752" s="229" t="str">
        <f>IF(OR(A752="",A752="[ALL]", A752="[ALL J]", A752="[ALL G]"),"",MAX(AK$3:AK751)+1)</f>
        <v/>
      </c>
      <c r="AL752" s="229" t="str">
        <f t="shared" si="11"/>
        <v/>
      </c>
    </row>
    <row r="753" spans="1:38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499"/>
      <c r="AF753" s="500"/>
      <c r="AG753" s="500"/>
      <c r="AH753" s="501"/>
      <c r="AK753" s="229" t="str">
        <f>IF(OR(A753="",A753="[ALL]", A753="[ALL J]", A753="[ALL G]"),"",MAX(AK$3:AK752)+1)</f>
        <v/>
      </c>
      <c r="AL753" s="229" t="str">
        <f t="shared" si="11"/>
        <v/>
      </c>
    </row>
    <row r="754" spans="1:38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499"/>
      <c r="AF754" s="500"/>
      <c r="AG754" s="500"/>
      <c r="AH754" s="501"/>
      <c r="AK754" s="229" t="str">
        <f>IF(OR(A754="",A754="[ALL]", A754="[ALL J]", A754="[ALL G]"),"",MAX(AK$3:AK753)+1)</f>
        <v/>
      </c>
      <c r="AL754" s="229" t="str">
        <f t="shared" si="11"/>
        <v/>
      </c>
    </row>
    <row r="755" spans="1:38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499"/>
      <c r="AF755" s="500"/>
      <c r="AG755" s="500"/>
      <c r="AH755" s="501"/>
      <c r="AK755" s="229" t="str">
        <f>IF(OR(A755="",A755="[ALL]", A755="[ALL J]", A755="[ALL G]"),"",MAX(AK$3:AK754)+1)</f>
        <v/>
      </c>
      <c r="AL755" s="229" t="str">
        <f t="shared" si="11"/>
        <v/>
      </c>
    </row>
    <row r="756" spans="1:38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499"/>
      <c r="AF756" s="500"/>
      <c r="AG756" s="500"/>
      <c r="AH756" s="501"/>
      <c r="AK756" s="229" t="str">
        <f>IF(OR(A756="",A756="[ALL]", A756="[ALL J]", A756="[ALL G]"),"",MAX(AK$3:AK755)+1)</f>
        <v/>
      </c>
      <c r="AL756" s="229" t="str">
        <f t="shared" si="11"/>
        <v/>
      </c>
    </row>
    <row r="757" spans="1:38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499"/>
      <c r="AF757" s="500"/>
      <c r="AG757" s="500"/>
      <c r="AH757" s="501"/>
      <c r="AK757" s="229" t="str">
        <f>IF(OR(A757="",A757="[ALL]", A757="[ALL J]", A757="[ALL G]"),"",MAX(AK$3:AK756)+1)</f>
        <v/>
      </c>
      <c r="AL757" s="229" t="str">
        <f t="shared" si="11"/>
        <v/>
      </c>
    </row>
    <row r="758" spans="1:38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499"/>
      <c r="AF758" s="500"/>
      <c r="AG758" s="500"/>
      <c r="AH758" s="501"/>
      <c r="AK758" s="229" t="str">
        <f>IF(OR(A758="",A758="[ALL]", A758="[ALL J]", A758="[ALL G]"),"",MAX(AK$3:AK757)+1)</f>
        <v/>
      </c>
      <c r="AL758" s="229" t="str">
        <f t="shared" si="11"/>
        <v/>
      </c>
    </row>
    <row r="759" spans="1:38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499"/>
      <c r="AF759" s="500"/>
      <c r="AG759" s="500"/>
      <c r="AH759" s="501"/>
      <c r="AK759" s="229" t="str">
        <f>IF(OR(A759="",A759="[ALL]", A759="[ALL J]", A759="[ALL G]"),"",MAX(AK$3:AK758)+1)</f>
        <v/>
      </c>
      <c r="AL759" s="229" t="str">
        <f t="shared" si="11"/>
        <v/>
      </c>
    </row>
    <row r="760" spans="1:38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499"/>
      <c r="AF760" s="500"/>
      <c r="AG760" s="500"/>
      <c r="AH760" s="501"/>
      <c r="AK760" s="229" t="str">
        <f>IF(OR(A760="",A760="[ALL]", A760="[ALL J]", A760="[ALL G]"),"",MAX(AK$3:AK759)+1)</f>
        <v/>
      </c>
      <c r="AL760" s="229" t="str">
        <f t="shared" si="11"/>
        <v/>
      </c>
    </row>
    <row r="761" spans="1:38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499"/>
      <c r="AF761" s="500"/>
      <c r="AG761" s="500"/>
      <c r="AH761" s="501"/>
      <c r="AK761" s="229" t="str">
        <f>IF(OR(A761="",A761="[ALL]", A761="[ALL J]", A761="[ALL G]"),"",MAX(AK$3:AK760)+1)</f>
        <v/>
      </c>
      <c r="AL761" s="229" t="str">
        <f t="shared" si="11"/>
        <v/>
      </c>
    </row>
    <row r="762" spans="1:38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499"/>
      <c r="AF762" s="500"/>
      <c r="AG762" s="500"/>
      <c r="AH762" s="501"/>
      <c r="AK762" s="229" t="str">
        <f>IF(OR(A762="",A762="[ALL]", A762="[ALL J]", A762="[ALL G]"),"",MAX(AK$3:AK761)+1)</f>
        <v/>
      </c>
      <c r="AL762" s="229" t="str">
        <f t="shared" si="11"/>
        <v/>
      </c>
    </row>
    <row r="763" spans="1:38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499"/>
      <c r="AF763" s="500"/>
      <c r="AG763" s="500"/>
      <c r="AH763" s="501"/>
      <c r="AK763" s="229" t="str">
        <f>IF(OR(A763="",A763="[ALL]", A763="[ALL J]", A763="[ALL G]"),"",MAX(AK$3:AK762)+1)</f>
        <v/>
      </c>
      <c r="AL763" s="229" t="str">
        <f t="shared" si="11"/>
        <v/>
      </c>
    </row>
    <row r="764" spans="1:38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499"/>
      <c r="AF764" s="500"/>
      <c r="AG764" s="500"/>
      <c r="AH764" s="501"/>
      <c r="AK764" s="229" t="str">
        <f>IF(OR(A764="",A764="[ALL]", A764="[ALL J]", A764="[ALL G]"),"",MAX(AK$3:AK763)+1)</f>
        <v/>
      </c>
      <c r="AL764" s="229" t="str">
        <f t="shared" si="11"/>
        <v/>
      </c>
    </row>
    <row r="765" spans="1:38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499"/>
      <c r="AF765" s="500"/>
      <c r="AG765" s="500"/>
      <c r="AH765" s="501"/>
      <c r="AK765" s="229" t="str">
        <f>IF(OR(A765="",A765="[ALL]", A765="[ALL J]", A765="[ALL G]"),"",MAX(AK$3:AK764)+1)</f>
        <v/>
      </c>
      <c r="AL765" s="229" t="str">
        <f t="shared" si="11"/>
        <v/>
      </c>
    </row>
    <row r="766" spans="1:38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499"/>
      <c r="AF766" s="500"/>
      <c r="AG766" s="500"/>
      <c r="AH766" s="501"/>
      <c r="AK766" s="229" t="str">
        <f>IF(OR(A766="",A766="[ALL]", A766="[ALL J]", A766="[ALL G]"),"",MAX(AK$3:AK765)+1)</f>
        <v/>
      </c>
      <c r="AL766" s="229" t="str">
        <f t="shared" si="11"/>
        <v/>
      </c>
    </row>
    <row r="767" spans="1:38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499"/>
      <c r="AF767" s="500"/>
      <c r="AG767" s="500"/>
      <c r="AH767" s="501"/>
      <c r="AK767" s="229" t="str">
        <f>IF(OR(A767="",A767="[ALL]", A767="[ALL J]", A767="[ALL G]"),"",MAX(AK$3:AK766)+1)</f>
        <v/>
      </c>
      <c r="AL767" s="229" t="str">
        <f t="shared" si="11"/>
        <v/>
      </c>
    </row>
    <row r="768" spans="1:38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499"/>
      <c r="AF768" s="500"/>
      <c r="AG768" s="500"/>
      <c r="AH768" s="501"/>
      <c r="AK768" s="229" t="str">
        <f>IF(OR(A768="",A768="[ALL]", A768="[ALL J]", A768="[ALL G]"),"",MAX(AK$3:AK767)+1)</f>
        <v/>
      </c>
      <c r="AL768" s="229" t="str">
        <f t="shared" si="11"/>
        <v/>
      </c>
    </row>
    <row r="769" spans="1:38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499"/>
      <c r="AF769" s="500"/>
      <c r="AG769" s="500"/>
      <c r="AH769" s="501"/>
      <c r="AK769" s="229" t="str">
        <f>IF(OR(A769="",A769="[ALL]", A769="[ALL J]", A769="[ALL G]"),"",MAX(AK$3:AK768)+1)</f>
        <v/>
      </c>
      <c r="AL769" s="229" t="str">
        <f t="shared" si="11"/>
        <v/>
      </c>
    </row>
    <row r="770" spans="1:38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499"/>
      <c r="AF770" s="500"/>
      <c r="AG770" s="500"/>
      <c r="AH770" s="501"/>
      <c r="AK770" s="229" t="str">
        <f>IF(OR(A770="",A770="[ALL]", A770="[ALL J]", A770="[ALL G]"),"",MAX(AK$3:AK769)+1)</f>
        <v/>
      </c>
      <c r="AL770" s="229" t="str">
        <f t="shared" si="11"/>
        <v/>
      </c>
    </row>
    <row r="771" spans="1:38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499"/>
      <c r="AF771" s="500"/>
      <c r="AG771" s="500"/>
      <c r="AH771" s="501"/>
      <c r="AK771" s="229" t="str">
        <f>IF(OR(A771="",A771="[ALL]", A771="[ALL J]", A771="[ALL G]"),"",MAX(AK$3:AK770)+1)</f>
        <v/>
      </c>
      <c r="AL771" s="229" t="str">
        <f t="shared" si="11"/>
        <v/>
      </c>
    </row>
    <row r="772" spans="1:38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499"/>
      <c r="AF772" s="500"/>
      <c r="AG772" s="500"/>
      <c r="AH772" s="501"/>
      <c r="AK772" s="229" t="str">
        <f>IF(OR(A772="",A772="[ALL]", A772="[ALL J]", A772="[ALL G]"),"",MAX(AK$3:AK771)+1)</f>
        <v/>
      </c>
      <c r="AL772" s="229" t="str">
        <f t="shared" si="11"/>
        <v/>
      </c>
    </row>
    <row r="773" spans="1:38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499"/>
      <c r="AF773" s="500"/>
      <c r="AG773" s="500"/>
      <c r="AH773" s="501"/>
      <c r="AK773" s="229" t="str">
        <f>IF(OR(A773="",A773="[ALL]", A773="[ALL J]", A773="[ALL G]"),"",MAX(AK$3:AK772)+1)</f>
        <v/>
      </c>
      <c r="AL773" s="229" t="str">
        <f t="shared" ref="AL773:AL836" si="12">IFERROR(INDEX($A$4:$A$1000,MATCH(ROW()-ROW($AL$3),$AK$4:$AK$1000,0)),"")</f>
        <v/>
      </c>
    </row>
    <row r="774" spans="1:38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499"/>
      <c r="AF774" s="500"/>
      <c r="AG774" s="500"/>
      <c r="AH774" s="501"/>
      <c r="AK774" s="229" t="str">
        <f>IF(OR(A774="",A774="[ALL]", A774="[ALL J]", A774="[ALL G]"),"",MAX(AK$3:AK773)+1)</f>
        <v/>
      </c>
      <c r="AL774" s="229" t="str">
        <f t="shared" si="12"/>
        <v/>
      </c>
    </row>
    <row r="775" spans="1:38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499"/>
      <c r="AF775" s="500"/>
      <c r="AG775" s="500"/>
      <c r="AH775" s="501"/>
      <c r="AK775" s="229" t="str">
        <f>IF(OR(A775="",A775="[ALL]", A775="[ALL J]", A775="[ALL G]"),"",MAX(AK$3:AK774)+1)</f>
        <v/>
      </c>
      <c r="AL775" s="229" t="str">
        <f t="shared" si="12"/>
        <v/>
      </c>
    </row>
    <row r="776" spans="1:38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499"/>
      <c r="AF776" s="500"/>
      <c r="AG776" s="500"/>
      <c r="AH776" s="501"/>
      <c r="AK776" s="229" t="str">
        <f>IF(OR(A776="",A776="[ALL]", A776="[ALL J]", A776="[ALL G]"),"",MAX(AK$3:AK775)+1)</f>
        <v/>
      </c>
      <c r="AL776" s="229" t="str">
        <f t="shared" si="12"/>
        <v/>
      </c>
    </row>
    <row r="777" spans="1:38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499"/>
      <c r="AF777" s="500"/>
      <c r="AG777" s="500"/>
      <c r="AH777" s="501"/>
      <c r="AK777" s="229" t="str">
        <f>IF(OR(A777="",A777="[ALL]", A777="[ALL J]", A777="[ALL G]"),"",MAX(AK$3:AK776)+1)</f>
        <v/>
      </c>
      <c r="AL777" s="229" t="str">
        <f t="shared" si="12"/>
        <v/>
      </c>
    </row>
    <row r="778" spans="1:38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499"/>
      <c r="AF778" s="500"/>
      <c r="AG778" s="500"/>
      <c r="AH778" s="501"/>
      <c r="AK778" s="229" t="str">
        <f>IF(OR(A778="",A778="[ALL]", A778="[ALL J]", A778="[ALL G]"),"",MAX(AK$3:AK777)+1)</f>
        <v/>
      </c>
      <c r="AL778" s="229" t="str">
        <f t="shared" si="12"/>
        <v/>
      </c>
    </row>
    <row r="779" spans="1:38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499"/>
      <c r="AF779" s="500"/>
      <c r="AG779" s="500"/>
      <c r="AH779" s="501"/>
      <c r="AK779" s="229" t="str">
        <f>IF(OR(A779="",A779="[ALL]", A779="[ALL J]", A779="[ALL G]"),"",MAX(AK$3:AK778)+1)</f>
        <v/>
      </c>
      <c r="AL779" s="229" t="str">
        <f t="shared" si="12"/>
        <v/>
      </c>
    </row>
    <row r="780" spans="1:38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499"/>
      <c r="AF780" s="500"/>
      <c r="AG780" s="500"/>
      <c r="AH780" s="501"/>
      <c r="AK780" s="229" t="str">
        <f>IF(OR(A780="",A780="[ALL]", A780="[ALL J]", A780="[ALL G]"),"",MAX(AK$3:AK779)+1)</f>
        <v/>
      </c>
      <c r="AL780" s="229" t="str">
        <f t="shared" si="12"/>
        <v/>
      </c>
    </row>
    <row r="781" spans="1:38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499"/>
      <c r="AF781" s="500"/>
      <c r="AG781" s="500"/>
      <c r="AH781" s="501"/>
      <c r="AK781" s="229" t="str">
        <f>IF(OR(A781="",A781="[ALL]", A781="[ALL J]", A781="[ALL G]"),"",MAX(AK$3:AK780)+1)</f>
        <v/>
      </c>
      <c r="AL781" s="229" t="str">
        <f t="shared" si="12"/>
        <v/>
      </c>
    </row>
    <row r="782" spans="1:38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499"/>
      <c r="AF782" s="500"/>
      <c r="AG782" s="500"/>
      <c r="AH782" s="501"/>
      <c r="AK782" s="229" t="str">
        <f>IF(OR(A782="",A782="[ALL]", A782="[ALL J]", A782="[ALL G]"),"",MAX(AK$3:AK781)+1)</f>
        <v/>
      </c>
      <c r="AL782" s="229" t="str">
        <f t="shared" si="12"/>
        <v/>
      </c>
    </row>
    <row r="783" spans="1:38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499"/>
      <c r="AF783" s="500"/>
      <c r="AG783" s="500"/>
      <c r="AH783" s="501"/>
      <c r="AK783" s="229" t="str">
        <f>IF(OR(A783="",A783="[ALL]", A783="[ALL J]", A783="[ALL G]"),"",MAX(AK$3:AK782)+1)</f>
        <v/>
      </c>
      <c r="AL783" s="229" t="str">
        <f t="shared" si="12"/>
        <v/>
      </c>
    </row>
    <row r="784" spans="1:38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499"/>
      <c r="AF784" s="500"/>
      <c r="AG784" s="500"/>
      <c r="AH784" s="501"/>
      <c r="AK784" s="229" t="str">
        <f>IF(OR(A784="",A784="[ALL]", A784="[ALL J]", A784="[ALL G]"),"",MAX(AK$3:AK783)+1)</f>
        <v/>
      </c>
      <c r="AL784" s="229" t="str">
        <f t="shared" si="12"/>
        <v/>
      </c>
    </row>
    <row r="785" spans="1:38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499"/>
      <c r="AF785" s="500"/>
      <c r="AG785" s="500"/>
      <c r="AH785" s="501"/>
      <c r="AK785" s="229" t="str">
        <f>IF(OR(A785="",A785="[ALL]", A785="[ALL J]", A785="[ALL G]"),"",MAX(AK$3:AK784)+1)</f>
        <v/>
      </c>
      <c r="AL785" s="229" t="str">
        <f t="shared" si="12"/>
        <v/>
      </c>
    </row>
    <row r="786" spans="1:38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499"/>
      <c r="AF786" s="500"/>
      <c r="AG786" s="500"/>
      <c r="AH786" s="501"/>
      <c r="AK786" s="229" t="str">
        <f>IF(OR(A786="",A786="[ALL]", A786="[ALL J]", A786="[ALL G]"),"",MAX(AK$3:AK785)+1)</f>
        <v/>
      </c>
      <c r="AL786" s="229" t="str">
        <f t="shared" si="12"/>
        <v/>
      </c>
    </row>
    <row r="787" spans="1:38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499"/>
      <c r="AF787" s="500"/>
      <c r="AG787" s="500"/>
      <c r="AH787" s="501"/>
      <c r="AK787" s="229" t="str">
        <f>IF(OR(A787="",A787="[ALL]", A787="[ALL J]", A787="[ALL G]"),"",MAX(AK$3:AK786)+1)</f>
        <v/>
      </c>
      <c r="AL787" s="229" t="str">
        <f t="shared" si="12"/>
        <v/>
      </c>
    </row>
    <row r="788" spans="1:38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499"/>
      <c r="AF788" s="500"/>
      <c r="AG788" s="500"/>
      <c r="AH788" s="501"/>
      <c r="AK788" s="229" t="str">
        <f>IF(OR(A788="",A788="[ALL]", A788="[ALL J]", A788="[ALL G]"),"",MAX(AK$3:AK787)+1)</f>
        <v/>
      </c>
      <c r="AL788" s="229" t="str">
        <f t="shared" si="12"/>
        <v/>
      </c>
    </row>
    <row r="789" spans="1:38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499"/>
      <c r="AF789" s="500"/>
      <c r="AG789" s="500"/>
      <c r="AH789" s="501"/>
      <c r="AK789" s="229" t="str">
        <f>IF(OR(A789="",A789="[ALL]", A789="[ALL J]", A789="[ALL G]"),"",MAX(AK$3:AK788)+1)</f>
        <v/>
      </c>
      <c r="AL789" s="229" t="str">
        <f t="shared" si="12"/>
        <v/>
      </c>
    </row>
    <row r="790" spans="1:38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499"/>
      <c r="AF790" s="500"/>
      <c r="AG790" s="500"/>
      <c r="AH790" s="501"/>
      <c r="AK790" s="229" t="str">
        <f>IF(OR(A790="",A790="[ALL]", A790="[ALL J]", A790="[ALL G]"),"",MAX(AK$3:AK789)+1)</f>
        <v/>
      </c>
      <c r="AL790" s="229" t="str">
        <f t="shared" si="12"/>
        <v/>
      </c>
    </row>
    <row r="791" spans="1:38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499"/>
      <c r="AF791" s="500"/>
      <c r="AG791" s="500"/>
      <c r="AH791" s="501"/>
      <c r="AK791" s="229" t="str">
        <f>IF(OR(A791="",A791="[ALL]", A791="[ALL J]", A791="[ALL G]"),"",MAX(AK$3:AK790)+1)</f>
        <v/>
      </c>
      <c r="AL791" s="229" t="str">
        <f t="shared" si="12"/>
        <v/>
      </c>
    </row>
    <row r="792" spans="1:38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499"/>
      <c r="AF792" s="500"/>
      <c r="AG792" s="500"/>
      <c r="AH792" s="501"/>
      <c r="AK792" s="229" t="str">
        <f>IF(OR(A792="",A792="[ALL]", A792="[ALL J]", A792="[ALL G]"),"",MAX(AK$3:AK791)+1)</f>
        <v/>
      </c>
      <c r="AL792" s="229" t="str">
        <f t="shared" si="12"/>
        <v/>
      </c>
    </row>
    <row r="793" spans="1:38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499"/>
      <c r="AF793" s="500"/>
      <c r="AG793" s="500"/>
      <c r="AH793" s="501"/>
      <c r="AK793" s="229" t="str">
        <f>IF(OR(A793="",A793="[ALL]", A793="[ALL J]", A793="[ALL G]"),"",MAX(AK$3:AK792)+1)</f>
        <v/>
      </c>
      <c r="AL793" s="229" t="str">
        <f t="shared" si="12"/>
        <v/>
      </c>
    </row>
    <row r="794" spans="1:38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499"/>
      <c r="AF794" s="500"/>
      <c r="AG794" s="500"/>
      <c r="AH794" s="501"/>
      <c r="AK794" s="229" t="str">
        <f>IF(OR(A794="",A794="[ALL]", A794="[ALL J]", A794="[ALL G]"),"",MAX(AK$3:AK793)+1)</f>
        <v/>
      </c>
      <c r="AL794" s="229" t="str">
        <f t="shared" si="12"/>
        <v/>
      </c>
    </row>
    <row r="795" spans="1:38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499"/>
      <c r="AF795" s="500"/>
      <c r="AG795" s="500"/>
      <c r="AH795" s="501"/>
      <c r="AK795" s="229" t="str">
        <f>IF(OR(A795="",A795="[ALL]", A795="[ALL J]", A795="[ALL G]"),"",MAX(AK$3:AK794)+1)</f>
        <v/>
      </c>
      <c r="AL795" s="229" t="str">
        <f t="shared" si="12"/>
        <v/>
      </c>
    </row>
    <row r="796" spans="1:38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499"/>
      <c r="AF796" s="500"/>
      <c r="AG796" s="500"/>
      <c r="AH796" s="501"/>
      <c r="AK796" s="229" t="str">
        <f>IF(OR(A796="",A796="[ALL]", A796="[ALL J]", A796="[ALL G]"),"",MAX(AK$3:AK795)+1)</f>
        <v/>
      </c>
      <c r="AL796" s="229" t="str">
        <f t="shared" si="12"/>
        <v/>
      </c>
    </row>
    <row r="797" spans="1:38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499"/>
      <c r="AF797" s="500"/>
      <c r="AG797" s="500"/>
      <c r="AH797" s="501"/>
      <c r="AK797" s="229" t="str">
        <f>IF(OR(A797="",A797="[ALL]", A797="[ALL J]", A797="[ALL G]"),"",MAX(AK$3:AK796)+1)</f>
        <v/>
      </c>
      <c r="AL797" s="229" t="str">
        <f t="shared" si="12"/>
        <v/>
      </c>
    </row>
    <row r="798" spans="1:38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499"/>
      <c r="AF798" s="500"/>
      <c r="AG798" s="500"/>
      <c r="AH798" s="501"/>
      <c r="AK798" s="229" t="str">
        <f>IF(OR(A798="",A798="[ALL]", A798="[ALL J]", A798="[ALL G]"),"",MAX(AK$3:AK797)+1)</f>
        <v/>
      </c>
      <c r="AL798" s="229" t="str">
        <f t="shared" si="12"/>
        <v/>
      </c>
    </row>
    <row r="799" spans="1:38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499"/>
      <c r="AF799" s="500"/>
      <c r="AG799" s="500"/>
      <c r="AH799" s="501"/>
      <c r="AK799" s="229" t="str">
        <f>IF(OR(A799="",A799="[ALL]", A799="[ALL J]", A799="[ALL G]"),"",MAX(AK$3:AK798)+1)</f>
        <v/>
      </c>
      <c r="AL799" s="229" t="str">
        <f t="shared" si="12"/>
        <v/>
      </c>
    </row>
    <row r="800" spans="1:38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499"/>
      <c r="AF800" s="500"/>
      <c r="AG800" s="500"/>
      <c r="AH800" s="501"/>
      <c r="AK800" s="229" t="str">
        <f>IF(OR(A800="",A800="[ALL]", A800="[ALL J]", A800="[ALL G]"),"",MAX(AK$3:AK799)+1)</f>
        <v/>
      </c>
      <c r="AL800" s="229" t="str">
        <f t="shared" si="12"/>
        <v/>
      </c>
    </row>
    <row r="801" spans="1:38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499"/>
      <c r="AF801" s="500"/>
      <c r="AG801" s="500"/>
      <c r="AH801" s="501"/>
      <c r="AK801" s="229" t="str">
        <f>IF(OR(A801="",A801="[ALL]", A801="[ALL J]", A801="[ALL G]"),"",MAX(AK$3:AK800)+1)</f>
        <v/>
      </c>
      <c r="AL801" s="229" t="str">
        <f t="shared" si="12"/>
        <v/>
      </c>
    </row>
    <row r="802" spans="1:38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499"/>
      <c r="AF802" s="500"/>
      <c r="AG802" s="500"/>
      <c r="AH802" s="501"/>
      <c r="AK802" s="229" t="str">
        <f>IF(OR(A802="",A802="[ALL]", A802="[ALL J]", A802="[ALL G]"),"",MAX(AK$3:AK801)+1)</f>
        <v/>
      </c>
      <c r="AL802" s="229" t="str">
        <f t="shared" si="12"/>
        <v/>
      </c>
    </row>
    <row r="803" spans="1:38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499"/>
      <c r="AF803" s="500"/>
      <c r="AG803" s="500"/>
      <c r="AH803" s="501"/>
      <c r="AK803" s="229" t="str">
        <f>IF(OR(A803="",A803="[ALL]", A803="[ALL J]", A803="[ALL G]"),"",MAX(AK$3:AK802)+1)</f>
        <v/>
      </c>
      <c r="AL803" s="229" t="str">
        <f t="shared" si="12"/>
        <v/>
      </c>
    </row>
    <row r="804" spans="1:38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499"/>
      <c r="AF804" s="500"/>
      <c r="AG804" s="500"/>
      <c r="AH804" s="501"/>
      <c r="AK804" s="229" t="str">
        <f>IF(OR(A804="",A804="[ALL]", A804="[ALL J]", A804="[ALL G]"),"",MAX(AK$3:AK803)+1)</f>
        <v/>
      </c>
      <c r="AL804" s="229" t="str">
        <f t="shared" si="12"/>
        <v/>
      </c>
    </row>
    <row r="805" spans="1:38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499"/>
      <c r="AF805" s="500"/>
      <c r="AG805" s="500"/>
      <c r="AH805" s="501"/>
      <c r="AK805" s="229" t="str">
        <f>IF(OR(A805="",A805="[ALL]", A805="[ALL J]", A805="[ALL G]"),"",MAX(AK$3:AK804)+1)</f>
        <v/>
      </c>
      <c r="AL805" s="229" t="str">
        <f t="shared" si="12"/>
        <v/>
      </c>
    </row>
    <row r="806" spans="1:38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499"/>
      <c r="AF806" s="500"/>
      <c r="AG806" s="500"/>
      <c r="AH806" s="501"/>
      <c r="AK806" s="229" t="str">
        <f>IF(OR(A806="",A806="[ALL]", A806="[ALL J]", A806="[ALL G]"),"",MAX(AK$3:AK805)+1)</f>
        <v/>
      </c>
      <c r="AL806" s="229" t="str">
        <f t="shared" si="12"/>
        <v/>
      </c>
    </row>
    <row r="807" spans="1:38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499"/>
      <c r="AF807" s="500"/>
      <c r="AG807" s="500"/>
      <c r="AH807" s="501"/>
      <c r="AK807" s="229" t="str">
        <f>IF(OR(A807="",A807="[ALL]", A807="[ALL J]", A807="[ALL G]"),"",MAX(AK$3:AK806)+1)</f>
        <v/>
      </c>
      <c r="AL807" s="229" t="str">
        <f t="shared" si="12"/>
        <v/>
      </c>
    </row>
    <row r="808" spans="1:38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499"/>
      <c r="AF808" s="500"/>
      <c r="AG808" s="500"/>
      <c r="AH808" s="501"/>
      <c r="AK808" s="229" t="str">
        <f>IF(OR(A808="",A808="[ALL]", A808="[ALL J]", A808="[ALL G]"),"",MAX(AK$3:AK807)+1)</f>
        <v/>
      </c>
      <c r="AL808" s="229" t="str">
        <f t="shared" si="12"/>
        <v/>
      </c>
    </row>
    <row r="809" spans="1:38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499"/>
      <c r="AF809" s="500"/>
      <c r="AG809" s="500"/>
      <c r="AH809" s="501"/>
      <c r="AK809" s="229" t="str">
        <f>IF(OR(A809="",A809="[ALL]", A809="[ALL J]", A809="[ALL G]"),"",MAX(AK$3:AK808)+1)</f>
        <v/>
      </c>
      <c r="AL809" s="229" t="str">
        <f t="shared" si="12"/>
        <v/>
      </c>
    </row>
    <row r="810" spans="1:38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499"/>
      <c r="AF810" s="500"/>
      <c r="AG810" s="500"/>
      <c r="AH810" s="501"/>
      <c r="AK810" s="229" t="str">
        <f>IF(OR(A810="",A810="[ALL]", A810="[ALL J]", A810="[ALL G]"),"",MAX(AK$3:AK809)+1)</f>
        <v/>
      </c>
      <c r="AL810" s="229" t="str">
        <f t="shared" si="12"/>
        <v/>
      </c>
    </row>
    <row r="811" spans="1:38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499"/>
      <c r="AF811" s="500"/>
      <c r="AG811" s="500"/>
      <c r="AH811" s="501"/>
      <c r="AK811" s="229" t="str">
        <f>IF(OR(A811="",A811="[ALL]", A811="[ALL J]", A811="[ALL G]"),"",MAX(AK$3:AK810)+1)</f>
        <v/>
      </c>
      <c r="AL811" s="229" t="str">
        <f t="shared" si="12"/>
        <v/>
      </c>
    </row>
    <row r="812" spans="1:38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499"/>
      <c r="AF812" s="500"/>
      <c r="AG812" s="500"/>
      <c r="AH812" s="501"/>
      <c r="AK812" s="229" t="str">
        <f>IF(OR(A812="",A812="[ALL]", A812="[ALL J]", A812="[ALL G]"),"",MAX(AK$3:AK811)+1)</f>
        <v/>
      </c>
      <c r="AL812" s="229" t="str">
        <f t="shared" si="12"/>
        <v/>
      </c>
    </row>
    <row r="813" spans="1:38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499"/>
      <c r="AF813" s="500"/>
      <c r="AG813" s="500"/>
      <c r="AH813" s="501"/>
      <c r="AK813" s="229" t="str">
        <f>IF(OR(A813="",A813="[ALL]", A813="[ALL J]", A813="[ALL G]"),"",MAX(AK$3:AK812)+1)</f>
        <v/>
      </c>
      <c r="AL813" s="229" t="str">
        <f t="shared" si="12"/>
        <v/>
      </c>
    </row>
    <row r="814" spans="1:38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499"/>
      <c r="AF814" s="500"/>
      <c r="AG814" s="500"/>
      <c r="AH814" s="501"/>
      <c r="AK814" s="229" t="str">
        <f>IF(OR(A814="",A814="[ALL]", A814="[ALL J]", A814="[ALL G]"),"",MAX(AK$3:AK813)+1)</f>
        <v/>
      </c>
      <c r="AL814" s="229" t="str">
        <f t="shared" si="12"/>
        <v/>
      </c>
    </row>
    <row r="815" spans="1:38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499"/>
      <c r="AF815" s="500"/>
      <c r="AG815" s="500"/>
      <c r="AH815" s="501"/>
      <c r="AK815" s="229" t="str">
        <f>IF(OR(A815="",A815="[ALL]", A815="[ALL J]", A815="[ALL G]"),"",MAX(AK$3:AK814)+1)</f>
        <v/>
      </c>
      <c r="AL815" s="229" t="str">
        <f t="shared" si="12"/>
        <v/>
      </c>
    </row>
    <row r="816" spans="1:38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499"/>
      <c r="AF816" s="500"/>
      <c r="AG816" s="500"/>
      <c r="AH816" s="501"/>
      <c r="AK816" s="229" t="str">
        <f>IF(OR(A816="",A816="[ALL]", A816="[ALL J]", A816="[ALL G]"),"",MAX(AK$3:AK815)+1)</f>
        <v/>
      </c>
      <c r="AL816" s="229" t="str">
        <f t="shared" si="12"/>
        <v/>
      </c>
    </row>
    <row r="817" spans="1:38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499"/>
      <c r="AF817" s="500"/>
      <c r="AG817" s="500"/>
      <c r="AH817" s="501"/>
      <c r="AK817" s="229" t="str">
        <f>IF(OR(A817="",A817="[ALL]", A817="[ALL J]", A817="[ALL G]"),"",MAX(AK$3:AK816)+1)</f>
        <v/>
      </c>
      <c r="AL817" s="229" t="str">
        <f t="shared" si="12"/>
        <v/>
      </c>
    </row>
    <row r="818" spans="1:38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499"/>
      <c r="AF818" s="500"/>
      <c r="AG818" s="500"/>
      <c r="AH818" s="501"/>
      <c r="AK818" s="229" t="str">
        <f>IF(OR(A818="",A818="[ALL]", A818="[ALL J]", A818="[ALL G]"),"",MAX(AK$3:AK817)+1)</f>
        <v/>
      </c>
      <c r="AL818" s="229" t="str">
        <f t="shared" si="12"/>
        <v/>
      </c>
    </row>
    <row r="819" spans="1:38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499"/>
      <c r="AF819" s="500"/>
      <c r="AG819" s="500"/>
      <c r="AH819" s="501"/>
      <c r="AK819" s="229" t="str">
        <f>IF(OR(A819="",A819="[ALL]", A819="[ALL J]", A819="[ALL G]"),"",MAX(AK$3:AK818)+1)</f>
        <v/>
      </c>
      <c r="AL819" s="229" t="str">
        <f t="shared" si="12"/>
        <v/>
      </c>
    </row>
    <row r="820" spans="1:38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499"/>
      <c r="AF820" s="500"/>
      <c r="AG820" s="500"/>
      <c r="AH820" s="501"/>
      <c r="AK820" s="229" t="str">
        <f>IF(OR(A820="",A820="[ALL]", A820="[ALL J]", A820="[ALL G]"),"",MAX(AK$3:AK819)+1)</f>
        <v/>
      </c>
      <c r="AL820" s="229" t="str">
        <f t="shared" si="12"/>
        <v/>
      </c>
    </row>
    <row r="821" spans="1:38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499"/>
      <c r="AF821" s="500"/>
      <c r="AG821" s="500"/>
      <c r="AH821" s="501"/>
      <c r="AK821" s="229" t="str">
        <f>IF(OR(A821="",A821="[ALL]", A821="[ALL J]", A821="[ALL G]"),"",MAX(AK$3:AK820)+1)</f>
        <v/>
      </c>
      <c r="AL821" s="229" t="str">
        <f t="shared" si="12"/>
        <v/>
      </c>
    </row>
    <row r="822" spans="1:38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499"/>
      <c r="AF822" s="500"/>
      <c r="AG822" s="500"/>
      <c r="AH822" s="501"/>
      <c r="AK822" s="229" t="str">
        <f>IF(OR(A822="",A822="[ALL]", A822="[ALL J]", A822="[ALL G]"),"",MAX(AK$3:AK821)+1)</f>
        <v/>
      </c>
      <c r="AL822" s="229" t="str">
        <f t="shared" si="12"/>
        <v/>
      </c>
    </row>
    <row r="823" spans="1:38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499"/>
      <c r="AF823" s="500"/>
      <c r="AG823" s="500"/>
      <c r="AH823" s="501"/>
      <c r="AK823" s="229" t="str">
        <f>IF(OR(A823="",A823="[ALL]", A823="[ALL J]", A823="[ALL G]"),"",MAX(AK$3:AK822)+1)</f>
        <v/>
      </c>
      <c r="AL823" s="229" t="str">
        <f t="shared" si="12"/>
        <v/>
      </c>
    </row>
    <row r="824" spans="1:38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499"/>
      <c r="AF824" s="500"/>
      <c r="AG824" s="500"/>
      <c r="AH824" s="501"/>
      <c r="AK824" s="229" t="str">
        <f>IF(OR(A824="",A824="[ALL]", A824="[ALL J]", A824="[ALL G]"),"",MAX(AK$3:AK823)+1)</f>
        <v/>
      </c>
      <c r="AL824" s="229" t="str">
        <f t="shared" si="12"/>
        <v/>
      </c>
    </row>
    <row r="825" spans="1:38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499"/>
      <c r="AF825" s="500"/>
      <c r="AG825" s="500"/>
      <c r="AH825" s="501"/>
      <c r="AK825" s="229" t="str">
        <f>IF(OR(A825="",A825="[ALL]", A825="[ALL J]", A825="[ALL G]"),"",MAX(AK$3:AK824)+1)</f>
        <v/>
      </c>
      <c r="AL825" s="229" t="str">
        <f t="shared" si="12"/>
        <v/>
      </c>
    </row>
    <row r="826" spans="1:38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499"/>
      <c r="AF826" s="500"/>
      <c r="AG826" s="500"/>
      <c r="AH826" s="501"/>
      <c r="AK826" s="229" t="str">
        <f>IF(OR(A826="",A826="[ALL]", A826="[ALL J]", A826="[ALL G]"),"",MAX(AK$3:AK825)+1)</f>
        <v/>
      </c>
      <c r="AL826" s="229" t="str">
        <f t="shared" si="12"/>
        <v/>
      </c>
    </row>
    <row r="827" spans="1:38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499"/>
      <c r="AF827" s="500"/>
      <c r="AG827" s="500"/>
      <c r="AH827" s="501"/>
      <c r="AK827" s="229" t="str">
        <f>IF(OR(A827="",A827="[ALL]", A827="[ALL J]", A827="[ALL G]"),"",MAX(AK$3:AK826)+1)</f>
        <v/>
      </c>
      <c r="AL827" s="229" t="str">
        <f t="shared" si="12"/>
        <v/>
      </c>
    </row>
    <row r="828" spans="1:38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499"/>
      <c r="AF828" s="500"/>
      <c r="AG828" s="500"/>
      <c r="AH828" s="501"/>
      <c r="AK828" s="229" t="str">
        <f>IF(OR(A828="",A828="[ALL]", A828="[ALL J]", A828="[ALL G]"),"",MAX(AK$3:AK827)+1)</f>
        <v/>
      </c>
      <c r="AL828" s="229" t="str">
        <f t="shared" si="12"/>
        <v/>
      </c>
    </row>
    <row r="829" spans="1:38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499"/>
      <c r="AF829" s="500"/>
      <c r="AG829" s="500"/>
      <c r="AH829" s="501"/>
      <c r="AK829" s="229" t="str">
        <f>IF(OR(A829="",A829="[ALL]", A829="[ALL J]", A829="[ALL G]"),"",MAX(AK$3:AK828)+1)</f>
        <v/>
      </c>
      <c r="AL829" s="229" t="str">
        <f t="shared" si="12"/>
        <v/>
      </c>
    </row>
    <row r="830" spans="1:38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499"/>
      <c r="AF830" s="500"/>
      <c r="AG830" s="500"/>
      <c r="AH830" s="501"/>
      <c r="AK830" s="229" t="str">
        <f>IF(OR(A830="",A830="[ALL]", A830="[ALL J]", A830="[ALL G]"),"",MAX(AK$3:AK829)+1)</f>
        <v/>
      </c>
      <c r="AL830" s="229" t="str">
        <f t="shared" si="12"/>
        <v/>
      </c>
    </row>
    <row r="831" spans="1:38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499"/>
      <c r="AF831" s="500"/>
      <c r="AG831" s="500"/>
      <c r="AH831" s="501"/>
      <c r="AK831" s="229" t="str">
        <f>IF(OR(A831="",A831="[ALL]", A831="[ALL J]", A831="[ALL G]"),"",MAX(AK$3:AK830)+1)</f>
        <v/>
      </c>
      <c r="AL831" s="229" t="str">
        <f t="shared" si="12"/>
        <v/>
      </c>
    </row>
    <row r="832" spans="1:38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499"/>
      <c r="AF832" s="500"/>
      <c r="AG832" s="500"/>
      <c r="AH832" s="501"/>
      <c r="AK832" s="229" t="str">
        <f>IF(OR(A832="",A832="[ALL]", A832="[ALL J]", A832="[ALL G]"),"",MAX(AK$3:AK831)+1)</f>
        <v/>
      </c>
      <c r="AL832" s="229" t="str">
        <f t="shared" si="12"/>
        <v/>
      </c>
    </row>
    <row r="833" spans="1:38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499"/>
      <c r="AF833" s="500"/>
      <c r="AG833" s="500"/>
      <c r="AH833" s="501"/>
      <c r="AK833" s="229" t="str">
        <f>IF(OR(A833="",A833="[ALL]", A833="[ALL J]", A833="[ALL G]"),"",MAX(AK$3:AK832)+1)</f>
        <v/>
      </c>
      <c r="AL833" s="229" t="str">
        <f t="shared" si="12"/>
        <v/>
      </c>
    </row>
    <row r="834" spans="1:38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499"/>
      <c r="AF834" s="500"/>
      <c r="AG834" s="500"/>
      <c r="AH834" s="501"/>
      <c r="AK834" s="229" t="str">
        <f>IF(OR(A834="",A834="[ALL]", A834="[ALL J]", A834="[ALL G]"),"",MAX(AK$3:AK833)+1)</f>
        <v/>
      </c>
      <c r="AL834" s="229" t="str">
        <f t="shared" si="12"/>
        <v/>
      </c>
    </row>
    <row r="835" spans="1:38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499"/>
      <c r="AF835" s="500"/>
      <c r="AG835" s="500"/>
      <c r="AH835" s="501"/>
      <c r="AK835" s="229" t="str">
        <f>IF(OR(A835="",A835="[ALL]", A835="[ALL J]", A835="[ALL G]"),"",MAX(AK$3:AK834)+1)</f>
        <v/>
      </c>
      <c r="AL835" s="229" t="str">
        <f t="shared" si="12"/>
        <v/>
      </c>
    </row>
    <row r="836" spans="1:38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499"/>
      <c r="AF836" s="500"/>
      <c r="AG836" s="500"/>
      <c r="AH836" s="501"/>
      <c r="AK836" s="229" t="str">
        <f>IF(OR(A836="",A836="[ALL]", A836="[ALL J]", A836="[ALL G]"),"",MAX(AK$3:AK835)+1)</f>
        <v/>
      </c>
      <c r="AL836" s="229" t="str">
        <f t="shared" si="12"/>
        <v/>
      </c>
    </row>
    <row r="837" spans="1:38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499"/>
      <c r="AF837" s="500"/>
      <c r="AG837" s="500"/>
      <c r="AH837" s="501"/>
      <c r="AK837" s="229" t="str">
        <f>IF(OR(A837="",A837="[ALL]", A837="[ALL J]", A837="[ALL G]"),"",MAX(AK$3:AK836)+1)</f>
        <v/>
      </c>
      <c r="AL837" s="229" t="str">
        <f t="shared" ref="AL837:AL900" si="13">IFERROR(INDEX($A$4:$A$1000,MATCH(ROW()-ROW($AL$3),$AK$4:$AK$1000,0)),"")</f>
        <v/>
      </c>
    </row>
    <row r="838" spans="1:38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499"/>
      <c r="AF838" s="500"/>
      <c r="AG838" s="500"/>
      <c r="AH838" s="501"/>
      <c r="AK838" s="229" t="str">
        <f>IF(OR(A838="",A838="[ALL]", A838="[ALL J]", A838="[ALL G]"),"",MAX(AK$3:AK837)+1)</f>
        <v/>
      </c>
      <c r="AL838" s="229" t="str">
        <f t="shared" si="13"/>
        <v/>
      </c>
    </row>
    <row r="839" spans="1:38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499"/>
      <c r="AF839" s="500"/>
      <c r="AG839" s="500"/>
      <c r="AH839" s="501"/>
      <c r="AK839" s="229" t="str">
        <f>IF(OR(A839="",A839="[ALL]", A839="[ALL J]", A839="[ALL G]"),"",MAX(AK$3:AK838)+1)</f>
        <v/>
      </c>
      <c r="AL839" s="229" t="str">
        <f t="shared" si="13"/>
        <v/>
      </c>
    </row>
    <row r="840" spans="1:38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499"/>
      <c r="AF840" s="500"/>
      <c r="AG840" s="500"/>
      <c r="AH840" s="501"/>
      <c r="AK840" s="229" t="str">
        <f>IF(OR(A840="",A840="[ALL]", A840="[ALL J]", A840="[ALL G]"),"",MAX(AK$3:AK839)+1)</f>
        <v/>
      </c>
      <c r="AL840" s="229" t="str">
        <f t="shared" si="13"/>
        <v/>
      </c>
    </row>
    <row r="841" spans="1:38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499"/>
      <c r="AF841" s="500"/>
      <c r="AG841" s="500"/>
      <c r="AH841" s="501"/>
      <c r="AK841" s="229" t="str">
        <f>IF(OR(A841="",A841="[ALL]", A841="[ALL J]", A841="[ALL G]"),"",MAX(AK$3:AK840)+1)</f>
        <v/>
      </c>
      <c r="AL841" s="229" t="str">
        <f t="shared" si="13"/>
        <v/>
      </c>
    </row>
    <row r="842" spans="1:38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499"/>
      <c r="AF842" s="500"/>
      <c r="AG842" s="500"/>
      <c r="AH842" s="501"/>
      <c r="AK842" s="229" t="str">
        <f>IF(OR(A842="",A842="[ALL]", A842="[ALL J]", A842="[ALL G]"),"",MAX(AK$3:AK841)+1)</f>
        <v/>
      </c>
      <c r="AL842" s="229" t="str">
        <f t="shared" si="13"/>
        <v/>
      </c>
    </row>
    <row r="843" spans="1:38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499"/>
      <c r="AF843" s="500"/>
      <c r="AG843" s="500"/>
      <c r="AH843" s="501"/>
      <c r="AK843" s="229" t="str">
        <f>IF(OR(A843="",A843="[ALL]", A843="[ALL J]", A843="[ALL G]"),"",MAX(AK$3:AK842)+1)</f>
        <v/>
      </c>
      <c r="AL843" s="229" t="str">
        <f t="shared" si="13"/>
        <v/>
      </c>
    </row>
    <row r="844" spans="1:38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499"/>
      <c r="AF844" s="500"/>
      <c r="AG844" s="500"/>
      <c r="AH844" s="501"/>
      <c r="AK844" s="229" t="str">
        <f>IF(OR(A844="",A844="[ALL]", A844="[ALL J]", A844="[ALL G]"),"",MAX(AK$3:AK843)+1)</f>
        <v/>
      </c>
      <c r="AL844" s="229" t="str">
        <f t="shared" si="13"/>
        <v/>
      </c>
    </row>
    <row r="845" spans="1:38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499"/>
      <c r="AF845" s="500"/>
      <c r="AG845" s="500"/>
      <c r="AH845" s="501"/>
      <c r="AK845" s="229" t="str">
        <f>IF(OR(A845="",A845="[ALL]", A845="[ALL J]", A845="[ALL G]"),"",MAX(AK$3:AK844)+1)</f>
        <v/>
      </c>
      <c r="AL845" s="229" t="str">
        <f t="shared" si="13"/>
        <v/>
      </c>
    </row>
    <row r="846" spans="1:38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499"/>
      <c r="AF846" s="500"/>
      <c r="AG846" s="500"/>
      <c r="AH846" s="501"/>
      <c r="AK846" s="229" t="str">
        <f>IF(OR(A846="",A846="[ALL]", A846="[ALL J]", A846="[ALL G]"),"",MAX(AK$3:AK845)+1)</f>
        <v/>
      </c>
      <c r="AL846" s="229" t="str">
        <f t="shared" si="13"/>
        <v/>
      </c>
    </row>
    <row r="847" spans="1:38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499"/>
      <c r="AF847" s="500"/>
      <c r="AG847" s="500"/>
      <c r="AH847" s="501"/>
      <c r="AK847" s="229" t="str">
        <f>IF(OR(A847="",A847="[ALL]", A847="[ALL J]", A847="[ALL G]"),"",MAX(AK$3:AK846)+1)</f>
        <v/>
      </c>
      <c r="AL847" s="229" t="str">
        <f t="shared" si="13"/>
        <v/>
      </c>
    </row>
    <row r="848" spans="1:38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499"/>
      <c r="AF848" s="500"/>
      <c r="AG848" s="500"/>
      <c r="AH848" s="501"/>
      <c r="AK848" s="229" t="str">
        <f>IF(OR(A848="",A848="[ALL]", A848="[ALL J]", A848="[ALL G]"),"",MAX(AK$3:AK847)+1)</f>
        <v/>
      </c>
      <c r="AL848" s="229" t="str">
        <f t="shared" si="13"/>
        <v/>
      </c>
    </row>
    <row r="849" spans="1:38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499"/>
      <c r="AF849" s="500"/>
      <c r="AG849" s="500"/>
      <c r="AH849" s="501"/>
      <c r="AK849" s="229" t="str">
        <f>IF(OR(A849="",A849="[ALL]", A849="[ALL J]", A849="[ALL G]"),"",MAX(AK$3:AK848)+1)</f>
        <v/>
      </c>
      <c r="AL849" s="229" t="str">
        <f t="shared" si="13"/>
        <v/>
      </c>
    </row>
    <row r="850" spans="1:38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499"/>
      <c r="AF850" s="500"/>
      <c r="AG850" s="500"/>
      <c r="AH850" s="501"/>
      <c r="AK850" s="229" t="str">
        <f>IF(OR(A850="",A850="[ALL]", A850="[ALL J]", A850="[ALL G]"),"",MAX(AK$3:AK849)+1)</f>
        <v/>
      </c>
      <c r="AL850" s="229" t="str">
        <f t="shared" si="13"/>
        <v/>
      </c>
    </row>
    <row r="851" spans="1:38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499"/>
      <c r="AF851" s="500"/>
      <c r="AG851" s="500"/>
      <c r="AH851" s="501"/>
      <c r="AK851" s="229" t="str">
        <f>IF(OR(A851="",A851="[ALL]", A851="[ALL J]", A851="[ALL G]"),"",MAX(AK$3:AK850)+1)</f>
        <v/>
      </c>
      <c r="AL851" s="229" t="str">
        <f t="shared" si="13"/>
        <v/>
      </c>
    </row>
    <row r="852" spans="1:38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499"/>
      <c r="AF852" s="500"/>
      <c r="AG852" s="500"/>
      <c r="AH852" s="501"/>
      <c r="AK852" s="229" t="str">
        <f>IF(OR(A852="",A852="[ALL]", A852="[ALL J]", A852="[ALL G]"),"",MAX(AK$3:AK851)+1)</f>
        <v/>
      </c>
      <c r="AL852" s="229" t="str">
        <f t="shared" si="13"/>
        <v/>
      </c>
    </row>
    <row r="853" spans="1:38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499"/>
      <c r="AF853" s="500"/>
      <c r="AG853" s="500"/>
      <c r="AH853" s="501"/>
      <c r="AK853" s="229" t="str">
        <f>IF(OR(A853="",A853="[ALL]", A853="[ALL J]", A853="[ALL G]"),"",MAX(AK$3:AK852)+1)</f>
        <v/>
      </c>
      <c r="AL853" s="229" t="str">
        <f t="shared" si="13"/>
        <v/>
      </c>
    </row>
    <row r="854" spans="1:38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499"/>
      <c r="AF854" s="500"/>
      <c r="AG854" s="500"/>
      <c r="AH854" s="501"/>
      <c r="AK854" s="229" t="str">
        <f>IF(OR(A854="",A854="[ALL]", A854="[ALL J]", A854="[ALL G]"),"",MAX(AK$3:AK853)+1)</f>
        <v/>
      </c>
      <c r="AL854" s="229" t="str">
        <f t="shared" si="13"/>
        <v/>
      </c>
    </row>
    <row r="855" spans="1:38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499"/>
      <c r="AF855" s="500"/>
      <c r="AG855" s="500"/>
      <c r="AH855" s="501"/>
      <c r="AK855" s="229" t="str">
        <f>IF(OR(A855="",A855="[ALL]", A855="[ALL J]", A855="[ALL G]"),"",MAX(AK$3:AK854)+1)</f>
        <v/>
      </c>
      <c r="AL855" s="229" t="str">
        <f t="shared" si="13"/>
        <v/>
      </c>
    </row>
    <row r="856" spans="1:38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499"/>
      <c r="AF856" s="500"/>
      <c r="AG856" s="500"/>
      <c r="AH856" s="501"/>
      <c r="AK856" s="229" t="str">
        <f>IF(OR(A856="",A856="[ALL]", A856="[ALL J]", A856="[ALL G]"),"",MAX(AK$3:AK855)+1)</f>
        <v/>
      </c>
      <c r="AL856" s="229" t="str">
        <f t="shared" si="13"/>
        <v/>
      </c>
    </row>
    <row r="857" spans="1:38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499"/>
      <c r="AF857" s="500"/>
      <c r="AG857" s="500"/>
      <c r="AH857" s="501"/>
      <c r="AK857" s="229" t="str">
        <f>IF(OR(A857="",A857="[ALL]", A857="[ALL J]", A857="[ALL G]"),"",MAX(AK$3:AK856)+1)</f>
        <v/>
      </c>
      <c r="AL857" s="229" t="str">
        <f t="shared" si="13"/>
        <v/>
      </c>
    </row>
    <row r="858" spans="1:38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499"/>
      <c r="AF858" s="500"/>
      <c r="AG858" s="500"/>
      <c r="AH858" s="501"/>
      <c r="AK858" s="229" t="str">
        <f>IF(OR(A858="",A858="[ALL]", A858="[ALL J]", A858="[ALL G]"),"",MAX(AK$3:AK857)+1)</f>
        <v/>
      </c>
      <c r="AL858" s="229" t="str">
        <f t="shared" si="13"/>
        <v/>
      </c>
    </row>
    <row r="859" spans="1:38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499"/>
      <c r="AF859" s="500"/>
      <c r="AG859" s="500"/>
      <c r="AH859" s="501"/>
      <c r="AK859" s="229" t="str">
        <f>IF(OR(A859="",A859="[ALL]", A859="[ALL J]", A859="[ALL G]"),"",MAX(AK$3:AK858)+1)</f>
        <v/>
      </c>
      <c r="AL859" s="229" t="str">
        <f t="shared" si="13"/>
        <v/>
      </c>
    </row>
    <row r="860" spans="1:38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499"/>
      <c r="AF860" s="500"/>
      <c r="AG860" s="500"/>
      <c r="AH860" s="501"/>
      <c r="AK860" s="229" t="str">
        <f>IF(OR(A860="",A860="[ALL]", A860="[ALL J]", A860="[ALL G]"),"",MAX(AK$3:AK859)+1)</f>
        <v/>
      </c>
      <c r="AL860" s="229" t="str">
        <f t="shared" si="13"/>
        <v/>
      </c>
    </row>
    <row r="861" spans="1:38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499"/>
      <c r="AF861" s="500"/>
      <c r="AG861" s="500"/>
      <c r="AH861" s="501"/>
      <c r="AK861" s="229" t="str">
        <f>IF(OR(A861="",A861="[ALL]", A861="[ALL J]", A861="[ALL G]"),"",MAX(AK$3:AK860)+1)</f>
        <v/>
      </c>
      <c r="AL861" s="229" t="str">
        <f t="shared" si="13"/>
        <v/>
      </c>
    </row>
    <row r="862" spans="1:38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499"/>
      <c r="AF862" s="500"/>
      <c r="AG862" s="500"/>
      <c r="AH862" s="501"/>
      <c r="AK862" s="229" t="str">
        <f>IF(OR(A862="",A862="[ALL]", A862="[ALL J]", A862="[ALL G]"),"",MAX(AK$3:AK861)+1)</f>
        <v/>
      </c>
      <c r="AL862" s="229" t="str">
        <f t="shared" si="13"/>
        <v/>
      </c>
    </row>
    <row r="863" spans="1:38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499"/>
      <c r="AF863" s="500"/>
      <c r="AG863" s="500"/>
      <c r="AH863" s="501"/>
      <c r="AK863" s="229" t="str">
        <f>IF(OR(A863="",A863="[ALL]", A863="[ALL J]", A863="[ALL G]"),"",MAX(AK$3:AK862)+1)</f>
        <v/>
      </c>
      <c r="AL863" s="229" t="str">
        <f t="shared" si="13"/>
        <v/>
      </c>
    </row>
    <row r="864" spans="1:38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499"/>
      <c r="AF864" s="500"/>
      <c r="AG864" s="500"/>
      <c r="AH864" s="501"/>
      <c r="AK864" s="229" t="str">
        <f>IF(OR(A864="",A864="[ALL]", A864="[ALL J]", A864="[ALL G]"),"",MAX(AK$3:AK863)+1)</f>
        <v/>
      </c>
      <c r="AL864" s="229" t="str">
        <f t="shared" si="13"/>
        <v/>
      </c>
    </row>
    <row r="865" spans="1:38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499"/>
      <c r="AF865" s="500"/>
      <c r="AG865" s="500"/>
      <c r="AH865" s="501"/>
      <c r="AK865" s="229" t="str">
        <f>IF(OR(A865="",A865="[ALL]", A865="[ALL J]", A865="[ALL G]"),"",MAX(AK$3:AK864)+1)</f>
        <v/>
      </c>
      <c r="AL865" s="229" t="str">
        <f t="shared" si="13"/>
        <v/>
      </c>
    </row>
    <row r="866" spans="1:38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499"/>
      <c r="AF866" s="500"/>
      <c r="AG866" s="500"/>
      <c r="AH866" s="501"/>
      <c r="AK866" s="229" t="str">
        <f>IF(OR(A866="",A866="[ALL]", A866="[ALL J]", A866="[ALL G]"),"",MAX(AK$3:AK865)+1)</f>
        <v/>
      </c>
      <c r="AL866" s="229" t="str">
        <f t="shared" si="13"/>
        <v/>
      </c>
    </row>
    <row r="867" spans="1:38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499"/>
      <c r="AF867" s="500"/>
      <c r="AG867" s="500"/>
      <c r="AH867" s="501"/>
      <c r="AK867" s="229" t="str">
        <f>IF(OR(A867="",A867="[ALL]", A867="[ALL J]", A867="[ALL G]"),"",MAX(AK$3:AK866)+1)</f>
        <v/>
      </c>
      <c r="AL867" s="229" t="str">
        <f t="shared" si="13"/>
        <v/>
      </c>
    </row>
    <row r="868" spans="1:38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499"/>
      <c r="AF868" s="500"/>
      <c r="AG868" s="500"/>
      <c r="AH868" s="501"/>
      <c r="AK868" s="229" t="str">
        <f>IF(OR(A868="",A868="[ALL]", A868="[ALL J]", A868="[ALL G]"),"",MAX(AK$3:AK867)+1)</f>
        <v/>
      </c>
      <c r="AL868" s="229" t="str">
        <f t="shared" si="13"/>
        <v/>
      </c>
    </row>
    <row r="869" spans="1:38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499"/>
      <c r="AF869" s="500"/>
      <c r="AG869" s="500"/>
      <c r="AH869" s="501"/>
      <c r="AK869" s="229" t="str">
        <f>IF(OR(A869="",A869="[ALL]", A869="[ALL J]", A869="[ALL G]"),"",MAX(AK$3:AK868)+1)</f>
        <v/>
      </c>
      <c r="AL869" s="229" t="str">
        <f t="shared" si="13"/>
        <v/>
      </c>
    </row>
    <row r="870" spans="1:38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499"/>
      <c r="AF870" s="500"/>
      <c r="AG870" s="500"/>
      <c r="AH870" s="501"/>
      <c r="AK870" s="229" t="str">
        <f>IF(OR(A870="",A870="[ALL]", A870="[ALL J]", A870="[ALL G]"),"",MAX(AK$3:AK869)+1)</f>
        <v/>
      </c>
      <c r="AL870" s="229" t="str">
        <f t="shared" si="13"/>
        <v/>
      </c>
    </row>
    <row r="871" spans="1:38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499"/>
      <c r="AF871" s="500"/>
      <c r="AG871" s="500"/>
      <c r="AH871" s="501"/>
      <c r="AK871" s="229" t="str">
        <f>IF(OR(A871="",A871="[ALL]", A871="[ALL J]", A871="[ALL G]"),"",MAX(AK$3:AK870)+1)</f>
        <v/>
      </c>
      <c r="AL871" s="229" t="str">
        <f t="shared" si="13"/>
        <v/>
      </c>
    </row>
    <row r="872" spans="1:38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499"/>
      <c r="AF872" s="500"/>
      <c r="AG872" s="500"/>
      <c r="AH872" s="501"/>
      <c r="AK872" s="229" t="str">
        <f>IF(OR(A872="",A872="[ALL]", A872="[ALL J]", A872="[ALL G]"),"",MAX(AK$3:AK871)+1)</f>
        <v/>
      </c>
      <c r="AL872" s="229" t="str">
        <f t="shared" si="13"/>
        <v/>
      </c>
    </row>
    <row r="873" spans="1:38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499"/>
      <c r="AF873" s="500"/>
      <c r="AG873" s="500"/>
      <c r="AH873" s="501"/>
      <c r="AK873" s="229" t="str">
        <f>IF(OR(A873="",A873="[ALL]", A873="[ALL J]", A873="[ALL G]"),"",MAX(AK$3:AK872)+1)</f>
        <v/>
      </c>
      <c r="AL873" s="229" t="str">
        <f t="shared" si="13"/>
        <v/>
      </c>
    </row>
    <row r="874" spans="1:38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499"/>
      <c r="AF874" s="500"/>
      <c r="AG874" s="500"/>
      <c r="AH874" s="501"/>
      <c r="AK874" s="229" t="str">
        <f>IF(OR(A874="",A874="[ALL]", A874="[ALL J]", A874="[ALL G]"),"",MAX(AK$3:AK873)+1)</f>
        <v/>
      </c>
      <c r="AL874" s="229" t="str">
        <f t="shared" si="13"/>
        <v/>
      </c>
    </row>
    <row r="875" spans="1:38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499"/>
      <c r="AF875" s="500"/>
      <c r="AG875" s="500"/>
      <c r="AH875" s="501"/>
      <c r="AK875" s="229" t="str">
        <f>IF(OR(A875="",A875="[ALL]", A875="[ALL J]", A875="[ALL G]"),"",MAX(AK$3:AK874)+1)</f>
        <v/>
      </c>
      <c r="AL875" s="229" t="str">
        <f t="shared" si="13"/>
        <v/>
      </c>
    </row>
    <row r="876" spans="1:38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499"/>
      <c r="AF876" s="500"/>
      <c r="AG876" s="500"/>
      <c r="AH876" s="501"/>
      <c r="AK876" s="229" t="str">
        <f>IF(OR(A876="",A876="[ALL]", A876="[ALL J]", A876="[ALL G]"),"",MAX(AK$3:AK875)+1)</f>
        <v/>
      </c>
      <c r="AL876" s="229" t="str">
        <f t="shared" si="13"/>
        <v/>
      </c>
    </row>
    <row r="877" spans="1:38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499"/>
      <c r="AF877" s="500"/>
      <c r="AG877" s="500"/>
      <c r="AH877" s="501"/>
      <c r="AK877" s="229" t="str">
        <f>IF(OR(A877="",A877="[ALL]", A877="[ALL J]", A877="[ALL G]"),"",MAX(AK$3:AK876)+1)</f>
        <v/>
      </c>
      <c r="AL877" s="229" t="str">
        <f t="shared" si="13"/>
        <v/>
      </c>
    </row>
    <row r="878" spans="1:38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499"/>
      <c r="AF878" s="500"/>
      <c r="AG878" s="500"/>
      <c r="AH878" s="501"/>
      <c r="AK878" s="229" t="str">
        <f>IF(OR(A878="",A878="[ALL]", A878="[ALL J]", A878="[ALL G]"),"",MAX(AK$3:AK877)+1)</f>
        <v/>
      </c>
      <c r="AL878" s="229" t="str">
        <f t="shared" si="13"/>
        <v/>
      </c>
    </row>
    <row r="879" spans="1:38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499"/>
      <c r="AF879" s="500"/>
      <c r="AG879" s="500"/>
      <c r="AH879" s="501"/>
      <c r="AK879" s="229" t="str">
        <f>IF(OR(A879="",A879="[ALL]", A879="[ALL J]", A879="[ALL G]"),"",MAX(AK$3:AK878)+1)</f>
        <v/>
      </c>
      <c r="AL879" s="229" t="str">
        <f t="shared" si="13"/>
        <v/>
      </c>
    </row>
    <row r="880" spans="1:38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499"/>
      <c r="AF880" s="500"/>
      <c r="AG880" s="500"/>
      <c r="AH880" s="501"/>
      <c r="AK880" s="229" t="str">
        <f>IF(OR(A880="",A880="[ALL]", A880="[ALL J]", A880="[ALL G]"),"",MAX(AK$3:AK879)+1)</f>
        <v/>
      </c>
      <c r="AL880" s="229" t="str">
        <f t="shared" si="13"/>
        <v/>
      </c>
    </row>
    <row r="881" spans="1:38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499"/>
      <c r="AF881" s="500"/>
      <c r="AG881" s="500"/>
      <c r="AH881" s="501"/>
      <c r="AK881" s="229" t="str">
        <f>IF(OR(A881="",A881="[ALL]", A881="[ALL J]", A881="[ALL G]"),"",MAX(AK$3:AK880)+1)</f>
        <v/>
      </c>
      <c r="AL881" s="229" t="str">
        <f t="shared" si="13"/>
        <v/>
      </c>
    </row>
    <row r="882" spans="1:38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499"/>
      <c r="AF882" s="500"/>
      <c r="AG882" s="500"/>
      <c r="AH882" s="501"/>
      <c r="AK882" s="229" t="str">
        <f>IF(OR(A882="",A882="[ALL]", A882="[ALL J]", A882="[ALL G]"),"",MAX(AK$3:AK881)+1)</f>
        <v/>
      </c>
      <c r="AL882" s="229" t="str">
        <f t="shared" si="13"/>
        <v/>
      </c>
    </row>
    <row r="883" spans="1:38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499"/>
      <c r="AF883" s="500"/>
      <c r="AG883" s="500"/>
      <c r="AH883" s="501"/>
      <c r="AK883" s="229" t="str">
        <f>IF(OR(A883="",A883="[ALL]", A883="[ALL J]", A883="[ALL G]"),"",MAX(AK$3:AK882)+1)</f>
        <v/>
      </c>
      <c r="AL883" s="229" t="str">
        <f t="shared" si="13"/>
        <v/>
      </c>
    </row>
    <row r="884" spans="1:38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499"/>
      <c r="AF884" s="500"/>
      <c r="AG884" s="500"/>
      <c r="AH884" s="501"/>
      <c r="AK884" s="229" t="str">
        <f>IF(OR(A884="",A884="[ALL]", A884="[ALL J]", A884="[ALL G]"),"",MAX(AK$3:AK883)+1)</f>
        <v/>
      </c>
      <c r="AL884" s="229" t="str">
        <f t="shared" si="13"/>
        <v/>
      </c>
    </row>
    <row r="885" spans="1:38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499"/>
      <c r="AF885" s="500"/>
      <c r="AG885" s="500"/>
      <c r="AH885" s="501"/>
      <c r="AK885" s="229" t="str">
        <f>IF(OR(A885="",A885="[ALL]", A885="[ALL J]", A885="[ALL G]"),"",MAX(AK$3:AK884)+1)</f>
        <v/>
      </c>
      <c r="AL885" s="229" t="str">
        <f t="shared" si="13"/>
        <v/>
      </c>
    </row>
    <row r="886" spans="1:38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499"/>
      <c r="AF886" s="500"/>
      <c r="AG886" s="500"/>
      <c r="AH886" s="501"/>
      <c r="AK886" s="229" t="str">
        <f>IF(OR(A886="",A886="[ALL]", A886="[ALL J]", A886="[ALL G]"),"",MAX(AK$3:AK885)+1)</f>
        <v/>
      </c>
      <c r="AL886" s="229" t="str">
        <f t="shared" si="13"/>
        <v/>
      </c>
    </row>
    <row r="887" spans="1:38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499"/>
      <c r="AF887" s="500"/>
      <c r="AG887" s="500"/>
      <c r="AH887" s="501"/>
      <c r="AK887" s="229" t="str">
        <f>IF(OR(A887="",A887="[ALL]", A887="[ALL J]", A887="[ALL G]"),"",MAX(AK$3:AK886)+1)</f>
        <v/>
      </c>
      <c r="AL887" s="229" t="str">
        <f t="shared" si="13"/>
        <v/>
      </c>
    </row>
    <row r="888" spans="1:38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499"/>
      <c r="AF888" s="500"/>
      <c r="AG888" s="500"/>
      <c r="AH888" s="501"/>
      <c r="AK888" s="229" t="str">
        <f>IF(OR(A888="",A888="[ALL]", A888="[ALL J]", A888="[ALL G]"),"",MAX(AK$3:AK887)+1)</f>
        <v/>
      </c>
      <c r="AL888" s="229" t="str">
        <f t="shared" si="13"/>
        <v/>
      </c>
    </row>
    <row r="889" spans="1:38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499"/>
      <c r="AF889" s="500"/>
      <c r="AG889" s="500"/>
      <c r="AH889" s="501"/>
      <c r="AK889" s="229" t="str">
        <f>IF(OR(A889="",A889="[ALL]", A889="[ALL J]", A889="[ALL G]"),"",MAX(AK$3:AK888)+1)</f>
        <v/>
      </c>
      <c r="AL889" s="229" t="str">
        <f t="shared" si="13"/>
        <v/>
      </c>
    </row>
    <row r="890" spans="1:38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499"/>
      <c r="AF890" s="500"/>
      <c r="AG890" s="500"/>
      <c r="AH890" s="501"/>
      <c r="AK890" s="229" t="str">
        <f>IF(OR(A890="",A890="[ALL]", A890="[ALL J]", A890="[ALL G]"),"",MAX(AK$3:AK889)+1)</f>
        <v/>
      </c>
      <c r="AL890" s="229" t="str">
        <f t="shared" si="13"/>
        <v/>
      </c>
    </row>
    <row r="891" spans="1:38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499"/>
      <c r="AF891" s="500"/>
      <c r="AG891" s="500"/>
      <c r="AH891" s="501"/>
      <c r="AK891" s="229" t="str">
        <f>IF(OR(A891="",A891="[ALL]", A891="[ALL J]", A891="[ALL G]"),"",MAX(AK$3:AK890)+1)</f>
        <v/>
      </c>
      <c r="AL891" s="229" t="str">
        <f t="shared" si="13"/>
        <v/>
      </c>
    </row>
    <row r="892" spans="1:38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499"/>
      <c r="AF892" s="500"/>
      <c r="AG892" s="500"/>
      <c r="AH892" s="501"/>
      <c r="AK892" s="229" t="str">
        <f>IF(OR(A892="",A892="[ALL]", A892="[ALL J]", A892="[ALL G]"),"",MAX(AK$3:AK891)+1)</f>
        <v/>
      </c>
      <c r="AL892" s="229" t="str">
        <f t="shared" si="13"/>
        <v/>
      </c>
    </row>
    <row r="893" spans="1:38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499"/>
      <c r="AF893" s="500"/>
      <c r="AG893" s="500"/>
      <c r="AH893" s="501"/>
      <c r="AK893" s="229" t="str">
        <f>IF(OR(A893="",A893="[ALL]", A893="[ALL J]", A893="[ALL G]"),"",MAX(AK$3:AK892)+1)</f>
        <v/>
      </c>
      <c r="AL893" s="229" t="str">
        <f t="shared" si="13"/>
        <v/>
      </c>
    </row>
    <row r="894" spans="1:38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499"/>
      <c r="AF894" s="500"/>
      <c r="AG894" s="500"/>
      <c r="AH894" s="501"/>
      <c r="AK894" s="229" t="str">
        <f>IF(OR(A894="",A894="[ALL]", A894="[ALL J]", A894="[ALL G]"),"",MAX(AK$3:AK893)+1)</f>
        <v/>
      </c>
      <c r="AL894" s="229" t="str">
        <f t="shared" si="13"/>
        <v/>
      </c>
    </row>
    <row r="895" spans="1:38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499"/>
      <c r="AF895" s="500"/>
      <c r="AG895" s="500"/>
      <c r="AH895" s="501"/>
      <c r="AK895" s="229" t="str">
        <f>IF(OR(A895="",A895="[ALL]", A895="[ALL J]", A895="[ALL G]"),"",MAX(AK$3:AK894)+1)</f>
        <v/>
      </c>
      <c r="AL895" s="229" t="str">
        <f t="shared" si="13"/>
        <v/>
      </c>
    </row>
    <row r="896" spans="1:38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499"/>
      <c r="AF896" s="500"/>
      <c r="AG896" s="500"/>
      <c r="AH896" s="501"/>
      <c r="AK896" s="229" t="str">
        <f>IF(OR(A896="",A896="[ALL]", A896="[ALL J]", A896="[ALL G]"),"",MAX(AK$3:AK895)+1)</f>
        <v/>
      </c>
      <c r="AL896" s="229" t="str">
        <f t="shared" si="13"/>
        <v/>
      </c>
    </row>
    <row r="897" spans="1:38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499"/>
      <c r="AF897" s="500"/>
      <c r="AG897" s="500"/>
      <c r="AH897" s="501"/>
      <c r="AK897" s="229" t="str">
        <f>IF(OR(A897="",A897="[ALL]", A897="[ALL J]", A897="[ALL G]"),"",MAX(AK$3:AK896)+1)</f>
        <v/>
      </c>
      <c r="AL897" s="229" t="str">
        <f t="shared" si="13"/>
        <v/>
      </c>
    </row>
    <row r="898" spans="1:38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499"/>
      <c r="AF898" s="500"/>
      <c r="AG898" s="500"/>
      <c r="AH898" s="501"/>
      <c r="AK898" s="229" t="str">
        <f>IF(OR(A898="",A898="[ALL]", A898="[ALL J]", A898="[ALL G]"),"",MAX(AK$3:AK897)+1)</f>
        <v/>
      </c>
      <c r="AL898" s="229" t="str">
        <f t="shared" si="13"/>
        <v/>
      </c>
    </row>
    <row r="899" spans="1:38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499"/>
      <c r="AF899" s="500"/>
      <c r="AG899" s="500"/>
      <c r="AH899" s="501"/>
      <c r="AK899" s="229" t="str">
        <f>IF(OR(A899="",A899="[ALL]", A899="[ALL J]", A899="[ALL G]"),"",MAX(AK$3:AK898)+1)</f>
        <v/>
      </c>
      <c r="AL899" s="229" t="str">
        <f t="shared" si="13"/>
        <v/>
      </c>
    </row>
    <row r="900" spans="1:38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499"/>
      <c r="AF900" s="500"/>
      <c r="AG900" s="500"/>
      <c r="AH900" s="501"/>
      <c r="AK900" s="229" t="str">
        <f>IF(OR(A900="",A900="[ALL]", A900="[ALL J]", A900="[ALL G]"),"",MAX(AK$3:AK899)+1)</f>
        <v/>
      </c>
      <c r="AL900" s="229" t="str">
        <f t="shared" si="13"/>
        <v/>
      </c>
    </row>
    <row r="901" spans="1:38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499"/>
      <c r="AF901" s="500"/>
      <c r="AG901" s="500"/>
      <c r="AH901" s="501"/>
      <c r="AK901" s="229" t="str">
        <f>IF(OR(A901="",A901="[ALL]", A901="[ALL J]", A901="[ALL G]"),"",MAX(AK$3:AK900)+1)</f>
        <v/>
      </c>
      <c r="AL901" s="229" t="str">
        <f t="shared" ref="AL901:AL964" si="14">IFERROR(INDEX($A$4:$A$1000,MATCH(ROW()-ROW($AL$3),$AK$4:$AK$1000,0)),"")</f>
        <v/>
      </c>
    </row>
    <row r="902" spans="1:38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499"/>
      <c r="AF902" s="500"/>
      <c r="AG902" s="500"/>
      <c r="AH902" s="501"/>
      <c r="AK902" s="229" t="str">
        <f>IF(OR(A902="",A902="[ALL]", A902="[ALL J]", A902="[ALL G]"),"",MAX(AK$3:AK901)+1)</f>
        <v/>
      </c>
      <c r="AL902" s="229" t="str">
        <f t="shared" si="14"/>
        <v/>
      </c>
    </row>
    <row r="903" spans="1:38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499"/>
      <c r="AF903" s="500"/>
      <c r="AG903" s="500"/>
      <c r="AH903" s="501"/>
      <c r="AK903" s="229" t="str">
        <f>IF(OR(A903="",A903="[ALL]", A903="[ALL J]", A903="[ALL G]"),"",MAX(AK$3:AK902)+1)</f>
        <v/>
      </c>
      <c r="AL903" s="229" t="str">
        <f t="shared" si="14"/>
        <v/>
      </c>
    </row>
    <row r="904" spans="1:38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499"/>
      <c r="AF904" s="500"/>
      <c r="AG904" s="500"/>
      <c r="AH904" s="501"/>
      <c r="AK904" s="229" t="str">
        <f>IF(OR(A904="",A904="[ALL]", A904="[ALL J]", A904="[ALL G]"),"",MAX(AK$3:AK903)+1)</f>
        <v/>
      </c>
      <c r="AL904" s="229" t="str">
        <f t="shared" si="14"/>
        <v/>
      </c>
    </row>
    <row r="905" spans="1:38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499"/>
      <c r="AF905" s="500"/>
      <c r="AG905" s="500"/>
      <c r="AH905" s="501"/>
      <c r="AK905" s="229" t="str">
        <f>IF(OR(A905="",A905="[ALL]", A905="[ALL J]", A905="[ALL G]"),"",MAX(AK$3:AK904)+1)</f>
        <v/>
      </c>
      <c r="AL905" s="229" t="str">
        <f t="shared" si="14"/>
        <v/>
      </c>
    </row>
    <row r="906" spans="1:38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499"/>
      <c r="AF906" s="500"/>
      <c r="AG906" s="500"/>
      <c r="AH906" s="501"/>
      <c r="AK906" s="229" t="str">
        <f>IF(OR(A906="",A906="[ALL]", A906="[ALL J]", A906="[ALL G]"),"",MAX(AK$3:AK905)+1)</f>
        <v/>
      </c>
      <c r="AL906" s="229" t="str">
        <f t="shared" si="14"/>
        <v/>
      </c>
    </row>
    <row r="907" spans="1:38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499"/>
      <c r="AF907" s="500"/>
      <c r="AG907" s="500"/>
      <c r="AH907" s="501"/>
      <c r="AK907" s="229" t="str">
        <f>IF(OR(A907="",A907="[ALL]", A907="[ALL J]", A907="[ALL G]"),"",MAX(AK$3:AK906)+1)</f>
        <v/>
      </c>
      <c r="AL907" s="229" t="str">
        <f t="shared" si="14"/>
        <v/>
      </c>
    </row>
    <row r="908" spans="1:38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499"/>
      <c r="AF908" s="500"/>
      <c r="AG908" s="500"/>
      <c r="AH908" s="501"/>
      <c r="AK908" s="229" t="str">
        <f>IF(OR(A908="",A908="[ALL]", A908="[ALL J]", A908="[ALL G]"),"",MAX(AK$3:AK907)+1)</f>
        <v/>
      </c>
      <c r="AL908" s="229" t="str">
        <f t="shared" si="14"/>
        <v/>
      </c>
    </row>
    <row r="909" spans="1:38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499"/>
      <c r="AF909" s="500"/>
      <c r="AG909" s="500"/>
      <c r="AH909" s="501"/>
      <c r="AK909" s="229" t="str">
        <f>IF(OR(A909="",A909="[ALL]", A909="[ALL J]", A909="[ALL G]"),"",MAX(AK$3:AK908)+1)</f>
        <v/>
      </c>
      <c r="AL909" s="229" t="str">
        <f t="shared" si="14"/>
        <v/>
      </c>
    </row>
    <row r="910" spans="1:38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499"/>
      <c r="AF910" s="500"/>
      <c r="AG910" s="500"/>
      <c r="AH910" s="501"/>
      <c r="AK910" s="229" t="str">
        <f>IF(OR(A910="",A910="[ALL]", A910="[ALL J]", A910="[ALL G]"),"",MAX(AK$3:AK909)+1)</f>
        <v/>
      </c>
      <c r="AL910" s="229" t="str">
        <f t="shared" si="14"/>
        <v/>
      </c>
    </row>
    <row r="911" spans="1:38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499"/>
      <c r="AF911" s="500"/>
      <c r="AG911" s="500"/>
      <c r="AH911" s="501"/>
      <c r="AK911" s="229" t="str">
        <f>IF(OR(A911="",A911="[ALL]", A911="[ALL J]", A911="[ALL G]"),"",MAX(AK$3:AK910)+1)</f>
        <v/>
      </c>
      <c r="AL911" s="229" t="str">
        <f t="shared" si="14"/>
        <v/>
      </c>
    </row>
    <row r="912" spans="1:38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499"/>
      <c r="AF912" s="500"/>
      <c r="AG912" s="500"/>
      <c r="AH912" s="501"/>
      <c r="AK912" s="229" t="str">
        <f>IF(OR(A912="",A912="[ALL]", A912="[ALL J]", A912="[ALL G]"),"",MAX(AK$3:AK911)+1)</f>
        <v/>
      </c>
      <c r="AL912" s="229" t="str">
        <f t="shared" si="14"/>
        <v/>
      </c>
    </row>
    <row r="913" spans="1:38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499"/>
      <c r="AF913" s="500"/>
      <c r="AG913" s="500"/>
      <c r="AH913" s="501"/>
      <c r="AK913" s="229" t="str">
        <f>IF(OR(A913="",A913="[ALL]", A913="[ALL J]", A913="[ALL G]"),"",MAX(AK$3:AK912)+1)</f>
        <v/>
      </c>
      <c r="AL913" s="229" t="str">
        <f t="shared" si="14"/>
        <v/>
      </c>
    </row>
    <row r="914" spans="1:38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499"/>
      <c r="AF914" s="500"/>
      <c r="AG914" s="500"/>
      <c r="AH914" s="501"/>
      <c r="AK914" s="229" t="str">
        <f>IF(OR(A914="",A914="[ALL]", A914="[ALL J]", A914="[ALL G]"),"",MAX(AK$3:AK913)+1)</f>
        <v/>
      </c>
      <c r="AL914" s="229" t="str">
        <f t="shared" si="14"/>
        <v/>
      </c>
    </row>
    <row r="915" spans="1:38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499"/>
      <c r="AF915" s="500"/>
      <c r="AG915" s="500"/>
      <c r="AH915" s="501"/>
      <c r="AK915" s="229" t="str">
        <f>IF(OR(A915="",A915="[ALL]", A915="[ALL J]", A915="[ALL G]"),"",MAX(AK$3:AK914)+1)</f>
        <v/>
      </c>
      <c r="AL915" s="229" t="str">
        <f t="shared" si="14"/>
        <v/>
      </c>
    </row>
    <row r="916" spans="1:38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499"/>
      <c r="AF916" s="500"/>
      <c r="AG916" s="500"/>
      <c r="AH916" s="501"/>
      <c r="AK916" s="229" t="str">
        <f>IF(OR(A916="",A916="[ALL]", A916="[ALL J]", A916="[ALL G]"),"",MAX(AK$3:AK915)+1)</f>
        <v/>
      </c>
      <c r="AL916" s="229" t="str">
        <f t="shared" si="14"/>
        <v/>
      </c>
    </row>
    <row r="917" spans="1:38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499"/>
      <c r="AF917" s="500"/>
      <c r="AG917" s="500"/>
      <c r="AH917" s="501"/>
      <c r="AK917" s="229" t="str">
        <f>IF(OR(A917="",A917="[ALL]", A917="[ALL J]", A917="[ALL G]"),"",MAX(AK$3:AK916)+1)</f>
        <v/>
      </c>
      <c r="AL917" s="229" t="str">
        <f t="shared" si="14"/>
        <v/>
      </c>
    </row>
    <row r="918" spans="1:38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499"/>
      <c r="AF918" s="500"/>
      <c r="AG918" s="500"/>
      <c r="AH918" s="501"/>
      <c r="AK918" s="229" t="str">
        <f>IF(OR(A918="",A918="[ALL]", A918="[ALL J]", A918="[ALL G]"),"",MAX(AK$3:AK917)+1)</f>
        <v/>
      </c>
      <c r="AL918" s="229" t="str">
        <f t="shared" si="14"/>
        <v/>
      </c>
    </row>
    <row r="919" spans="1:38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499"/>
      <c r="AF919" s="500"/>
      <c r="AG919" s="500"/>
      <c r="AH919" s="501"/>
      <c r="AK919" s="229" t="str">
        <f>IF(OR(A919="",A919="[ALL]", A919="[ALL J]", A919="[ALL G]"),"",MAX(AK$3:AK918)+1)</f>
        <v/>
      </c>
      <c r="AL919" s="229" t="str">
        <f t="shared" si="14"/>
        <v/>
      </c>
    </row>
    <row r="920" spans="1:38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499"/>
      <c r="AF920" s="500"/>
      <c r="AG920" s="500"/>
      <c r="AH920" s="501"/>
      <c r="AK920" s="229" t="str">
        <f>IF(OR(A920="",A920="[ALL]", A920="[ALL J]", A920="[ALL G]"),"",MAX(AK$3:AK919)+1)</f>
        <v/>
      </c>
      <c r="AL920" s="229" t="str">
        <f t="shared" si="14"/>
        <v/>
      </c>
    </row>
    <row r="921" spans="1:38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499"/>
      <c r="AF921" s="500"/>
      <c r="AG921" s="500"/>
      <c r="AH921" s="501"/>
      <c r="AK921" s="229" t="str">
        <f>IF(OR(A921="",A921="[ALL]", A921="[ALL J]", A921="[ALL G]"),"",MAX(AK$3:AK920)+1)</f>
        <v/>
      </c>
      <c r="AL921" s="229" t="str">
        <f t="shared" si="14"/>
        <v/>
      </c>
    </row>
    <row r="922" spans="1:38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499"/>
      <c r="AF922" s="500"/>
      <c r="AG922" s="500"/>
      <c r="AH922" s="501"/>
      <c r="AK922" s="229" t="str">
        <f>IF(OR(A922="",A922="[ALL]", A922="[ALL J]", A922="[ALL G]"),"",MAX(AK$3:AK921)+1)</f>
        <v/>
      </c>
      <c r="AL922" s="229" t="str">
        <f t="shared" si="14"/>
        <v/>
      </c>
    </row>
    <row r="923" spans="1:38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499"/>
      <c r="AF923" s="500"/>
      <c r="AG923" s="500"/>
      <c r="AH923" s="501"/>
      <c r="AK923" s="229" t="str">
        <f>IF(OR(A923="",A923="[ALL]", A923="[ALL J]", A923="[ALL G]"),"",MAX(AK$3:AK922)+1)</f>
        <v/>
      </c>
      <c r="AL923" s="229" t="str">
        <f t="shared" si="14"/>
        <v/>
      </c>
    </row>
    <row r="924" spans="1:38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499"/>
      <c r="AF924" s="500"/>
      <c r="AG924" s="500"/>
      <c r="AH924" s="501"/>
      <c r="AK924" s="229" t="str">
        <f>IF(OR(A924="",A924="[ALL]", A924="[ALL J]", A924="[ALL G]"),"",MAX(AK$3:AK923)+1)</f>
        <v/>
      </c>
      <c r="AL924" s="229" t="str">
        <f t="shared" si="14"/>
        <v/>
      </c>
    </row>
    <row r="925" spans="1:38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499"/>
      <c r="AF925" s="500"/>
      <c r="AG925" s="500"/>
      <c r="AH925" s="501"/>
      <c r="AK925" s="229" t="str">
        <f>IF(OR(A925="",A925="[ALL]", A925="[ALL J]", A925="[ALL G]"),"",MAX(AK$3:AK924)+1)</f>
        <v/>
      </c>
      <c r="AL925" s="229" t="str">
        <f t="shared" si="14"/>
        <v/>
      </c>
    </row>
    <row r="926" spans="1:38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499"/>
      <c r="AF926" s="500"/>
      <c r="AG926" s="500"/>
      <c r="AH926" s="501"/>
      <c r="AK926" s="229" t="str">
        <f>IF(OR(A926="",A926="[ALL]", A926="[ALL J]", A926="[ALL G]"),"",MAX(AK$3:AK925)+1)</f>
        <v/>
      </c>
      <c r="AL926" s="229" t="str">
        <f t="shared" si="14"/>
        <v/>
      </c>
    </row>
    <row r="927" spans="1:38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499"/>
      <c r="AF927" s="500"/>
      <c r="AG927" s="500"/>
      <c r="AH927" s="501"/>
      <c r="AK927" s="229" t="str">
        <f>IF(OR(A927="",A927="[ALL]", A927="[ALL J]", A927="[ALL G]"),"",MAX(AK$3:AK926)+1)</f>
        <v/>
      </c>
      <c r="AL927" s="229" t="str">
        <f t="shared" si="14"/>
        <v/>
      </c>
    </row>
    <row r="928" spans="1:38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499"/>
      <c r="AF928" s="500"/>
      <c r="AG928" s="500"/>
      <c r="AH928" s="501"/>
      <c r="AK928" s="229" t="str">
        <f>IF(OR(A928="",A928="[ALL]", A928="[ALL J]", A928="[ALL G]"),"",MAX(AK$3:AK927)+1)</f>
        <v/>
      </c>
      <c r="AL928" s="229" t="str">
        <f t="shared" si="14"/>
        <v/>
      </c>
    </row>
    <row r="929" spans="1:38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499"/>
      <c r="AF929" s="500"/>
      <c r="AG929" s="500"/>
      <c r="AH929" s="501"/>
      <c r="AK929" s="229" t="str">
        <f>IF(OR(A929="",A929="[ALL]", A929="[ALL J]", A929="[ALL G]"),"",MAX(AK$3:AK928)+1)</f>
        <v/>
      </c>
      <c r="AL929" s="229" t="str">
        <f t="shared" si="14"/>
        <v/>
      </c>
    </row>
    <row r="930" spans="1:38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499"/>
      <c r="AF930" s="500"/>
      <c r="AG930" s="500"/>
      <c r="AH930" s="501"/>
      <c r="AK930" s="229" t="str">
        <f>IF(OR(A930="",A930="[ALL]", A930="[ALL J]", A930="[ALL G]"),"",MAX(AK$3:AK929)+1)</f>
        <v/>
      </c>
      <c r="AL930" s="229" t="str">
        <f t="shared" si="14"/>
        <v/>
      </c>
    </row>
    <row r="931" spans="1:38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499"/>
      <c r="AF931" s="500"/>
      <c r="AG931" s="500"/>
      <c r="AH931" s="501"/>
      <c r="AK931" s="229" t="str">
        <f>IF(OR(A931="",A931="[ALL]", A931="[ALL J]", A931="[ALL G]"),"",MAX(AK$3:AK930)+1)</f>
        <v/>
      </c>
      <c r="AL931" s="229" t="str">
        <f t="shared" si="14"/>
        <v/>
      </c>
    </row>
    <row r="932" spans="1:38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499"/>
      <c r="AF932" s="500"/>
      <c r="AG932" s="500"/>
      <c r="AH932" s="501"/>
      <c r="AK932" s="229" t="str">
        <f>IF(OR(A932="",A932="[ALL]", A932="[ALL J]", A932="[ALL G]"),"",MAX(AK$3:AK931)+1)</f>
        <v/>
      </c>
      <c r="AL932" s="229" t="str">
        <f t="shared" si="14"/>
        <v/>
      </c>
    </row>
    <row r="933" spans="1:38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499"/>
      <c r="AF933" s="500"/>
      <c r="AG933" s="500"/>
      <c r="AH933" s="501"/>
      <c r="AK933" s="229" t="str">
        <f>IF(OR(A933="",A933="[ALL]", A933="[ALL J]", A933="[ALL G]"),"",MAX(AK$3:AK932)+1)</f>
        <v/>
      </c>
      <c r="AL933" s="229" t="str">
        <f t="shared" si="14"/>
        <v/>
      </c>
    </row>
    <row r="934" spans="1:38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499"/>
      <c r="AF934" s="500"/>
      <c r="AG934" s="500"/>
      <c r="AH934" s="501"/>
      <c r="AK934" s="229" t="str">
        <f>IF(OR(A934="",A934="[ALL]", A934="[ALL J]", A934="[ALL G]"),"",MAX(AK$3:AK933)+1)</f>
        <v/>
      </c>
      <c r="AL934" s="229" t="str">
        <f t="shared" si="14"/>
        <v/>
      </c>
    </row>
    <row r="935" spans="1:38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499"/>
      <c r="AF935" s="500"/>
      <c r="AG935" s="500"/>
      <c r="AH935" s="501"/>
      <c r="AK935" s="229" t="str">
        <f>IF(OR(A935="",A935="[ALL]", A935="[ALL J]", A935="[ALL G]"),"",MAX(AK$3:AK934)+1)</f>
        <v/>
      </c>
      <c r="AL935" s="229" t="str">
        <f t="shared" si="14"/>
        <v/>
      </c>
    </row>
    <row r="936" spans="1:38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499"/>
      <c r="AF936" s="500"/>
      <c r="AG936" s="500"/>
      <c r="AH936" s="501"/>
      <c r="AK936" s="229" t="str">
        <f>IF(OR(A936="",A936="[ALL]", A936="[ALL J]", A936="[ALL G]"),"",MAX(AK$3:AK935)+1)</f>
        <v/>
      </c>
      <c r="AL936" s="229" t="str">
        <f t="shared" si="14"/>
        <v/>
      </c>
    </row>
    <row r="937" spans="1:38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499"/>
      <c r="AF937" s="500"/>
      <c r="AG937" s="500"/>
      <c r="AH937" s="501"/>
      <c r="AK937" s="229" t="str">
        <f>IF(OR(A937="",A937="[ALL]", A937="[ALL J]", A937="[ALL G]"),"",MAX(AK$3:AK936)+1)</f>
        <v/>
      </c>
      <c r="AL937" s="229" t="str">
        <f t="shared" si="14"/>
        <v/>
      </c>
    </row>
    <row r="938" spans="1:38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499"/>
      <c r="AF938" s="500"/>
      <c r="AG938" s="500"/>
      <c r="AH938" s="501"/>
      <c r="AK938" s="229" t="str">
        <f>IF(OR(A938="",A938="[ALL]", A938="[ALL J]", A938="[ALL G]"),"",MAX(AK$3:AK937)+1)</f>
        <v/>
      </c>
      <c r="AL938" s="229" t="str">
        <f t="shared" si="14"/>
        <v/>
      </c>
    </row>
    <row r="939" spans="1:38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499"/>
      <c r="AF939" s="500"/>
      <c r="AG939" s="500"/>
      <c r="AH939" s="501"/>
      <c r="AK939" s="229" t="str">
        <f>IF(OR(A939="",A939="[ALL]", A939="[ALL J]", A939="[ALL G]"),"",MAX(AK$3:AK938)+1)</f>
        <v/>
      </c>
      <c r="AL939" s="229" t="str">
        <f t="shared" si="14"/>
        <v/>
      </c>
    </row>
    <row r="940" spans="1:38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499"/>
      <c r="AF940" s="500"/>
      <c r="AG940" s="500"/>
      <c r="AH940" s="501"/>
      <c r="AK940" s="229" t="str">
        <f>IF(OR(A940="",A940="[ALL]", A940="[ALL J]", A940="[ALL G]"),"",MAX(AK$3:AK939)+1)</f>
        <v/>
      </c>
      <c r="AL940" s="229" t="str">
        <f t="shared" si="14"/>
        <v/>
      </c>
    </row>
    <row r="941" spans="1:38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499"/>
      <c r="AF941" s="500"/>
      <c r="AG941" s="500"/>
      <c r="AH941" s="501"/>
      <c r="AK941" s="229" t="str">
        <f>IF(OR(A941="",A941="[ALL]", A941="[ALL J]", A941="[ALL G]"),"",MAX(AK$3:AK940)+1)</f>
        <v/>
      </c>
      <c r="AL941" s="229" t="str">
        <f t="shared" si="14"/>
        <v/>
      </c>
    </row>
    <row r="942" spans="1:38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499"/>
      <c r="AF942" s="500"/>
      <c r="AG942" s="500"/>
      <c r="AH942" s="501"/>
      <c r="AK942" s="229" t="str">
        <f>IF(OR(A942="",A942="[ALL]", A942="[ALL J]", A942="[ALL G]"),"",MAX(AK$3:AK941)+1)</f>
        <v/>
      </c>
      <c r="AL942" s="229" t="str">
        <f t="shared" si="14"/>
        <v/>
      </c>
    </row>
    <row r="943" spans="1:38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499"/>
      <c r="AF943" s="500"/>
      <c r="AG943" s="500"/>
      <c r="AH943" s="501"/>
      <c r="AK943" s="229" t="str">
        <f>IF(OR(A943="",A943="[ALL]", A943="[ALL J]", A943="[ALL G]"),"",MAX(AK$3:AK942)+1)</f>
        <v/>
      </c>
      <c r="AL943" s="229" t="str">
        <f t="shared" si="14"/>
        <v/>
      </c>
    </row>
    <row r="944" spans="1:38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499"/>
      <c r="AF944" s="500"/>
      <c r="AG944" s="500"/>
      <c r="AH944" s="501"/>
      <c r="AK944" s="229" t="str">
        <f>IF(OR(A944="",A944="[ALL]", A944="[ALL J]", A944="[ALL G]"),"",MAX(AK$3:AK943)+1)</f>
        <v/>
      </c>
      <c r="AL944" s="229" t="str">
        <f t="shared" si="14"/>
        <v/>
      </c>
    </row>
    <row r="945" spans="1:38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499"/>
      <c r="AF945" s="500"/>
      <c r="AG945" s="500"/>
      <c r="AH945" s="501"/>
      <c r="AK945" s="229" t="str">
        <f>IF(OR(A945="",A945="[ALL]", A945="[ALL J]", A945="[ALL G]"),"",MAX(AK$3:AK944)+1)</f>
        <v/>
      </c>
      <c r="AL945" s="229" t="str">
        <f t="shared" si="14"/>
        <v/>
      </c>
    </row>
    <row r="946" spans="1:38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499"/>
      <c r="AF946" s="500"/>
      <c r="AG946" s="500"/>
      <c r="AH946" s="501"/>
      <c r="AK946" s="229" t="str">
        <f>IF(OR(A946="",A946="[ALL]", A946="[ALL J]", A946="[ALL G]"),"",MAX(AK$3:AK945)+1)</f>
        <v/>
      </c>
      <c r="AL946" s="229" t="str">
        <f t="shared" si="14"/>
        <v/>
      </c>
    </row>
    <row r="947" spans="1:38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499"/>
      <c r="AF947" s="500"/>
      <c r="AG947" s="500"/>
      <c r="AH947" s="501"/>
      <c r="AK947" s="229" t="str">
        <f>IF(OR(A947="",A947="[ALL]", A947="[ALL J]", A947="[ALL G]"),"",MAX(AK$3:AK946)+1)</f>
        <v/>
      </c>
      <c r="AL947" s="229" t="str">
        <f t="shared" si="14"/>
        <v/>
      </c>
    </row>
    <row r="948" spans="1:38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499"/>
      <c r="AF948" s="500"/>
      <c r="AG948" s="500"/>
      <c r="AH948" s="501"/>
      <c r="AK948" s="229" t="str">
        <f>IF(OR(A948="",A948="[ALL]", A948="[ALL J]", A948="[ALL G]"),"",MAX(AK$3:AK947)+1)</f>
        <v/>
      </c>
      <c r="AL948" s="229" t="str">
        <f t="shared" si="14"/>
        <v/>
      </c>
    </row>
    <row r="949" spans="1:38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499"/>
      <c r="AF949" s="500"/>
      <c r="AG949" s="500"/>
      <c r="AH949" s="501"/>
      <c r="AK949" s="229" t="str">
        <f>IF(OR(A949="",A949="[ALL]", A949="[ALL J]", A949="[ALL G]"),"",MAX(AK$3:AK948)+1)</f>
        <v/>
      </c>
      <c r="AL949" s="229" t="str">
        <f t="shared" si="14"/>
        <v/>
      </c>
    </row>
    <row r="950" spans="1:38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499"/>
      <c r="AF950" s="500"/>
      <c r="AG950" s="500"/>
      <c r="AH950" s="501"/>
      <c r="AK950" s="229" t="str">
        <f>IF(OR(A950="",A950="[ALL]", A950="[ALL J]", A950="[ALL G]"),"",MAX(AK$3:AK949)+1)</f>
        <v/>
      </c>
      <c r="AL950" s="229" t="str">
        <f t="shared" si="14"/>
        <v/>
      </c>
    </row>
    <row r="951" spans="1:38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499"/>
      <c r="AF951" s="500"/>
      <c r="AG951" s="500"/>
      <c r="AH951" s="501"/>
      <c r="AK951" s="229" t="str">
        <f>IF(OR(A951="",A951="[ALL]", A951="[ALL J]", A951="[ALL G]"),"",MAX(AK$3:AK950)+1)</f>
        <v/>
      </c>
      <c r="AL951" s="229" t="str">
        <f t="shared" si="14"/>
        <v/>
      </c>
    </row>
    <row r="952" spans="1:38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499"/>
      <c r="AF952" s="500"/>
      <c r="AG952" s="500"/>
      <c r="AH952" s="501"/>
      <c r="AK952" s="229" t="str">
        <f>IF(OR(A952="",A952="[ALL]", A952="[ALL J]", A952="[ALL G]"),"",MAX(AK$3:AK951)+1)</f>
        <v/>
      </c>
      <c r="AL952" s="229" t="str">
        <f t="shared" si="14"/>
        <v/>
      </c>
    </row>
    <row r="953" spans="1:38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499"/>
      <c r="AF953" s="500"/>
      <c r="AG953" s="500"/>
      <c r="AH953" s="501"/>
      <c r="AK953" s="229" t="str">
        <f>IF(OR(A953="",A953="[ALL]", A953="[ALL J]", A953="[ALL G]"),"",MAX(AK$3:AK952)+1)</f>
        <v/>
      </c>
      <c r="AL953" s="229" t="str">
        <f t="shared" si="14"/>
        <v/>
      </c>
    </row>
    <row r="954" spans="1:38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499"/>
      <c r="AF954" s="500"/>
      <c r="AG954" s="500"/>
      <c r="AH954" s="501"/>
      <c r="AK954" s="229" t="str">
        <f>IF(OR(A954="",A954="[ALL]", A954="[ALL J]", A954="[ALL G]"),"",MAX(AK$3:AK953)+1)</f>
        <v/>
      </c>
      <c r="AL954" s="229" t="str">
        <f t="shared" si="14"/>
        <v/>
      </c>
    </row>
    <row r="955" spans="1:38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499"/>
      <c r="AF955" s="500"/>
      <c r="AG955" s="500"/>
      <c r="AH955" s="501"/>
      <c r="AK955" s="229" t="str">
        <f>IF(OR(A955="",A955="[ALL]", A955="[ALL J]", A955="[ALL G]"),"",MAX(AK$3:AK954)+1)</f>
        <v/>
      </c>
      <c r="AL955" s="229" t="str">
        <f t="shared" si="14"/>
        <v/>
      </c>
    </row>
    <row r="956" spans="1:38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499"/>
      <c r="AF956" s="500"/>
      <c r="AG956" s="500"/>
      <c r="AH956" s="501"/>
      <c r="AK956" s="229" t="str">
        <f>IF(OR(A956="",A956="[ALL]", A956="[ALL J]", A956="[ALL G]"),"",MAX(AK$3:AK955)+1)</f>
        <v/>
      </c>
      <c r="AL956" s="229" t="str">
        <f t="shared" si="14"/>
        <v/>
      </c>
    </row>
    <row r="957" spans="1:38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499"/>
      <c r="AF957" s="500"/>
      <c r="AG957" s="500"/>
      <c r="AH957" s="501"/>
      <c r="AK957" s="229" t="str">
        <f>IF(OR(A957="",A957="[ALL]", A957="[ALL J]", A957="[ALL G]"),"",MAX(AK$3:AK956)+1)</f>
        <v/>
      </c>
      <c r="AL957" s="229" t="str">
        <f t="shared" si="14"/>
        <v/>
      </c>
    </row>
    <row r="958" spans="1:38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499"/>
      <c r="AF958" s="500"/>
      <c r="AG958" s="500"/>
      <c r="AH958" s="501"/>
      <c r="AK958" s="229" t="str">
        <f>IF(OR(A958="",A958="[ALL]", A958="[ALL J]", A958="[ALL G]"),"",MAX(AK$3:AK957)+1)</f>
        <v/>
      </c>
      <c r="AL958" s="229" t="str">
        <f t="shared" si="14"/>
        <v/>
      </c>
    </row>
    <row r="959" spans="1:38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499"/>
      <c r="AF959" s="500"/>
      <c r="AG959" s="500"/>
      <c r="AH959" s="501"/>
      <c r="AK959" s="229" t="str">
        <f>IF(OR(A959="",A959="[ALL]", A959="[ALL J]", A959="[ALL G]"),"",MAX(AK$3:AK958)+1)</f>
        <v/>
      </c>
      <c r="AL959" s="229" t="str">
        <f t="shared" si="14"/>
        <v/>
      </c>
    </row>
    <row r="960" spans="1:38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499"/>
      <c r="AF960" s="500"/>
      <c r="AG960" s="500"/>
      <c r="AH960" s="501"/>
      <c r="AK960" s="229" t="str">
        <f>IF(OR(A960="",A960="[ALL]", A960="[ALL J]", A960="[ALL G]"),"",MAX(AK$3:AK959)+1)</f>
        <v/>
      </c>
      <c r="AL960" s="229" t="str">
        <f t="shared" si="14"/>
        <v/>
      </c>
    </row>
    <row r="961" spans="1:38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499"/>
      <c r="AF961" s="500"/>
      <c r="AG961" s="500"/>
      <c r="AH961" s="501"/>
      <c r="AK961" s="229" t="str">
        <f>IF(OR(A961="",A961="[ALL]", A961="[ALL J]", A961="[ALL G]"),"",MAX(AK$3:AK960)+1)</f>
        <v/>
      </c>
      <c r="AL961" s="229" t="str">
        <f t="shared" si="14"/>
        <v/>
      </c>
    </row>
    <row r="962" spans="1:38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499"/>
      <c r="AF962" s="500"/>
      <c r="AG962" s="500"/>
      <c r="AH962" s="501"/>
      <c r="AK962" s="229" t="str">
        <f>IF(OR(A962="",A962="[ALL]", A962="[ALL J]", A962="[ALL G]"),"",MAX(AK$3:AK961)+1)</f>
        <v/>
      </c>
      <c r="AL962" s="229" t="str">
        <f t="shared" si="14"/>
        <v/>
      </c>
    </row>
    <row r="963" spans="1:38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499"/>
      <c r="AF963" s="500"/>
      <c r="AG963" s="500"/>
      <c r="AH963" s="501"/>
      <c r="AK963" s="229" t="str">
        <f>IF(OR(A963="",A963="[ALL]", A963="[ALL J]", A963="[ALL G]"),"",MAX(AK$3:AK962)+1)</f>
        <v/>
      </c>
      <c r="AL963" s="229" t="str">
        <f t="shared" si="14"/>
        <v/>
      </c>
    </row>
    <row r="964" spans="1:38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499"/>
      <c r="AF964" s="500"/>
      <c r="AG964" s="500"/>
      <c r="AH964" s="501"/>
      <c r="AK964" s="229" t="str">
        <f>IF(OR(A964="",A964="[ALL]", A964="[ALL J]", A964="[ALL G]"),"",MAX(AK$3:AK963)+1)</f>
        <v/>
      </c>
      <c r="AL964" s="229" t="str">
        <f t="shared" si="14"/>
        <v/>
      </c>
    </row>
    <row r="965" spans="1:38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499"/>
      <c r="AF965" s="500"/>
      <c r="AG965" s="500"/>
      <c r="AH965" s="501"/>
      <c r="AK965" s="229" t="str">
        <f>IF(OR(A965="",A965="[ALL]", A965="[ALL J]", A965="[ALL G]"),"",MAX(AK$3:AK964)+1)</f>
        <v/>
      </c>
      <c r="AL965" s="229" t="str">
        <f t="shared" ref="AL965:AL1000" si="15">IFERROR(INDEX($A$4:$A$1000,MATCH(ROW()-ROW($AL$3),$AK$4:$AK$1000,0)),"")</f>
        <v/>
      </c>
    </row>
    <row r="966" spans="1:38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499"/>
      <c r="AF966" s="500"/>
      <c r="AG966" s="500"/>
      <c r="AH966" s="501"/>
      <c r="AK966" s="229" t="str">
        <f>IF(OR(A966="",A966="[ALL]", A966="[ALL J]", A966="[ALL G]"),"",MAX(AK$3:AK965)+1)</f>
        <v/>
      </c>
      <c r="AL966" s="229" t="str">
        <f t="shared" si="15"/>
        <v/>
      </c>
    </row>
    <row r="967" spans="1:38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499"/>
      <c r="AF967" s="500"/>
      <c r="AG967" s="500"/>
      <c r="AH967" s="501"/>
      <c r="AK967" s="229" t="str">
        <f>IF(OR(A967="",A967="[ALL]", A967="[ALL J]", A967="[ALL G]"),"",MAX(AK$3:AK966)+1)</f>
        <v/>
      </c>
      <c r="AL967" s="229" t="str">
        <f t="shared" si="15"/>
        <v/>
      </c>
    </row>
    <row r="968" spans="1:38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499"/>
      <c r="AF968" s="500"/>
      <c r="AG968" s="500"/>
      <c r="AH968" s="501"/>
      <c r="AK968" s="229" t="str">
        <f>IF(OR(A968="",A968="[ALL]", A968="[ALL J]", A968="[ALL G]"),"",MAX(AK$3:AK967)+1)</f>
        <v/>
      </c>
      <c r="AL968" s="229" t="str">
        <f t="shared" si="15"/>
        <v/>
      </c>
    </row>
    <row r="969" spans="1:38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499"/>
      <c r="AF969" s="500"/>
      <c r="AG969" s="500"/>
      <c r="AH969" s="501"/>
      <c r="AK969" s="229" t="str">
        <f>IF(OR(A969="",A969="[ALL]", A969="[ALL J]", A969="[ALL G]"),"",MAX(AK$3:AK968)+1)</f>
        <v/>
      </c>
      <c r="AL969" s="229" t="str">
        <f t="shared" si="15"/>
        <v/>
      </c>
    </row>
    <row r="970" spans="1:38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499"/>
      <c r="AF970" s="500"/>
      <c r="AG970" s="500"/>
      <c r="AH970" s="501"/>
      <c r="AK970" s="229" t="str">
        <f>IF(OR(A970="",A970="[ALL]", A970="[ALL J]", A970="[ALL G]"),"",MAX(AK$3:AK969)+1)</f>
        <v/>
      </c>
      <c r="AL970" s="229" t="str">
        <f t="shared" si="15"/>
        <v/>
      </c>
    </row>
    <row r="971" spans="1:38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499"/>
      <c r="AF971" s="500"/>
      <c r="AG971" s="500"/>
      <c r="AH971" s="501"/>
      <c r="AK971" s="229" t="str">
        <f>IF(OR(A971="",A971="[ALL]", A971="[ALL J]", A971="[ALL G]"),"",MAX(AK$3:AK970)+1)</f>
        <v/>
      </c>
      <c r="AL971" s="229" t="str">
        <f t="shared" si="15"/>
        <v/>
      </c>
    </row>
    <row r="972" spans="1:38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499"/>
      <c r="AF972" s="500"/>
      <c r="AG972" s="500"/>
      <c r="AH972" s="501"/>
      <c r="AK972" s="229" t="str">
        <f>IF(OR(A972="",A972="[ALL]", A972="[ALL J]", A972="[ALL G]"),"",MAX(AK$3:AK971)+1)</f>
        <v/>
      </c>
      <c r="AL972" s="229" t="str">
        <f t="shared" si="15"/>
        <v/>
      </c>
    </row>
    <row r="973" spans="1:38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499"/>
      <c r="AF973" s="500"/>
      <c r="AG973" s="500"/>
      <c r="AH973" s="501"/>
      <c r="AK973" s="229" t="str">
        <f>IF(OR(A973="",A973="[ALL]", A973="[ALL J]", A973="[ALL G]"),"",MAX(AK$3:AK972)+1)</f>
        <v/>
      </c>
      <c r="AL973" s="229" t="str">
        <f t="shared" si="15"/>
        <v/>
      </c>
    </row>
    <row r="974" spans="1:38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499"/>
      <c r="AF974" s="500"/>
      <c r="AG974" s="500"/>
      <c r="AH974" s="501"/>
      <c r="AK974" s="229" t="str">
        <f>IF(OR(A974="",A974="[ALL]", A974="[ALL J]", A974="[ALL G]"),"",MAX(AK$3:AK973)+1)</f>
        <v/>
      </c>
      <c r="AL974" s="229" t="str">
        <f t="shared" si="15"/>
        <v/>
      </c>
    </row>
    <row r="975" spans="1:38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499"/>
      <c r="AF975" s="500"/>
      <c r="AG975" s="500"/>
      <c r="AH975" s="501"/>
      <c r="AK975" s="229" t="str">
        <f>IF(OR(A975="",A975="[ALL]", A975="[ALL J]", A975="[ALL G]"),"",MAX(AK$3:AK974)+1)</f>
        <v/>
      </c>
      <c r="AL975" s="229" t="str">
        <f t="shared" si="15"/>
        <v/>
      </c>
    </row>
    <row r="976" spans="1:38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499"/>
      <c r="AF976" s="500"/>
      <c r="AG976" s="500"/>
      <c r="AH976" s="501"/>
      <c r="AK976" s="229" t="str">
        <f>IF(OR(A976="",A976="[ALL]", A976="[ALL J]", A976="[ALL G]"),"",MAX(AK$3:AK975)+1)</f>
        <v/>
      </c>
      <c r="AL976" s="229" t="str">
        <f t="shared" si="15"/>
        <v/>
      </c>
    </row>
    <row r="977" spans="1:38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499"/>
      <c r="AF977" s="500"/>
      <c r="AG977" s="500"/>
      <c r="AH977" s="501"/>
      <c r="AK977" s="229" t="str">
        <f>IF(OR(A977="",A977="[ALL]", A977="[ALL J]", A977="[ALL G]"),"",MAX(AK$3:AK976)+1)</f>
        <v/>
      </c>
      <c r="AL977" s="229" t="str">
        <f t="shared" si="15"/>
        <v/>
      </c>
    </row>
    <row r="978" spans="1:38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499"/>
      <c r="AF978" s="500"/>
      <c r="AG978" s="500"/>
      <c r="AH978" s="501"/>
      <c r="AK978" s="229" t="str">
        <f>IF(OR(A978="",A978="[ALL]", A978="[ALL J]", A978="[ALL G]"),"",MAX(AK$3:AK977)+1)</f>
        <v/>
      </c>
      <c r="AL978" s="229" t="str">
        <f t="shared" si="15"/>
        <v/>
      </c>
    </row>
    <row r="979" spans="1:38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499"/>
      <c r="AF979" s="500"/>
      <c r="AG979" s="500"/>
      <c r="AH979" s="501"/>
      <c r="AK979" s="229" t="str">
        <f>IF(OR(A979="",A979="[ALL]", A979="[ALL J]", A979="[ALL G]"),"",MAX(AK$3:AK978)+1)</f>
        <v/>
      </c>
      <c r="AL979" s="229" t="str">
        <f t="shared" si="15"/>
        <v/>
      </c>
    </row>
    <row r="980" spans="1:38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499"/>
      <c r="AF980" s="500"/>
      <c r="AG980" s="500"/>
      <c r="AH980" s="501"/>
      <c r="AK980" s="229" t="str">
        <f>IF(OR(A980="",A980="[ALL]", A980="[ALL J]", A980="[ALL G]"),"",MAX(AK$3:AK979)+1)</f>
        <v/>
      </c>
      <c r="AL980" s="229" t="str">
        <f t="shared" si="15"/>
        <v/>
      </c>
    </row>
    <row r="981" spans="1:38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499"/>
      <c r="AF981" s="500"/>
      <c r="AG981" s="500"/>
      <c r="AH981" s="501"/>
      <c r="AK981" s="229" t="str">
        <f>IF(OR(A981="",A981="[ALL]", A981="[ALL J]", A981="[ALL G]"),"",MAX(AK$3:AK980)+1)</f>
        <v/>
      </c>
      <c r="AL981" s="229" t="str">
        <f t="shared" si="15"/>
        <v/>
      </c>
    </row>
    <row r="982" spans="1:38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499"/>
      <c r="AF982" s="500"/>
      <c r="AG982" s="500"/>
      <c r="AH982" s="501"/>
      <c r="AK982" s="229" t="str">
        <f>IF(OR(A982="",A982="[ALL]", A982="[ALL J]", A982="[ALL G]"),"",MAX(AK$3:AK981)+1)</f>
        <v/>
      </c>
      <c r="AL982" s="229" t="str">
        <f t="shared" si="15"/>
        <v/>
      </c>
    </row>
    <row r="983" spans="1:38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499"/>
      <c r="AF983" s="500"/>
      <c r="AG983" s="500"/>
      <c r="AH983" s="501"/>
      <c r="AK983" s="229" t="str">
        <f>IF(OR(A983="",A983="[ALL]", A983="[ALL J]", A983="[ALL G]"),"",MAX(AK$3:AK982)+1)</f>
        <v/>
      </c>
      <c r="AL983" s="229" t="str">
        <f t="shared" si="15"/>
        <v/>
      </c>
    </row>
    <row r="984" spans="1:38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499"/>
      <c r="AF984" s="500"/>
      <c r="AG984" s="500"/>
      <c r="AH984" s="501"/>
      <c r="AK984" s="229" t="str">
        <f>IF(OR(A984="",A984="[ALL]", A984="[ALL J]", A984="[ALL G]"),"",MAX(AK$3:AK983)+1)</f>
        <v/>
      </c>
      <c r="AL984" s="229" t="str">
        <f t="shared" si="15"/>
        <v/>
      </c>
    </row>
    <row r="985" spans="1:38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499"/>
      <c r="AF985" s="500"/>
      <c r="AG985" s="500"/>
      <c r="AH985" s="501"/>
      <c r="AK985" s="229" t="str">
        <f>IF(OR(A985="",A985="[ALL]", A985="[ALL J]", A985="[ALL G]"),"",MAX(AK$3:AK984)+1)</f>
        <v/>
      </c>
      <c r="AL985" s="229" t="str">
        <f t="shared" si="15"/>
        <v/>
      </c>
    </row>
    <row r="986" spans="1:38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499"/>
      <c r="AF986" s="500"/>
      <c r="AG986" s="500"/>
      <c r="AH986" s="501"/>
      <c r="AK986" s="229" t="str">
        <f>IF(OR(A986="",A986="[ALL]", A986="[ALL J]", A986="[ALL G]"),"",MAX(AK$3:AK985)+1)</f>
        <v/>
      </c>
      <c r="AL986" s="229" t="str">
        <f t="shared" si="15"/>
        <v/>
      </c>
    </row>
    <row r="987" spans="1:38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499"/>
      <c r="AF987" s="500"/>
      <c r="AG987" s="500"/>
      <c r="AH987" s="501"/>
      <c r="AK987" s="229" t="str">
        <f>IF(OR(A987="",A987="[ALL]", A987="[ALL J]", A987="[ALL G]"),"",MAX(AK$3:AK986)+1)</f>
        <v/>
      </c>
      <c r="AL987" s="229" t="str">
        <f t="shared" si="15"/>
        <v/>
      </c>
    </row>
    <row r="988" spans="1:38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499"/>
      <c r="AF988" s="500"/>
      <c r="AG988" s="500"/>
      <c r="AH988" s="501"/>
      <c r="AK988" s="229" t="str">
        <f>IF(OR(A988="",A988="[ALL]", A988="[ALL J]", A988="[ALL G]"),"",MAX(AK$3:AK987)+1)</f>
        <v/>
      </c>
      <c r="AL988" s="229" t="str">
        <f t="shared" si="15"/>
        <v/>
      </c>
    </row>
    <row r="989" spans="1:38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499"/>
      <c r="AF989" s="500"/>
      <c r="AG989" s="500"/>
      <c r="AH989" s="501"/>
      <c r="AK989" s="229" t="str">
        <f>IF(OR(A989="",A989="[ALL]", A989="[ALL J]", A989="[ALL G]"),"",MAX(AK$3:AK988)+1)</f>
        <v/>
      </c>
      <c r="AL989" s="229" t="str">
        <f t="shared" si="15"/>
        <v/>
      </c>
    </row>
    <row r="990" spans="1:38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499"/>
      <c r="AF990" s="500"/>
      <c r="AG990" s="500"/>
      <c r="AH990" s="501"/>
      <c r="AK990" s="229" t="str">
        <f>IF(OR(A990="",A990="[ALL]", A990="[ALL J]", A990="[ALL G]"),"",MAX(AK$3:AK989)+1)</f>
        <v/>
      </c>
      <c r="AL990" s="229" t="str">
        <f t="shared" si="15"/>
        <v/>
      </c>
    </row>
    <row r="991" spans="1:38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499"/>
      <c r="AF991" s="500"/>
      <c r="AG991" s="500"/>
      <c r="AH991" s="501"/>
      <c r="AK991" s="229" t="str">
        <f>IF(OR(A991="",A991="[ALL]", A991="[ALL J]", A991="[ALL G]"),"",MAX(AK$3:AK990)+1)</f>
        <v/>
      </c>
      <c r="AL991" s="229" t="str">
        <f t="shared" si="15"/>
        <v/>
      </c>
    </row>
    <row r="992" spans="1:38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499"/>
      <c r="AF992" s="500"/>
      <c r="AG992" s="500"/>
      <c r="AH992" s="501"/>
      <c r="AK992" s="229" t="str">
        <f>IF(OR(A992="",A992="[ALL]", A992="[ALL J]", A992="[ALL G]"),"",MAX(AK$3:AK991)+1)</f>
        <v/>
      </c>
      <c r="AL992" s="229" t="str">
        <f t="shared" si="15"/>
        <v/>
      </c>
    </row>
    <row r="993" spans="1:38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499"/>
      <c r="AF993" s="500"/>
      <c r="AG993" s="500"/>
      <c r="AH993" s="501"/>
      <c r="AK993" s="229" t="str">
        <f>IF(OR(A993="",A993="[ALL]", A993="[ALL J]", A993="[ALL G]"),"",MAX(AK$3:AK992)+1)</f>
        <v/>
      </c>
      <c r="AL993" s="229" t="str">
        <f t="shared" si="15"/>
        <v/>
      </c>
    </row>
    <row r="994" spans="1:38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499"/>
      <c r="AF994" s="500"/>
      <c r="AG994" s="500"/>
      <c r="AH994" s="501"/>
      <c r="AK994" s="229" t="str">
        <f>IF(OR(A994="",A994="[ALL]", A994="[ALL J]", A994="[ALL G]"),"",MAX(AK$3:AK993)+1)</f>
        <v/>
      </c>
      <c r="AL994" s="229" t="str">
        <f t="shared" si="15"/>
        <v/>
      </c>
    </row>
    <row r="995" spans="1:38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499"/>
      <c r="AF995" s="500"/>
      <c r="AG995" s="500"/>
      <c r="AH995" s="501"/>
      <c r="AK995" s="229" t="str">
        <f>IF(OR(A995="",A995="[ALL]", A995="[ALL J]", A995="[ALL G]"),"",MAX(AK$3:AK994)+1)</f>
        <v/>
      </c>
      <c r="AL995" s="229" t="str">
        <f t="shared" si="15"/>
        <v/>
      </c>
    </row>
    <row r="996" spans="1:38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499"/>
      <c r="AF996" s="500"/>
      <c r="AG996" s="500"/>
      <c r="AH996" s="501"/>
      <c r="AK996" s="229" t="str">
        <f>IF(OR(A996="",A996="[ALL]", A996="[ALL J]", A996="[ALL G]"),"",MAX(AK$3:AK995)+1)</f>
        <v/>
      </c>
      <c r="AL996" s="229" t="str">
        <f t="shared" si="15"/>
        <v/>
      </c>
    </row>
    <row r="997" spans="1:38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499"/>
      <c r="AF997" s="500"/>
      <c r="AG997" s="500"/>
      <c r="AH997" s="501"/>
      <c r="AK997" s="229" t="str">
        <f>IF(OR(A997="",A997="[ALL]", A997="[ALL J]", A997="[ALL G]"),"",MAX(AK$3:AK996)+1)</f>
        <v/>
      </c>
      <c r="AL997" s="229" t="str">
        <f t="shared" si="15"/>
        <v/>
      </c>
    </row>
    <row r="998" spans="1:38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499"/>
      <c r="AF998" s="500"/>
      <c r="AG998" s="500"/>
      <c r="AH998" s="501"/>
      <c r="AK998" s="229" t="str">
        <f>IF(OR(A998="",A998="[ALL]", A998="[ALL J]", A998="[ALL G]"),"",MAX(AK$3:AK997)+1)</f>
        <v/>
      </c>
      <c r="AL998" s="229" t="str">
        <f t="shared" si="15"/>
        <v/>
      </c>
    </row>
    <row r="999" spans="1:38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499"/>
      <c r="AF999" s="500"/>
      <c r="AG999" s="500"/>
      <c r="AH999" s="501"/>
      <c r="AK999" s="229" t="str">
        <f>IF(OR(A999="",A999="[ALL]", A999="[ALL J]", A999="[ALL G]"),"",MAX(AK$3:AK998)+1)</f>
        <v/>
      </c>
      <c r="AL999" s="229" t="str">
        <f t="shared" si="15"/>
        <v/>
      </c>
    </row>
    <row r="1000" spans="1:38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499"/>
      <c r="AF1000" s="500"/>
      <c r="AG1000" s="500"/>
      <c r="AH1000" s="501"/>
      <c r="AK1000" s="229" t="str">
        <f>IF(OR(A1000="",A1000="[ALL]", A1000="[ALL J]", A1000="[ALL G]"),"",MAX(AK$3:AK999)+1)</f>
        <v/>
      </c>
      <c r="AL1000" s="229" t="str">
        <f t="shared" si="15"/>
        <v/>
      </c>
    </row>
  </sheetData>
  <mergeCells count="1017"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</mergeCells>
  <dataValidations count="4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5" sqref="B5"/>
    </sheetView>
  </sheetViews>
  <sheetFormatPr defaultRowHeight="12.75" x14ac:dyDescent="0.2"/>
  <cols>
    <col min="1" max="1" width="14.7109375" customWidth="1"/>
    <col min="2" max="2" width="21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0" t="str">
        <f ca="1">IF(ISBLANK(INDIRECT("Cover!D3")),"",INDIRECT("Cover!D3"))</f>
        <v>*</v>
      </c>
      <c r="C1" s="510"/>
      <c r="D1" s="510"/>
      <c r="E1" s="510"/>
      <c r="F1" s="304" t="s">
        <v>28</v>
      </c>
      <c r="G1" s="333" t="str">
        <f ca="1">IF(ISBLANK(INDIRECT("Cover!O2")),"",INDIRECT("Cover!O2"))</f>
        <v>*</v>
      </c>
      <c r="H1" s="333"/>
      <c r="I1" s="334"/>
      <c r="AA1" s="509"/>
      <c r="AB1" s="509"/>
      <c r="AC1" s="509"/>
    </row>
    <row r="2" spans="1:29" ht="16.5" thickBot="1" x14ac:dyDescent="0.25">
      <c r="A2" s="307" t="s">
        <v>27</v>
      </c>
      <c r="B2" s="511" t="str">
        <f ca="1">IF(ISBLANK(INDIRECT("Cover!D4")),"",INDIRECT("Cover!D4"))</f>
        <v>*</v>
      </c>
      <c r="C2" s="511"/>
      <c r="D2" s="511"/>
      <c r="E2" s="511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/>
      <c r="C58" s="308"/>
      <c r="D58" s="309"/>
      <c r="E58" s="308"/>
      <c r="F58" s="310"/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2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howErrorMessage="1" sqref="C5:C103">
      <formula1>"1210,1510,1714,2012,2521,3022,3528,4037"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1" t="s">
        <v>89</v>
      </c>
      <c r="B1" s="521"/>
      <c r="C1" s="521"/>
      <c r="D1" s="521"/>
      <c r="E1" s="521"/>
      <c r="F1" s="521"/>
    </row>
    <row r="2" spans="1:6" ht="47.25" customHeight="1" x14ac:dyDescent="0.2">
      <c r="A2" s="521"/>
      <c r="B2" s="521"/>
      <c r="C2" s="521"/>
      <c r="D2" s="521"/>
      <c r="E2" s="521"/>
      <c r="F2" s="521"/>
    </row>
    <row r="3" spans="1:6" ht="18" customHeight="1" x14ac:dyDescent="0.2">
      <c r="A3" s="512" t="s">
        <v>117</v>
      </c>
      <c r="B3" s="512"/>
      <c r="C3" s="512"/>
      <c r="D3" s="210"/>
      <c r="E3" s="209" t="s">
        <v>90</v>
      </c>
      <c r="F3" s="211"/>
    </row>
    <row r="4" spans="1:6" ht="18" customHeight="1" x14ac:dyDescent="0.2">
      <c r="A4" s="512" t="s">
        <v>118</v>
      </c>
      <c r="B4" s="512"/>
      <c r="C4" s="512"/>
      <c r="D4" s="212"/>
      <c r="E4" s="209" t="s">
        <v>91</v>
      </c>
      <c r="F4" s="211"/>
    </row>
    <row r="5" spans="1:6" ht="18.75" customHeight="1" thickBot="1" x14ac:dyDescent="0.25">
      <c r="A5" s="525"/>
      <c r="B5" s="525"/>
      <c r="C5" s="525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2" t="s">
        <v>95</v>
      </c>
      <c r="E6" s="523"/>
      <c r="F6" s="524"/>
    </row>
    <row r="7" spans="1:6" ht="15" customHeight="1" thickTop="1" x14ac:dyDescent="0.2">
      <c r="A7" s="218"/>
      <c r="B7" s="219"/>
      <c r="C7" s="219"/>
      <c r="D7" s="513" t="s">
        <v>96</v>
      </c>
      <c r="E7" s="513"/>
      <c r="F7" s="514"/>
    </row>
    <row r="8" spans="1:6" ht="15" customHeight="1" x14ac:dyDescent="0.2">
      <c r="A8" s="220"/>
      <c r="B8" s="221"/>
      <c r="C8" s="221"/>
      <c r="D8" s="515" t="s">
        <v>97</v>
      </c>
      <c r="E8" s="515"/>
      <c r="F8" s="516"/>
    </row>
    <row r="9" spans="1:6" ht="15" customHeight="1" x14ac:dyDescent="0.2">
      <c r="A9" s="220"/>
      <c r="B9" s="221"/>
      <c r="C9" s="221"/>
      <c r="D9" s="515" t="s">
        <v>98</v>
      </c>
      <c r="E9" s="515"/>
      <c r="F9" s="516"/>
    </row>
    <row r="10" spans="1:6" ht="15" customHeight="1" x14ac:dyDescent="0.2">
      <c r="A10" s="220"/>
      <c r="B10" s="221"/>
      <c r="C10" s="221"/>
      <c r="D10" s="515" t="s">
        <v>99</v>
      </c>
      <c r="E10" s="515"/>
      <c r="F10" s="516"/>
    </row>
    <row r="11" spans="1:6" ht="15" customHeight="1" x14ac:dyDescent="0.2">
      <c r="A11" s="220"/>
      <c r="B11" s="221"/>
      <c r="C11" s="221"/>
      <c r="D11" s="515" t="s">
        <v>100</v>
      </c>
      <c r="E11" s="515"/>
      <c r="F11" s="516"/>
    </row>
    <row r="12" spans="1:6" ht="15" customHeight="1" x14ac:dyDescent="0.2">
      <c r="A12" s="220"/>
      <c r="B12" s="221"/>
      <c r="C12" s="221"/>
      <c r="D12" s="515" t="s">
        <v>101</v>
      </c>
      <c r="E12" s="515"/>
      <c r="F12" s="516"/>
    </row>
    <row r="13" spans="1:6" ht="15" customHeight="1" x14ac:dyDescent="0.2">
      <c r="A13" s="220"/>
      <c r="B13" s="221"/>
      <c r="C13" s="221"/>
      <c r="D13" s="515" t="s">
        <v>102</v>
      </c>
      <c r="E13" s="515"/>
      <c r="F13" s="516"/>
    </row>
    <row r="14" spans="1:6" ht="15" customHeight="1" x14ac:dyDescent="0.2">
      <c r="A14" s="220"/>
      <c r="B14" s="221"/>
      <c r="C14" s="221"/>
      <c r="D14" s="515" t="s">
        <v>103</v>
      </c>
      <c r="E14" s="515"/>
      <c r="F14" s="516"/>
    </row>
    <row r="15" spans="1:6" ht="15" customHeight="1" x14ac:dyDescent="0.2">
      <c r="A15" s="220"/>
      <c r="B15" s="221"/>
      <c r="C15" s="221"/>
      <c r="D15" s="515" t="s">
        <v>104</v>
      </c>
      <c r="E15" s="515"/>
      <c r="F15" s="516"/>
    </row>
    <row r="16" spans="1:6" ht="15" customHeight="1" x14ac:dyDescent="0.2">
      <c r="A16" s="220"/>
      <c r="B16" s="221"/>
      <c r="C16" s="221"/>
      <c r="D16" s="515" t="s">
        <v>105</v>
      </c>
      <c r="E16" s="515"/>
      <c r="F16" s="516"/>
    </row>
    <row r="17" spans="1:6" ht="15" customHeight="1" x14ac:dyDescent="0.2">
      <c r="A17" s="220"/>
      <c r="B17" s="221"/>
      <c r="C17" s="221"/>
      <c r="D17" s="515" t="s">
        <v>106</v>
      </c>
      <c r="E17" s="515"/>
      <c r="F17" s="516"/>
    </row>
    <row r="18" spans="1:6" ht="15" customHeight="1" x14ac:dyDescent="0.2">
      <c r="A18" s="220"/>
      <c r="B18" s="221"/>
      <c r="C18" s="221"/>
      <c r="D18" s="515" t="s">
        <v>107</v>
      </c>
      <c r="E18" s="515"/>
      <c r="F18" s="516"/>
    </row>
    <row r="19" spans="1:6" ht="15" customHeight="1" x14ac:dyDescent="0.2">
      <c r="A19" s="220"/>
      <c r="B19" s="221"/>
      <c r="C19" s="221"/>
      <c r="D19" s="515" t="s">
        <v>108</v>
      </c>
      <c r="E19" s="515"/>
      <c r="F19" s="516"/>
    </row>
    <row r="20" spans="1:6" ht="15" customHeight="1" x14ac:dyDescent="0.2">
      <c r="A20" s="220"/>
      <c r="B20" s="221"/>
      <c r="C20" s="221"/>
      <c r="D20" s="515" t="s">
        <v>109</v>
      </c>
      <c r="E20" s="515"/>
      <c r="F20" s="516"/>
    </row>
    <row r="21" spans="1:6" ht="15" customHeight="1" x14ac:dyDescent="0.2">
      <c r="A21" s="220"/>
      <c r="B21" s="221"/>
      <c r="C21" s="221"/>
      <c r="D21" s="515" t="s">
        <v>110</v>
      </c>
      <c r="E21" s="515"/>
      <c r="F21" s="516"/>
    </row>
    <row r="22" spans="1:6" ht="15" customHeight="1" x14ac:dyDescent="0.2">
      <c r="A22" s="220"/>
      <c r="B22" s="221"/>
      <c r="C22" s="221"/>
      <c r="D22" s="515" t="s">
        <v>111</v>
      </c>
      <c r="E22" s="515"/>
      <c r="F22" s="516"/>
    </row>
    <row r="23" spans="1:6" ht="15" customHeight="1" x14ac:dyDescent="0.2">
      <c r="A23" s="220"/>
      <c r="B23" s="221"/>
      <c r="C23" s="221"/>
      <c r="D23" s="515" t="s">
        <v>112</v>
      </c>
      <c r="E23" s="515"/>
      <c r="F23" s="516"/>
    </row>
    <row r="24" spans="1:6" ht="15" customHeight="1" x14ac:dyDescent="0.2">
      <c r="A24" s="220"/>
      <c r="B24" s="221"/>
      <c r="C24" s="221"/>
      <c r="D24" s="515" t="s">
        <v>113</v>
      </c>
      <c r="E24" s="515"/>
      <c r="F24" s="516"/>
    </row>
    <row r="25" spans="1:6" ht="15" customHeight="1" x14ac:dyDescent="0.2">
      <c r="A25" s="220"/>
      <c r="B25" s="221"/>
      <c r="C25" s="221"/>
      <c r="D25" s="515" t="s">
        <v>114</v>
      </c>
      <c r="E25" s="515"/>
      <c r="F25" s="516"/>
    </row>
    <row r="26" spans="1:6" ht="15" customHeight="1" x14ac:dyDescent="0.2">
      <c r="A26" s="220"/>
      <c r="B26" s="221"/>
      <c r="C26" s="221"/>
      <c r="D26" s="515" t="s">
        <v>115</v>
      </c>
      <c r="E26" s="515"/>
      <c r="F26" s="516"/>
    </row>
    <row r="27" spans="1:6" ht="15" customHeight="1" x14ac:dyDescent="0.2">
      <c r="A27" s="220"/>
      <c r="B27" s="221"/>
      <c r="C27" s="221"/>
      <c r="D27" s="515" t="s">
        <v>116</v>
      </c>
      <c r="E27" s="515"/>
      <c r="F27" s="516"/>
    </row>
    <row r="28" spans="1:6" ht="15" customHeight="1" x14ac:dyDescent="0.2">
      <c r="A28" s="220"/>
      <c r="B28" s="221"/>
      <c r="C28" s="221"/>
      <c r="D28" s="515"/>
      <c r="E28" s="515"/>
      <c r="F28" s="516"/>
    </row>
    <row r="29" spans="1:6" ht="15" customHeight="1" x14ac:dyDescent="0.2">
      <c r="A29" s="220"/>
      <c r="B29" s="221"/>
      <c r="C29" s="221"/>
      <c r="D29" s="515"/>
      <c r="E29" s="515"/>
      <c r="F29" s="516"/>
    </row>
    <row r="30" spans="1:6" ht="15" customHeight="1" x14ac:dyDescent="0.2">
      <c r="A30" s="220"/>
      <c r="B30" s="221"/>
      <c r="C30" s="221"/>
      <c r="D30" s="515"/>
      <c r="E30" s="515"/>
      <c r="F30" s="516"/>
    </row>
    <row r="31" spans="1:6" ht="15" customHeight="1" x14ac:dyDescent="0.2">
      <c r="A31" s="220"/>
      <c r="B31" s="221"/>
      <c r="C31" s="221"/>
      <c r="D31" s="515"/>
      <c r="E31" s="515"/>
      <c r="F31" s="516"/>
    </row>
    <row r="32" spans="1:6" ht="15" customHeight="1" x14ac:dyDescent="0.2">
      <c r="A32" s="220"/>
      <c r="B32" s="221"/>
      <c r="C32" s="221"/>
      <c r="D32" s="515"/>
      <c r="E32" s="515"/>
      <c r="F32" s="516"/>
    </row>
    <row r="33" spans="1:6" ht="15" customHeight="1" x14ac:dyDescent="0.2">
      <c r="A33" s="220"/>
      <c r="B33" s="221"/>
      <c r="C33" s="221"/>
      <c r="D33" s="515"/>
      <c r="E33" s="515"/>
      <c r="F33" s="516"/>
    </row>
    <row r="34" spans="1:6" ht="15" customHeight="1" x14ac:dyDescent="0.2">
      <c r="A34" s="220"/>
      <c r="B34" s="221"/>
      <c r="C34" s="221"/>
      <c r="D34" s="515"/>
      <c r="E34" s="515"/>
      <c r="F34" s="516"/>
    </row>
    <row r="35" spans="1:6" ht="15" customHeight="1" x14ac:dyDescent="0.2">
      <c r="A35" s="220"/>
      <c r="B35" s="221"/>
      <c r="C35" s="221"/>
      <c r="D35" s="515"/>
      <c r="E35" s="515"/>
      <c r="F35" s="516"/>
    </row>
    <row r="36" spans="1:6" ht="15" customHeight="1" x14ac:dyDescent="0.2">
      <c r="A36" s="220"/>
      <c r="B36" s="221"/>
      <c r="C36" s="221"/>
      <c r="D36" s="515"/>
      <c r="E36" s="515"/>
      <c r="F36" s="516"/>
    </row>
    <row r="37" spans="1:6" ht="15" customHeight="1" x14ac:dyDescent="0.2">
      <c r="A37" s="220"/>
      <c r="B37" s="221"/>
      <c r="C37" s="221"/>
      <c r="D37" s="515"/>
      <c r="E37" s="515"/>
      <c r="F37" s="516"/>
    </row>
    <row r="38" spans="1:6" ht="15" customHeight="1" x14ac:dyDescent="0.2">
      <c r="A38" s="220"/>
      <c r="B38" s="221"/>
      <c r="C38" s="221"/>
      <c r="D38" s="515"/>
      <c r="E38" s="515"/>
      <c r="F38" s="516"/>
    </row>
    <row r="39" spans="1:6" ht="15" customHeight="1" x14ac:dyDescent="0.2">
      <c r="A39" s="220"/>
      <c r="B39" s="221"/>
      <c r="C39" s="221"/>
      <c r="D39" s="515"/>
      <c r="E39" s="515"/>
      <c r="F39" s="516"/>
    </row>
    <row r="40" spans="1:6" ht="15" customHeight="1" x14ac:dyDescent="0.2">
      <c r="A40" s="220"/>
      <c r="B40" s="221"/>
      <c r="C40" s="221"/>
      <c r="D40" s="515"/>
      <c r="E40" s="515"/>
      <c r="F40" s="516"/>
    </row>
    <row r="41" spans="1:6" ht="15" customHeight="1" x14ac:dyDescent="0.2">
      <c r="A41" s="220"/>
      <c r="B41" s="221"/>
      <c r="C41" s="221"/>
      <c r="D41" s="515"/>
      <c r="E41" s="515"/>
      <c r="F41" s="516"/>
    </row>
    <row r="42" spans="1:6" ht="15" customHeight="1" x14ac:dyDescent="0.2">
      <c r="A42" s="220"/>
      <c r="B42" s="221"/>
      <c r="C42" s="221"/>
      <c r="D42" s="515"/>
      <c r="E42" s="515"/>
      <c r="F42" s="516"/>
    </row>
    <row r="43" spans="1:6" ht="15" customHeight="1" x14ac:dyDescent="0.2">
      <c r="A43" s="220"/>
      <c r="B43" s="222"/>
      <c r="C43" s="222"/>
      <c r="D43" s="515"/>
      <c r="E43" s="515"/>
      <c r="F43" s="516"/>
    </row>
    <row r="44" spans="1:6" ht="15" customHeight="1" x14ac:dyDescent="0.2">
      <c r="A44" s="223"/>
      <c r="B44" s="224"/>
      <c r="C44" s="224"/>
      <c r="D44" s="519"/>
      <c r="E44" s="519"/>
      <c r="F44" s="520"/>
    </row>
    <row r="45" spans="1:6" ht="15" customHeight="1" x14ac:dyDescent="0.2">
      <c r="A45" s="225"/>
      <c r="B45" s="222"/>
      <c r="C45" s="222"/>
      <c r="D45" s="515"/>
      <c r="E45" s="515"/>
      <c r="F45" s="516"/>
    </row>
    <row r="46" spans="1:6" ht="15" customHeight="1" x14ac:dyDescent="0.2">
      <c r="A46" s="223"/>
      <c r="B46" s="224"/>
      <c r="C46" s="224"/>
      <c r="D46" s="519"/>
      <c r="E46" s="519"/>
      <c r="F46" s="520"/>
    </row>
    <row r="47" spans="1:6" ht="15" customHeight="1" thickBot="1" x14ac:dyDescent="0.25">
      <c r="A47" s="226"/>
      <c r="B47" s="227"/>
      <c r="C47" s="227"/>
      <c r="D47" s="517"/>
      <c r="E47" s="517"/>
      <c r="F47" s="518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2018-10-03T01:32:06Z</dcterms:modified>
</cp:coreProperties>
</file>