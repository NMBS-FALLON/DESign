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C2" i="13"/>
  <c r="C54" i="9"/>
  <c r="AC2" i="10"/>
  <c r="C1" i="12"/>
  <c r="C1" i="10"/>
  <c r="B2" i="65"/>
  <c r="P1" i="15"/>
  <c r="K7" i="66"/>
  <c r="J2" i="9"/>
  <c r="M2" i="12"/>
  <c r="K1" i="12"/>
  <c r="M2" i="14"/>
  <c r="R2" i="15"/>
  <c r="K9" i="66"/>
  <c r="Q2" i="13"/>
  <c r="C1" i="13"/>
  <c r="C1" i="14"/>
  <c r="C2" i="14"/>
  <c r="G1" i="65"/>
  <c r="C1" i="15"/>
  <c r="C2" i="15"/>
  <c r="O1" i="13"/>
  <c r="C2" i="12"/>
  <c r="B1" i="65"/>
  <c r="K6" i="66"/>
  <c r="C2" i="10"/>
  <c r="K1" i="14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<sst xmlns="http://schemas.openxmlformats.org/spreadsheetml/2006/main" count="2526" uniqueCount="224">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</sst>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527">
    <xf numFmtId="0" fontId="0" fillId="0" borderId="0" xfId="0"/>
    <xf numFmtId="3" fontId="15" fillId="0" borderId="1" xfId="0" applyNumberFormat="1" applyFont="1" applyFill="1" applyBorder="1" applyAlignment="1">
      <alignment horizontal="left" vertical="center" indent="1"/>
    </xf>
    <xf numFmtId="0" fontId="8" fillId="2" borderId="2" xfId="0" applyFont="1" applyFill="1" applyBorder="1" applyAlignment="1">
      <alignment horizontal="center"/>
    </xf>
    <xf numFmtId="1" fontId="9" fillId="2" borderId="3" xfId="0" applyNumberFormat="1" applyFont="1" applyFill="1" applyBorder="1" applyAlignment="1">
      <alignment horizontal="center" vertical="center"/>
    </xf>
    <xf numFmtId="1" fontId="8" fillId="0" borderId="4" xfId="0" applyNumberFormat="1" applyFont="1" applyFill="1" applyBorder="1" applyAlignment="1" applyProtection="1">
      <alignment horizontal="right" vertical="center"/>
    </xf>
    <xf numFmtId="3" fontId="15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6" fillId="3" borderId="0" xfId="0" applyFont="1" applyFill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6" fillId="3" borderId="0" xfId="0" applyFont="1" applyFill="1" applyBorder="1" applyProtection="1"/>
    <xf numFmtId="0" fontId="6" fillId="3" borderId="0" xfId="0" applyFont="1" applyFill="1" applyProtection="1"/>
    <xf numFmtId="0" fontId="6" fillId="3" borderId="0" xfId="0" applyFont="1" applyFill="1" applyAlignment="1" applyProtection="1"/>
    <xf numFmtId="0" fontId="6" fillId="3" borderId="0" xfId="0" applyFont="1" applyFill="1" applyAlignment="1" applyProtection="1">
      <alignment horizontal="center"/>
    </xf>
    <xf numFmtId="0" fontId="8" fillId="0" borderId="5" xfId="0" applyFont="1" applyFill="1" applyBorder="1" applyAlignment="1" applyProtection="1">
      <alignment horizontal="right" vertical="center"/>
    </xf>
    <xf numFmtId="0" fontId="8" fillId="0" borderId="6" xfId="0" applyFont="1" applyFill="1" applyBorder="1" applyAlignment="1" applyProtection="1">
      <alignment horizontal="right" vertical="center"/>
    </xf>
    <xf numFmtId="0" fontId="7" fillId="0" borderId="7" xfId="0" applyFont="1" applyFill="1" applyBorder="1" applyAlignment="1" applyProtection="1">
      <alignment horizontal="center"/>
    </xf>
    <xf numFmtId="0" fontId="8" fillId="0" borderId="1" xfId="0" applyFont="1" applyFill="1" applyBorder="1" applyAlignment="1" applyProtection="1">
      <alignment horizontal="center"/>
    </xf>
    <xf numFmtId="0" fontId="13" fillId="0" borderId="8" xfId="0" applyFont="1" applyFill="1" applyBorder="1" applyAlignment="1" applyProtection="1">
      <alignment horizontal="center" vertic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0" fontId="9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12" fillId="0" borderId="5" xfId="0" applyFont="1" applyFill="1" applyBorder="1" applyAlignment="1" applyProtection="1">
      <alignment horizontal="center" vertical="center"/>
    </xf>
    <xf numFmtId="1" fontId="14" fillId="0" borderId="9" xfId="0" applyNumberFormat="1" applyFont="1" applyFill="1" applyBorder="1" applyAlignment="1" applyProtection="1">
      <alignment horizontal="left" vertical="center"/>
    </xf>
    <xf numFmtId="0" fontId="8" fillId="0" borderId="2" xfId="0" applyFont="1" applyFill="1" applyBorder="1" applyAlignment="1" applyProtection="1">
      <alignment horizontal="center"/>
    </xf>
    <xf numFmtId="0" fontId="13" fillId="0" borderId="8" xfId="0" applyFont="1" applyFill="1" applyBorder="1" applyAlignment="1" applyProtection="1">
      <alignment horizontal="center"/>
      <protection locked="0"/>
    </xf>
    <xf numFmtId="3" fontId="13" fillId="0" borderId="10" xfId="0" applyNumberFormat="1" applyFont="1" applyFill="1" applyBorder="1" applyAlignment="1" applyProtection="1">
      <alignment horizontal="center"/>
      <protection locked="0"/>
    </xf>
    <xf numFmtId="1" fontId="11" fillId="3" borderId="6" xfId="0" applyNumberFormat="1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left" vertical="center"/>
    </xf>
    <xf numFmtId="49" fontId="13" fillId="0" borderId="8" xfId="0" applyNumberFormat="1" applyFont="1" applyFill="1" applyBorder="1" applyAlignment="1" applyProtection="1">
      <alignment horizontal="center" vertical="center"/>
      <protection locked="0"/>
    </xf>
    <xf numFmtId="49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3" fillId="0" borderId="12" xfId="0" applyNumberFormat="1" applyFont="1" applyFill="1" applyBorder="1" applyAlignment="1" applyProtection="1">
      <alignment horizontal="right" vertical="center"/>
      <protection locked="0"/>
    </xf>
    <xf numFmtId="1" fontId="13" fillId="0" borderId="13" xfId="0" applyNumberFormat="1" applyFont="1" applyFill="1" applyBorder="1" applyAlignment="1" applyProtection="1">
      <alignment horizontal="left" vertical="center"/>
      <protection locked="0"/>
    </xf>
    <xf numFmtId="3" fontId="13" fillId="0" borderId="11" xfId="0" applyNumberFormat="1" applyFont="1" applyFill="1" applyBorder="1" applyAlignment="1" applyProtection="1">
      <alignment horizontal="center" vertical="center"/>
      <protection locked="0"/>
    </xf>
    <xf numFmtId="4" fontId="14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6" fillId="3" borderId="0" xfId="0" applyFont="1" applyFill="1"/>
    <xf numFmtId="0" fontId="8" fillId="0" borderId="6" xfId="0" applyFont="1" applyFill="1" applyBorder="1" applyAlignment="1">
      <alignment horizontal="right" vertical="center"/>
    </xf>
    <xf numFmtId="0" fontId="8" fillId="0" borderId="5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0" fontId="16" fillId="0" borderId="11" xfId="0" applyFont="1" applyFill="1" applyBorder="1" applyAlignment="1" applyProtection="1">
      <alignment horizontal="center" vertical="center"/>
      <protection locked="0"/>
    </xf>
    <xf numFmtId="37" fontId="13" fillId="0" borderId="13" xfId="1" applyNumberFormat="1" applyFont="1" applyFill="1" applyBorder="1" applyAlignment="1" applyProtection="1">
      <alignment horizontal="center" vertical="center"/>
      <protection locked="0"/>
    </xf>
    <xf numFmtId="37" fontId="14" fillId="0" borderId="10" xfId="1" applyNumberFormat="1" applyFont="1" applyFill="1" applyBorder="1" applyAlignment="1">
      <alignment horizontal="center" vertical="center"/>
    </xf>
    <xf numFmtId="1" fontId="13" fillId="0" borderId="14" xfId="0" applyNumberFormat="1" applyFont="1" applyFill="1" applyBorder="1" applyAlignment="1" applyProtection="1">
      <alignment horizontal="center" vertical="center"/>
      <protection locked="0"/>
    </xf>
    <xf numFmtId="3" fontId="13" fillId="0" borderId="3" xfId="0" applyNumberFormat="1" applyFont="1" applyFill="1" applyBorder="1" applyAlignment="1" applyProtection="1">
      <alignment horizontal="center" vertical="center"/>
      <protection locked="0"/>
    </xf>
    <xf numFmtId="1" fontId="13" fillId="0" borderId="3" xfId="0" applyNumberFormat="1" applyFont="1" applyFill="1" applyBorder="1" applyAlignment="1" applyProtection="1">
      <alignment horizontal="center" vertical="center"/>
      <protection locked="0"/>
    </xf>
    <xf numFmtId="37" fontId="15" fillId="0" borderId="15" xfId="1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/>
    </xf>
    <xf numFmtId="0" fontId="7" fillId="0" borderId="17" xfId="0" applyFont="1" applyFill="1" applyBorder="1" applyAlignment="1" applyProtection="1">
      <alignment horizontal="center"/>
    </xf>
    <xf numFmtId="0" fontId="7" fillId="0" borderId="9" xfId="0" applyFont="1" applyFill="1" applyBorder="1" applyAlignment="1" applyProtection="1">
      <alignment horizontal="center"/>
    </xf>
    <xf numFmtId="49" fontId="13" fillId="0" borderId="18" xfId="0" applyNumberFormat="1" applyFont="1" applyFill="1" applyBorder="1" applyAlignment="1" applyProtection="1">
      <alignment horizontal="center" vertical="center"/>
      <protection locked="0"/>
    </xf>
    <xf numFmtId="37" fontId="13" fillId="0" borderId="18" xfId="1" applyNumberFormat="1" applyFont="1" applyFill="1" applyBorder="1" applyAlignment="1" applyProtection="1">
      <alignment horizontal="center" vertical="center"/>
      <protection locked="0"/>
    </xf>
    <xf numFmtId="165" fontId="13" fillId="0" borderId="13" xfId="0" applyNumberFormat="1" applyFont="1" applyFill="1" applyBorder="1" applyAlignment="1" applyProtection="1">
      <alignment horizontal="right" vertical="center"/>
      <protection locked="0"/>
    </xf>
    <xf numFmtId="166" fontId="13" fillId="0" borderId="13" xfId="0" applyNumberFormat="1" applyFont="1" applyFill="1" applyBorder="1" applyAlignment="1" applyProtection="1">
      <alignment horizontal="left" vertical="center"/>
      <protection locked="0"/>
    </xf>
    <xf numFmtId="1" fontId="13" fillId="0" borderId="8" xfId="0" applyNumberFormat="1" applyFont="1" applyFill="1" applyBorder="1" applyAlignment="1" applyProtection="1">
      <alignment horizontal="center" vertical="center"/>
      <protection locked="0"/>
    </xf>
    <xf numFmtId="166" fontId="13" fillId="0" borderId="19" xfId="0" applyNumberFormat="1" applyFont="1" applyFill="1" applyBorder="1" applyAlignment="1" applyProtection="1">
      <alignment horizontal="left" vertical="center"/>
      <protection locked="0"/>
    </xf>
    <xf numFmtId="166" fontId="13" fillId="0" borderId="8" xfId="0" applyNumberFormat="1" applyFont="1" applyFill="1" applyBorder="1" applyAlignment="1" applyProtection="1">
      <alignment horizontal="center" vertical="center"/>
      <protection locked="0"/>
    </xf>
    <xf numFmtId="166" fontId="13" fillId="0" borderId="10" xfId="0" applyNumberFormat="1" applyFont="1" applyFill="1" applyBorder="1" applyAlignment="1" applyProtection="1">
      <alignment horizontal="center" vertical="center"/>
      <protection locked="0"/>
    </xf>
    <xf numFmtId="1" fontId="13" fillId="0" borderId="18" xfId="0" applyNumberFormat="1" applyFont="1" applyFill="1" applyBorder="1" applyAlignment="1" applyProtection="1">
      <alignment horizontal="center" vertical="center"/>
      <protection locked="0"/>
    </xf>
    <xf numFmtId="37" fontId="13" fillId="0" borderId="20" xfId="1" applyNumberFormat="1" applyFont="1" applyFill="1" applyBorder="1" applyAlignment="1" applyProtection="1">
      <alignment horizontal="center" vertical="center"/>
      <protection locked="0"/>
    </xf>
    <xf numFmtId="49" fontId="13" fillId="0" borderId="20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right" vertical="center"/>
    </xf>
    <xf numFmtId="0" fontId="13" fillId="0" borderId="21" xfId="0" applyFont="1" applyFill="1" applyBorder="1" applyAlignment="1" applyProtection="1">
      <alignment horizontal="center"/>
      <protection locked="0"/>
    </xf>
    <xf numFmtId="0" fontId="13" fillId="0" borderId="22" xfId="0" applyFont="1" applyFill="1" applyBorder="1" applyAlignment="1" applyProtection="1">
      <alignment horizontal="center"/>
      <protection locked="0"/>
    </xf>
    <xf numFmtId="3" fontId="13" fillId="0" borderId="23" xfId="0" applyNumberFormat="1" applyFont="1" applyFill="1" applyBorder="1" applyAlignment="1" applyProtection="1">
      <alignment horizontal="center"/>
      <protection locked="0"/>
    </xf>
    <xf numFmtId="0" fontId="6" fillId="3" borderId="6" xfId="0" applyFont="1" applyFill="1" applyBorder="1" applyProtection="1"/>
    <xf numFmtId="0" fontId="14" fillId="0" borderId="5" xfId="0" applyFont="1" applyFill="1" applyBorder="1" applyAlignment="1" applyProtection="1">
      <alignment horizontal="left" vertical="center"/>
    </xf>
    <xf numFmtId="49" fontId="13" fillId="0" borderId="24" xfId="0" applyNumberFormat="1" applyFont="1" applyFill="1" applyBorder="1" applyAlignment="1" applyProtection="1">
      <alignment horizontal="center" vertical="center"/>
      <protection locked="0"/>
    </xf>
    <xf numFmtId="37" fontId="13" fillId="0" borderId="25" xfId="1" applyNumberFormat="1" applyFont="1" applyFill="1" applyBorder="1" applyAlignment="1" applyProtection="1">
      <alignment horizontal="center" vertical="center"/>
      <protection locked="0"/>
    </xf>
    <xf numFmtId="165" fontId="13" fillId="0" borderId="26" xfId="0" applyNumberFormat="1" applyFont="1" applyFill="1" applyBorder="1" applyAlignment="1" applyProtection="1">
      <alignment horizontal="right" vertical="center"/>
      <protection locked="0"/>
    </xf>
    <xf numFmtId="166" fontId="13" fillId="0" borderId="26" xfId="0" applyNumberFormat="1" applyFont="1" applyFill="1" applyBorder="1" applyAlignment="1" applyProtection="1">
      <alignment horizontal="left" vertical="center"/>
      <protection locked="0"/>
    </xf>
    <xf numFmtId="1" fontId="13" fillId="0" borderId="21" xfId="0" applyNumberFormat="1" applyFont="1" applyFill="1" applyBorder="1" applyAlignment="1" applyProtection="1">
      <alignment horizontal="center" vertical="center"/>
      <protection locked="0"/>
    </xf>
    <xf numFmtId="165" fontId="13" fillId="0" borderId="22" xfId="0" applyNumberFormat="1" applyFont="1" applyFill="1" applyBorder="1" applyAlignment="1" applyProtection="1">
      <alignment horizontal="right" vertical="center"/>
      <protection locked="0"/>
    </xf>
    <xf numFmtId="166" fontId="13" fillId="0" borderId="27" xfId="0" applyNumberFormat="1" applyFont="1" applyFill="1" applyBorder="1" applyAlignment="1" applyProtection="1">
      <alignment horizontal="left" vertical="center"/>
      <protection locked="0"/>
    </xf>
    <xf numFmtId="166" fontId="13" fillId="0" borderId="21" xfId="0" applyNumberFormat="1" applyFont="1" applyFill="1" applyBorder="1" applyAlignment="1" applyProtection="1">
      <alignment horizontal="center" vertical="center"/>
      <protection locked="0"/>
    </xf>
    <xf numFmtId="166" fontId="13" fillId="0" borderId="23" xfId="0" applyNumberFormat="1" applyFont="1" applyFill="1" applyBorder="1" applyAlignment="1" applyProtection="1">
      <alignment horizontal="center" vertical="center"/>
      <protection locked="0"/>
    </xf>
    <xf numFmtId="1" fontId="13" fillId="0" borderId="24" xfId="0" applyNumberFormat="1" applyFont="1" applyFill="1" applyBorder="1" applyAlignment="1" applyProtection="1">
      <alignment horizontal="center" vertical="center"/>
      <protection locked="0"/>
    </xf>
    <xf numFmtId="165" fontId="13" fillId="0" borderId="28" xfId="0" applyNumberFormat="1" applyFont="1" applyFill="1" applyBorder="1" applyAlignment="1" applyProtection="1">
      <alignment horizontal="right" vertical="center"/>
      <protection locked="0"/>
    </xf>
    <xf numFmtId="166" fontId="13" fillId="0" borderId="28" xfId="0" applyNumberFormat="1" applyFont="1" applyFill="1" applyBorder="1" applyAlignment="1" applyProtection="1">
      <alignment horizontal="left" vertical="center"/>
      <protection locked="0"/>
    </xf>
    <xf numFmtId="1" fontId="13" fillId="0" borderId="29" xfId="0" applyNumberFormat="1" applyFont="1" applyFill="1" applyBorder="1" applyAlignment="1" applyProtection="1">
      <alignment horizontal="center" vertical="center"/>
      <protection locked="0"/>
    </xf>
    <xf numFmtId="165" fontId="13" fillId="0" borderId="30" xfId="0" applyNumberFormat="1" applyFont="1" applyFill="1" applyBorder="1" applyAlignment="1" applyProtection="1">
      <alignment horizontal="right" vertical="center"/>
      <protection locked="0"/>
    </xf>
    <xf numFmtId="166" fontId="13" fillId="0" borderId="31" xfId="0" applyNumberFormat="1" applyFont="1" applyFill="1" applyBorder="1" applyAlignment="1" applyProtection="1">
      <alignment horizontal="left" vertical="center"/>
      <protection locked="0"/>
    </xf>
    <xf numFmtId="166" fontId="13" fillId="0" borderId="29" xfId="0" applyNumberFormat="1" applyFont="1" applyFill="1" applyBorder="1" applyAlignment="1" applyProtection="1">
      <alignment horizontal="center" vertical="center"/>
      <protection locked="0"/>
    </xf>
    <xf numFmtId="166" fontId="13" fillId="0" borderId="32" xfId="0" applyNumberFormat="1" applyFont="1" applyFill="1" applyBorder="1" applyAlignment="1" applyProtection="1">
      <alignment horizontal="center" vertical="center"/>
      <protection locked="0"/>
    </xf>
    <xf numFmtId="1" fontId="13" fillId="0" borderId="20" xfId="0" applyNumberFormat="1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center" vertical="center"/>
      <protection locked="0"/>
    </xf>
    <xf numFmtId="3" fontId="13" fillId="0" borderId="33" xfId="0" applyNumberFormat="1" applyFont="1" applyFill="1" applyBorder="1" applyAlignment="1" applyProtection="1">
      <alignment horizontal="center" vertical="center"/>
      <protection locked="0"/>
    </xf>
    <xf numFmtId="37" fontId="13" fillId="0" borderId="26" xfId="1" applyNumberFormat="1" applyFont="1" applyFill="1" applyBorder="1" applyAlignment="1" applyProtection="1">
      <alignment horizontal="center" vertical="center"/>
      <protection locked="0"/>
    </xf>
    <xf numFmtId="37" fontId="14" fillId="0" borderId="23" xfId="1" applyNumberFormat="1" applyFont="1" applyFill="1" applyBorder="1" applyAlignment="1">
      <alignment horizontal="center" vertical="center"/>
    </xf>
    <xf numFmtId="0" fontId="13" fillId="0" borderId="29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3" fontId="13" fillId="0" borderId="34" xfId="0" applyNumberFormat="1" applyFont="1" applyFill="1" applyBorder="1" applyAlignment="1" applyProtection="1">
      <alignment horizontal="center" vertical="center"/>
      <protection locked="0"/>
    </xf>
    <xf numFmtId="37" fontId="13" fillId="0" borderId="28" xfId="1" applyNumberFormat="1" applyFont="1" applyFill="1" applyBorder="1" applyAlignment="1" applyProtection="1">
      <alignment horizontal="center" vertical="center"/>
      <protection locked="0"/>
    </xf>
    <xf numFmtId="37" fontId="14" fillId="0" borderId="32" xfId="1" applyNumberFormat="1" applyFont="1" applyFill="1" applyBorder="1" applyAlignment="1">
      <alignment horizontal="center" vertical="center"/>
    </xf>
    <xf numFmtId="4" fontId="13" fillId="0" borderId="11" xfId="0" applyNumberFormat="1" applyFont="1" applyFill="1" applyBorder="1" applyAlignment="1" applyProtection="1">
      <alignment horizontal="center" vertical="center"/>
      <protection locked="0"/>
    </xf>
    <xf numFmtId="49" fontId="13" fillId="0" borderId="21" xfId="0" applyNumberFormat="1" applyFont="1" applyFill="1" applyBorder="1" applyAlignment="1" applyProtection="1">
      <alignment horizontal="center" vertical="center"/>
      <protection locked="0"/>
    </xf>
    <xf numFmtId="49" fontId="16" fillId="0" borderId="33" xfId="0" applyNumberFormat="1" applyFont="1" applyFill="1" applyBorder="1" applyAlignment="1" applyProtection="1">
      <alignment horizontal="center" vertical="center"/>
      <protection locked="0"/>
    </xf>
    <xf numFmtId="1" fontId="13" fillId="0" borderId="26" xfId="0" applyNumberFormat="1" applyFont="1" applyFill="1" applyBorder="1" applyAlignment="1" applyProtection="1">
      <alignment horizontal="left" vertical="center"/>
      <protection locked="0"/>
    </xf>
    <xf numFmtId="4" fontId="13" fillId="0" borderId="33" xfId="0" applyNumberFormat="1" applyFont="1" applyFill="1" applyBorder="1" applyAlignment="1" applyProtection="1">
      <alignment horizontal="center" vertical="center"/>
      <protection locked="0"/>
    </xf>
    <xf numFmtId="4" fontId="14" fillId="0" borderId="23" xfId="0" applyNumberFormat="1" applyFont="1" applyFill="1" applyBorder="1" applyAlignment="1" applyProtection="1">
      <alignment horizontal="center" vertical="center"/>
    </xf>
    <xf numFmtId="49" fontId="13" fillId="0" borderId="29" xfId="0" applyNumberFormat="1" applyFont="1" applyFill="1" applyBorder="1" applyAlignment="1" applyProtection="1">
      <alignment horizontal="center" vertical="center"/>
      <protection locked="0"/>
    </xf>
    <xf numFmtId="49" fontId="16" fillId="0" borderId="34" xfId="0" applyNumberFormat="1" applyFont="1" applyFill="1" applyBorder="1" applyAlignment="1" applyProtection="1">
      <alignment horizontal="center" vertical="center"/>
      <protection locked="0"/>
    </xf>
    <xf numFmtId="1" fontId="13" fillId="0" borderId="28" xfId="0" applyNumberFormat="1" applyFont="1" applyFill="1" applyBorder="1" applyAlignment="1" applyProtection="1">
      <alignment horizontal="left" vertical="center"/>
      <protection locked="0"/>
    </xf>
    <xf numFmtId="4" fontId="13" fillId="0" borderId="34" xfId="0" applyNumberFormat="1" applyFont="1" applyFill="1" applyBorder="1" applyAlignment="1" applyProtection="1">
      <alignment horizontal="center" vertical="center"/>
      <protection locked="0"/>
    </xf>
    <xf numFmtId="4" fontId="14" fillId="0" borderId="32" xfId="0" applyNumberFormat="1" applyFont="1" applyFill="1" applyBorder="1" applyAlignment="1" applyProtection="1">
      <alignment horizontal="center" vertical="center"/>
    </xf>
    <xf numFmtId="0" fontId="13" fillId="0" borderId="29" xfId="0" applyFont="1" applyFill="1" applyBorder="1" applyAlignment="1" applyProtection="1">
      <alignment horizontal="center"/>
      <protection locked="0"/>
    </xf>
    <xf numFmtId="0" fontId="13" fillId="0" borderId="30" xfId="0" applyFont="1" applyFill="1" applyBorder="1" applyAlignment="1" applyProtection="1">
      <alignment horizontal="center"/>
      <protection locked="0"/>
    </xf>
    <xf numFmtId="3" fontId="13" fillId="0" borderId="32" xfId="0" applyNumberFormat="1" applyFont="1" applyFill="1" applyBorder="1" applyAlignment="1" applyProtection="1">
      <alignment horizontal="center"/>
      <protection locked="0"/>
    </xf>
    <xf numFmtId="0" fontId="13" fillId="0" borderId="35" xfId="0" applyFont="1" applyFill="1" applyBorder="1" applyAlignment="1" applyProtection="1">
      <alignment horizontal="center"/>
      <protection locked="0"/>
    </xf>
    <xf numFmtId="49" fontId="13" fillId="0" borderId="8" xfId="0" applyNumberFormat="1" applyFont="1" applyFill="1" applyBorder="1" applyAlignment="1" applyProtection="1">
      <alignment horizontal="center"/>
      <protection locked="0"/>
    </xf>
    <xf numFmtId="0" fontId="20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6" fillId="3" borderId="0" xfId="0" applyFont="1" applyFill="1" applyAlignment="1" applyProtection="1">
      <alignment horizontal="left" indent="1"/>
    </xf>
    <xf numFmtId="0" fontId="6" fillId="3" borderId="0" xfId="0" applyFont="1" applyFill="1" applyBorder="1" applyAlignment="1" applyProtection="1">
      <alignment horizontal="left" indent="1"/>
    </xf>
    <xf numFmtId="18" fontId="6" fillId="3" borderId="0" xfId="0" applyNumberFormat="1" applyFont="1" applyFill="1" applyBorder="1" applyAlignment="1" applyProtection="1">
      <alignment horizontal="left" indent="1"/>
    </xf>
    <xf numFmtId="0" fontId="12" fillId="0" borderId="36" xfId="0" applyFont="1" applyFill="1" applyBorder="1" applyAlignment="1" applyProtection="1">
      <alignment horizontal="center"/>
    </xf>
    <xf numFmtId="0" fontId="12" fillId="0" borderId="37" xfId="0" applyFont="1" applyFill="1" applyBorder="1" applyAlignment="1" applyProtection="1">
      <alignment horizontal="center"/>
    </xf>
    <xf numFmtId="0" fontId="12" fillId="0" borderId="38" xfId="0" applyFont="1" applyFill="1" applyBorder="1" applyAlignment="1" applyProtection="1">
      <alignment horizontal="center"/>
    </xf>
    <xf numFmtId="0" fontId="12" fillId="0" borderId="39" xfId="0" applyFont="1" applyFill="1" applyBorder="1" applyAlignment="1" applyProtection="1">
      <alignment horizontal="center"/>
    </xf>
    <xf numFmtId="0" fontId="12" fillId="0" borderId="40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167" fontId="21" fillId="0" borderId="41" xfId="0" applyNumberFormat="1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center"/>
    </xf>
    <xf numFmtId="1" fontId="21" fillId="0" borderId="41" xfId="0" applyNumberFormat="1" applyFont="1" applyFill="1" applyBorder="1" applyAlignment="1" applyProtection="1">
      <alignment horizontal="left"/>
    </xf>
    <xf numFmtId="0" fontId="16" fillId="0" borderId="35" xfId="0" applyFont="1" applyFill="1" applyBorder="1" applyAlignment="1" applyProtection="1">
      <alignment horizontal="center"/>
      <protection locked="0"/>
    </xf>
    <xf numFmtId="3" fontId="13" fillId="0" borderId="42" xfId="0" applyNumberFormat="1" applyFont="1" applyFill="1" applyBorder="1" applyAlignment="1" applyProtection="1">
      <alignment horizontal="center"/>
      <protection locked="0"/>
    </xf>
    <xf numFmtId="0" fontId="13" fillId="0" borderId="43" xfId="0" applyFont="1" applyFill="1" applyBorder="1" applyAlignment="1" applyProtection="1">
      <alignment horizontal="center"/>
      <protection locked="0"/>
    </xf>
    <xf numFmtId="3" fontId="13" fillId="0" borderId="19" xfId="0" applyNumberFormat="1" applyFont="1" applyFill="1" applyBorder="1" applyAlignment="1" applyProtection="1">
      <alignment horizontal="center"/>
      <protection locked="0"/>
    </xf>
    <xf numFmtId="0" fontId="13" fillId="0" borderId="17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0" fontId="16" fillId="0" borderId="44" xfId="0" applyFont="1" applyFill="1" applyBorder="1" applyAlignment="1" applyProtection="1">
      <alignment horizontal="center"/>
      <protection locked="0"/>
    </xf>
    <xf numFmtId="3" fontId="13" fillId="0" borderId="45" xfId="0" applyNumberFormat="1" applyFont="1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 applyProtection="1">
      <alignment horizontal="center"/>
      <protection locked="0"/>
    </xf>
    <xf numFmtId="3" fontId="13" fillId="0" borderId="47" xfId="0" applyNumberFormat="1" applyFont="1" applyFill="1" applyBorder="1" applyAlignment="1" applyProtection="1">
      <alignment horizontal="center"/>
      <protection locked="0"/>
    </xf>
    <xf numFmtId="49" fontId="13" fillId="0" borderId="17" xfId="0" applyNumberFormat="1" applyFont="1" applyFill="1" applyBorder="1" applyAlignment="1" applyProtection="1">
      <alignment horizontal="center"/>
      <protection locked="0"/>
    </xf>
    <xf numFmtId="1" fontId="24" fillId="0" borderId="0" xfId="0" applyNumberFormat="1" applyFont="1" applyFill="1" applyBorder="1" applyAlignment="1" applyProtection="1">
      <alignment horizontal="center"/>
    </xf>
    <xf numFmtId="0" fontId="7" fillId="0" borderId="48" xfId="0" applyFont="1" applyFill="1" applyBorder="1" applyAlignment="1" applyProtection="1">
      <alignment horizontal="center"/>
    </xf>
    <xf numFmtId="1" fontId="13" fillId="0" borderId="37" xfId="0" applyNumberFormat="1" applyFont="1" applyFill="1" applyBorder="1" applyAlignment="1" applyProtection="1">
      <alignment horizontal="center" vertical="center"/>
      <protection locked="0"/>
    </xf>
    <xf numFmtId="1" fontId="13" fillId="0" borderId="11" xfId="0" applyNumberFormat="1" applyFont="1" applyFill="1" applyBorder="1" applyAlignment="1" applyProtection="1">
      <alignment horizontal="center" vertical="center"/>
      <protection locked="0"/>
    </xf>
    <xf numFmtId="0" fontId="7" fillId="0" borderId="46" xfId="0" applyFont="1" applyFill="1" applyBorder="1" applyAlignment="1" applyProtection="1">
      <alignment horizontal="center"/>
    </xf>
    <xf numFmtId="165" fontId="13" fillId="0" borderId="49" xfId="0" applyNumberFormat="1" applyFont="1" applyFill="1" applyBorder="1" applyAlignment="1" applyProtection="1">
      <alignment horizontal="right" vertical="center"/>
      <protection locked="0"/>
    </xf>
    <xf numFmtId="166" fontId="13" fillId="0" borderId="50" xfId="0" applyNumberFormat="1" applyFont="1" applyFill="1" applyBorder="1" applyAlignment="1" applyProtection="1">
      <alignment horizontal="left" vertical="center"/>
      <protection locked="0"/>
    </xf>
    <xf numFmtId="49" fontId="13" fillId="0" borderId="18" xfId="1" applyNumberFormat="1" applyFont="1" applyFill="1" applyBorder="1" applyAlignment="1" applyProtection="1">
      <alignment horizontal="center" vertical="center"/>
      <protection locked="0"/>
    </xf>
    <xf numFmtId="49" fontId="13" fillId="0" borderId="51" xfId="1" applyNumberFormat="1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/>
    <xf numFmtId="0" fontId="8" fillId="0" borderId="52" xfId="0" applyFont="1" applyFill="1" applyBorder="1" applyAlignment="1" applyProtection="1">
      <alignment horizontal="right" vertical="center"/>
    </xf>
    <xf numFmtId="1" fontId="14" fillId="0" borderId="9" xfId="0" applyNumberFormat="1" applyFont="1" applyFill="1" applyBorder="1" applyAlignment="1" applyProtection="1">
      <alignment horizontal="center" vertical="center"/>
    </xf>
    <xf numFmtId="38" fontId="13" fillId="0" borderId="36" xfId="0" applyNumberFormat="1" applyFont="1" applyFill="1" applyBorder="1" applyAlignment="1" applyProtection="1">
      <alignment horizontal="center" vertical="center"/>
      <protection locked="0"/>
    </xf>
    <xf numFmtId="38" fontId="13" fillId="0" borderId="8" xfId="0" applyNumberFormat="1" applyFont="1" applyFill="1" applyBorder="1" applyAlignment="1" applyProtection="1">
      <alignment horizontal="center" vertical="center"/>
      <protection locked="0"/>
    </xf>
    <xf numFmtId="1" fontId="13" fillId="4" borderId="21" xfId="0" applyNumberFormat="1" applyFont="1" applyFill="1" applyBorder="1" applyAlignment="1" applyProtection="1">
      <alignment horizontal="center" vertical="center"/>
      <protection locked="0"/>
    </xf>
    <xf numFmtId="0" fontId="7" fillId="0" borderId="53" xfId="0" applyFont="1" applyFill="1" applyBorder="1" applyAlignment="1" applyProtection="1">
      <alignment horizontal="center"/>
    </xf>
    <xf numFmtId="49" fontId="13" fillId="0" borderId="35" xfId="0" applyNumberFormat="1" applyFont="1" applyFill="1" applyBorder="1" applyAlignment="1" applyProtection="1">
      <alignment horizontal="center" vertical="center"/>
      <protection locked="0"/>
    </xf>
    <xf numFmtId="1" fontId="13" fillId="4" borderId="25" xfId="0" applyNumberFormat="1" applyFont="1" applyFill="1" applyBorder="1" applyAlignment="1" applyProtection="1">
      <alignment horizontal="center" vertical="center"/>
      <protection locked="0"/>
    </xf>
    <xf numFmtId="1" fontId="13" fillId="4" borderId="54" xfId="0" applyNumberFormat="1" applyFont="1" applyFill="1" applyBorder="1" applyAlignment="1" applyProtection="1">
      <alignment horizontal="center" vertical="center"/>
      <protection locked="0"/>
    </xf>
    <xf numFmtId="1" fontId="13" fillId="0" borderId="54" xfId="0" applyNumberFormat="1" applyFont="1" applyFill="1" applyBorder="1" applyAlignment="1" applyProtection="1">
      <alignment horizontal="center" vertical="center"/>
      <protection locked="0"/>
    </xf>
    <xf numFmtId="1" fontId="13" fillId="0" borderId="55" xfId="0" applyNumberFormat="1" applyFont="1" applyFill="1" applyBorder="1" applyAlignment="1" applyProtection="1">
      <alignment horizontal="center" vertical="center"/>
      <protection locked="0"/>
    </xf>
    <xf numFmtId="0" fontId="7" fillId="0" borderId="44" xfId="0" applyFont="1" applyFill="1" applyBorder="1" applyAlignment="1" applyProtection="1">
      <alignment horizontal="center"/>
    </xf>
    <xf numFmtId="49" fontId="13" fillId="0" borderId="56" xfId="0" applyNumberFormat="1" applyFont="1" applyFill="1" applyBorder="1" applyAlignment="1" applyProtection="1">
      <alignment horizontal="center" vertical="center"/>
      <protection locked="0"/>
    </xf>
    <xf numFmtId="1" fontId="13" fillId="0" borderId="39" xfId="0" applyNumberFormat="1" applyFont="1" applyFill="1" applyBorder="1" applyAlignment="1" applyProtection="1">
      <alignment horizontal="center" vertical="center"/>
      <protection locked="0"/>
    </xf>
    <xf numFmtId="1" fontId="13" fillId="0" borderId="43" xfId="0" applyNumberFormat="1" applyFont="1" applyFill="1" applyBorder="1" applyAlignment="1" applyProtection="1">
      <alignment horizontal="center" vertical="center"/>
      <protection locked="0"/>
    </xf>
    <xf numFmtId="1" fontId="13" fillId="0" borderId="46" xfId="0" applyNumberFormat="1" applyFont="1" applyFill="1" applyBorder="1" applyAlignment="1" applyProtection="1">
      <alignment horizontal="center" vertical="center"/>
      <protection locked="0"/>
    </xf>
    <xf numFmtId="1" fontId="35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6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6" fillId="5" borderId="60" xfId="0" applyFont="1" applyFill="1" applyBorder="1" applyAlignment="1" applyProtection="1">
      <alignment horizontal="left"/>
      <protection hidden="1"/>
    </xf>
    <xf numFmtId="0" fontId="37" fillId="5" borderId="58" xfId="0" applyFont="1" applyFill="1" applyBorder="1" applyAlignment="1" applyProtection="1">
      <alignment horizontal="center" vertical="center"/>
      <protection hidden="1"/>
    </xf>
    <xf numFmtId="0" fontId="41" fillId="5" borderId="0" xfId="0" applyFont="1" applyFill="1" applyBorder="1" applyAlignment="1" applyProtection="1">
      <alignment horizontal="left" vertical="center"/>
      <protection hidden="1"/>
    </xf>
    <xf numFmtId="0" fontId="37" fillId="5" borderId="59" xfId="0" applyFont="1" applyFill="1" applyBorder="1" applyAlignment="1" applyProtection="1">
      <alignment horizontal="center" vertical="center"/>
      <protection hidden="1"/>
    </xf>
    <xf numFmtId="0" fontId="41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7" fillId="5" borderId="61" xfId="0" applyFont="1" applyFill="1" applyBorder="1" applyAlignment="1" applyProtection="1">
      <alignment horizontal="center" vertical="center"/>
      <protection hidden="1"/>
    </xf>
    <xf numFmtId="1" fontId="35" fillId="5" borderId="62" xfId="0" applyNumberFormat="1" applyFont="1" applyFill="1" applyBorder="1" applyAlignment="1" applyProtection="1">
      <alignment horizontal="center" vertical="center"/>
      <protection hidden="1"/>
    </xf>
    <xf numFmtId="0" fontId="40" fillId="5" borderId="62" xfId="0" applyFont="1" applyFill="1" applyBorder="1" applyAlignment="1" applyProtection="1">
      <alignment horizontal="left" vertical="center"/>
      <protection hidden="1"/>
    </xf>
    <xf numFmtId="0" fontId="37" fillId="5" borderId="63" xfId="0" applyFont="1" applyFill="1" applyBorder="1" applyAlignment="1" applyProtection="1">
      <alignment horizontal="center" vertical="center"/>
      <protection hidden="1"/>
    </xf>
    <xf numFmtId="0" fontId="40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5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8" fillId="6" borderId="69" xfId="0" applyFont="1" applyFill="1" applyBorder="1" applyAlignment="1" applyProtection="1">
      <alignment horizontal="center" vertical="center" wrapText="1"/>
      <protection hidden="1"/>
    </xf>
    <xf numFmtId="1" fontId="39" fillId="6" borderId="70" xfId="0" applyNumberFormat="1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 wrapText="1"/>
      <protection hidden="1"/>
    </xf>
    <xf numFmtId="0" fontId="39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right"/>
      <protection hidden="1"/>
    </xf>
    <xf numFmtId="14" fontId="5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5" fillId="0" borderId="26" xfId="0" applyFont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5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72" xfId="0" applyFont="1" applyBorder="1" applyAlignment="1" applyProtection="1">
      <alignment horizontal="center"/>
      <protection hidden="1"/>
    </xf>
    <xf numFmtId="0" fontId="7" fillId="0" borderId="73" xfId="0" applyFont="1" applyBorder="1" applyAlignment="1" applyProtection="1">
      <alignment horizontal="center"/>
      <protection hidden="1"/>
    </xf>
    <xf numFmtId="0" fontId="5" fillId="0" borderId="74" xfId="0" applyFont="1" applyFill="1" applyBorder="1" applyAlignment="1" applyProtection="1">
      <alignment horizontal="center"/>
      <protection hidden="1"/>
    </xf>
    <xf numFmtId="0" fontId="4" fillId="0" borderId="75" xfId="0" applyFont="1" applyFill="1" applyBorder="1" applyAlignment="1" applyProtection="1">
      <alignment horizontal="center"/>
      <protection hidden="1"/>
    </xf>
    <xf numFmtId="0" fontId="4" fillId="0" borderId="76" xfId="0" applyFont="1" applyFill="1" applyBorder="1" applyAlignment="1" applyProtection="1">
      <alignment horizontal="center"/>
      <protection hidden="1"/>
    </xf>
    <xf numFmtId="0" fontId="4" fillId="0" borderId="77" xfId="0" applyFont="1" applyFill="1" applyBorder="1" applyAlignment="1" applyProtection="1">
      <alignment horizontal="center"/>
      <protection hidden="1"/>
    </xf>
    <xf numFmtId="0" fontId="4" fillId="0" borderId="77" xfId="0" applyFont="1" applyFill="1" applyBorder="1" applyProtection="1">
      <protection hidden="1"/>
    </xf>
    <xf numFmtId="0" fontId="4" fillId="0" borderId="78" xfId="0" applyFont="1" applyFill="1" applyBorder="1" applyProtection="1">
      <protection hidden="1"/>
    </xf>
    <xf numFmtId="0" fontId="4" fillId="0" borderId="79" xfId="0" applyFont="1" applyFill="1" applyBorder="1" applyProtection="1">
      <protection hidden="1"/>
    </xf>
    <xf numFmtId="0" fontId="4" fillId="0" borderId="76" xfId="0" applyFont="1" applyFill="1" applyBorder="1" applyProtection="1">
      <protection hidden="1"/>
    </xf>
    <xf numFmtId="0" fontId="4" fillId="0" borderId="80" xfId="0" applyFont="1" applyFill="1" applyBorder="1" applyProtection="1">
      <protection hidden="1"/>
    </xf>
    <xf numFmtId="0" fontId="4" fillId="0" borderId="81" xfId="0" applyFont="1" applyFill="1" applyBorder="1" applyProtection="1">
      <protection hidden="1"/>
    </xf>
    <xf numFmtId="49" fontId="16" fillId="3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0" xfId="2"/>
    <xf numFmtId="0" fontId="7" fillId="0" borderId="7" xfId="2" applyFont="1" applyFill="1" applyBorder="1" applyAlignment="1" applyProtection="1">
      <alignment horizontal="center"/>
    </xf>
    <xf numFmtId="0" fontId="7" fillId="0" borderId="17" xfId="2" applyFont="1" applyFill="1" applyBorder="1" applyAlignment="1" applyProtection="1">
      <alignment horizontal="center"/>
    </xf>
    <xf numFmtId="0" fontId="7" fillId="0" borderId="9" xfId="2" applyFont="1" applyFill="1" applyBorder="1" applyAlignment="1" applyProtection="1">
      <alignment horizontal="center"/>
    </xf>
    <xf numFmtId="0" fontId="7" fillId="0" borderId="104" xfId="2" applyFont="1" applyFill="1" applyBorder="1" applyAlignment="1" applyProtection="1">
      <alignment horizontal="center"/>
    </xf>
    <xf numFmtId="0" fontId="7" fillId="0" borderId="44" xfId="2" applyFont="1" applyFill="1" applyBorder="1" applyAlignment="1" applyProtection="1">
      <alignment horizontal="center"/>
    </xf>
    <xf numFmtId="0" fontId="7" fillId="0" borderId="105" xfId="2" applyFont="1" applyFill="1" applyBorder="1" applyAlignment="1" applyProtection="1">
      <alignment horizontal="center"/>
    </xf>
    <xf numFmtId="0" fontId="7" fillId="0" borderId="88" xfId="2" applyFont="1" applyFill="1" applyBorder="1" applyAlignment="1" applyProtection="1">
      <alignment horizontal="center"/>
    </xf>
    <xf numFmtId="49" fontId="13" fillId="0" borderId="51" xfId="2" applyNumberFormat="1" applyFont="1" applyFill="1" applyBorder="1" applyAlignment="1" applyProtection="1">
      <alignment horizontal="center" vertical="center"/>
      <protection locked="0"/>
    </xf>
    <xf numFmtId="165" fontId="13" fillId="0" borderId="25" xfId="2" applyNumberFormat="1" applyFont="1" applyFill="1" applyBorder="1" applyAlignment="1" applyProtection="1">
      <alignment horizontal="right" vertical="center"/>
      <protection locked="0"/>
    </xf>
    <xf numFmtId="166" fontId="13" fillId="0" borderId="27" xfId="2" applyNumberFormat="1" applyFont="1" applyFill="1" applyBorder="1" applyAlignment="1" applyProtection="1">
      <alignment horizontal="left" vertical="center"/>
      <protection locked="0"/>
    </xf>
    <xf numFmtId="1" fontId="13" fillId="4" borderId="21" xfId="2" applyNumberFormat="1" applyFont="1" applyFill="1" applyBorder="1" applyAlignment="1" applyProtection="1">
      <alignment horizontal="center" vertical="center"/>
      <protection locked="0"/>
    </xf>
    <xf numFmtId="165" fontId="13" fillId="0" borderId="22" xfId="2" applyNumberFormat="1" applyFont="1" applyFill="1" applyBorder="1" applyAlignment="1" applyProtection="1">
      <alignment horizontal="right" vertical="center"/>
      <protection locked="0"/>
    </xf>
    <xf numFmtId="1" fontId="13" fillId="0" borderId="21" xfId="2" applyNumberFormat="1" applyFont="1" applyFill="1" applyBorder="1" applyAlignment="1" applyProtection="1">
      <alignment horizontal="center" vertical="center"/>
      <protection locked="0"/>
    </xf>
    <xf numFmtId="166" fontId="13" fillId="0" borderId="21" xfId="2" applyNumberFormat="1" applyFont="1" applyFill="1" applyBorder="1" applyAlignment="1" applyProtection="1">
      <alignment horizontal="center" vertical="center"/>
      <protection locked="0"/>
    </xf>
    <xf numFmtId="166" fontId="13" fillId="0" borderId="23" xfId="2" applyNumberFormat="1" applyFont="1" applyFill="1" applyBorder="1" applyAlignment="1" applyProtection="1">
      <alignment horizontal="center" vertical="center"/>
      <protection locked="0"/>
    </xf>
    <xf numFmtId="1" fontId="13" fillId="0" borderId="24" xfId="2" applyNumberFormat="1" applyFont="1" applyFill="1" applyBorder="1" applyAlignment="1" applyProtection="1">
      <alignment horizontal="center" vertical="center"/>
      <protection locked="0"/>
    </xf>
    <xf numFmtId="1" fontId="13" fillId="0" borderId="36" xfId="2" applyNumberFormat="1" applyFont="1" applyFill="1" applyBorder="1" applyAlignment="1" applyProtection="1">
      <alignment horizontal="center" vertical="center"/>
      <protection locked="0"/>
    </xf>
    <xf numFmtId="49" fontId="13" fillId="0" borderId="56" xfId="2" applyNumberFormat="1" applyFont="1" applyFill="1" applyBorder="1" applyAlignment="1" applyProtection="1">
      <alignment horizontal="center" vertical="center"/>
      <protection locked="0"/>
    </xf>
    <xf numFmtId="1" fontId="13" fillId="0" borderId="40" xfId="2" applyNumberFormat="1" applyFont="1" applyFill="1" applyBorder="1" applyAlignment="1" applyProtection="1">
      <alignment horizontal="center" vertical="center"/>
      <protection locked="0"/>
    </xf>
    <xf numFmtId="38" fontId="13" fillId="0" borderId="36" xfId="2" applyNumberFormat="1" applyFont="1" applyFill="1" applyBorder="1" applyAlignment="1" applyProtection="1">
      <alignment horizontal="center" vertical="center"/>
      <protection locked="0"/>
    </xf>
    <xf numFmtId="165" fontId="13" fillId="0" borderId="49" xfId="2" applyNumberFormat="1" applyFont="1" applyFill="1" applyBorder="1" applyAlignment="1" applyProtection="1">
      <alignment horizontal="right" vertical="center"/>
      <protection locked="0"/>
    </xf>
    <xf numFmtId="166" fontId="13" fillId="0" borderId="50" xfId="2" applyNumberFormat="1" applyFont="1" applyFill="1" applyBorder="1" applyAlignment="1" applyProtection="1">
      <alignment horizontal="left" vertical="center"/>
      <protection locked="0"/>
    </xf>
    <xf numFmtId="49" fontId="13" fillId="0" borderId="51" xfId="3" applyNumberFormat="1" applyFont="1" applyFill="1" applyBorder="1" applyAlignment="1" applyProtection="1">
      <alignment horizontal="center" vertical="center"/>
      <protection locked="0"/>
    </xf>
    <xf numFmtId="1" fontId="13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3" fillId="0" borderId="25" xfId="2" applyNumberFormat="1" applyFont="1" applyFill="1" applyBorder="1" applyAlignment="1" applyProtection="1">
      <alignment horizontal="center" vertical="center"/>
      <protection locked="0"/>
    </xf>
    <xf numFmtId="1" fontId="13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3" fillId="0" borderId="18" xfId="2" applyNumberFormat="1" applyFont="1" applyFill="1" applyBorder="1" applyAlignment="1" applyProtection="1">
      <alignment horizontal="center" vertical="center"/>
      <protection locked="0"/>
    </xf>
    <xf numFmtId="37" fontId="13" fillId="0" borderId="18" xfId="3" applyNumberFormat="1" applyFont="1" applyFill="1" applyBorder="1" applyAlignment="1" applyProtection="1">
      <alignment horizontal="center" vertical="center"/>
      <protection locked="0"/>
    </xf>
    <xf numFmtId="165" fontId="13" fillId="0" borderId="54" xfId="2" applyNumberFormat="1" applyFont="1" applyFill="1" applyBorder="1" applyAlignment="1" applyProtection="1">
      <alignment horizontal="right" vertical="center"/>
      <protection locked="0"/>
    </xf>
    <xf numFmtId="166" fontId="13" fillId="0" borderId="19" xfId="2" applyNumberFormat="1" applyFont="1" applyFill="1" applyBorder="1" applyAlignment="1" applyProtection="1">
      <alignment horizontal="left" vertical="center"/>
      <protection locked="0"/>
    </xf>
    <xf numFmtId="1" fontId="13" fillId="0" borderId="8" xfId="2" applyNumberFormat="1" applyFont="1" applyFill="1" applyBorder="1" applyAlignment="1" applyProtection="1">
      <alignment horizontal="center" vertical="center"/>
      <protection locked="0"/>
    </xf>
    <xf numFmtId="165" fontId="13" fillId="0" borderId="12" xfId="2" applyNumberFormat="1" applyFont="1" applyFill="1" applyBorder="1" applyAlignment="1" applyProtection="1">
      <alignment horizontal="right" vertical="center"/>
      <protection locked="0"/>
    </xf>
    <xf numFmtId="166" fontId="13" fillId="0" borderId="8" xfId="2" applyNumberFormat="1" applyFont="1" applyFill="1" applyBorder="1" applyAlignment="1" applyProtection="1">
      <alignment horizontal="center" vertical="center"/>
      <protection locked="0"/>
    </xf>
    <xf numFmtId="166" fontId="13" fillId="0" borderId="10" xfId="2" applyNumberFormat="1" applyFont="1" applyFill="1" applyBorder="1" applyAlignment="1" applyProtection="1">
      <alignment horizontal="center" vertical="center"/>
      <protection locked="0"/>
    </xf>
    <xf numFmtId="1" fontId="13" fillId="0" borderId="18" xfId="2" applyNumberFormat="1" applyFont="1" applyFill="1" applyBorder="1" applyAlignment="1" applyProtection="1">
      <alignment horizontal="center" vertical="center"/>
      <protection locked="0"/>
    </xf>
    <xf numFmtId="49" fontId="13" fillId="0" borderId="35" xfId="2" applyNumberFormat="1" applyFont="1" applyFill="1" applyBorder="1" applyAlignment="1" applyProtection="1">
      <alignment horizontal="center" vertical="center"/>
      <protection locked="0"/>
    </xf>
    <xf numFmtId="1" fontId="13" fillId="0" borderId="10" xfId="2" applyNumberFormat="1" applyFont="1" applyFill="1" applyBorder="1" applyAlignment="1" applyProtection="1">
      <alignment horizontal="center" vertical="center"/>
      <protection locked="0"/>
    </xf>
    <xf numFmtId="38" fontId="13" fillId="0" borderId="8" xfId="2" applyNumberFormat="1" applyFont="1" applyFill="1" applyBorder="1" applyAlignment="1" applyProtection="1">
      <alignment horizontal="center" vertical="center"/>
      <protection locked="0"/>
    </xf>
    <xf numFmtId="49" fontId="13" fillId="0" borderId="18" xfId="3" applyNumberFormat="1" applyFont="1" applyFill="1" applyBorder="1" applyAlignment="1" applyProtection="1">
      <alignment horizontal="center" vertical="center"/>
      <protection locked="0"/>
    </xf>
    <xf numFmtId="1" fontId="13" fillId="0" borderId="54" xfId="2" applyNumberFormat="1" applyFont="1" applyFill="1" applyBorder="1" applyAlignment="1" applyProtection="1">
      <alignment horizontal="center" vertical="center"/>
      <protection locked="0"/>
    </xf>
    <xf numFmtId="49" fontId="13" fillId="0" borderId="24" xfId="3" applyNumberFormat="1" applyFont="1" applyFill="1" applyBorder="1" applyAlignment="1" applyProtection="1">
      <alignment horizontal="center" vertical="center"/>
      <protection locked="0"/>
    </xf>
    <xf numFmtId="0" fontId="2" fillId="0" borderId="0" xfId="2" applyFont="1"/>
    <xf numFmtId="49" fontId="13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Protection="1">
      <protection locked="0"/>
    </xf>
    <xf numFmtId="0" fontId="3" fillId="0" borderId="0" xfId="2" applyAlignment="1" applyProtection="1">
      <protection locked="0"/>
    </xf>
    <xf numFmtId="0" fontId="3" fillId="0" borderId="0" xfId="2" applyAlignment="1" applyProtection="1"/>
    <xf numFmtId="0" fontId="3" fillId="0" borderId="0" xfId="2" applyProtection="1">
      <protection hidden="1"/>
    </xf>
    <xf numFmtId="0" fontId="3" fillId="0" borderId="0" xfId="2" applyAlignment="1" applyProtection="1">
      <protection hidden="1"/>
    </xf>
    <xf numFmtId="49" fontId="13" fillId="0" borderId="51" xfId="2" applyNumberFormat="1" applyFont="1" applyFill="1" applyBorder="1" applyAlignment="1" applyProtection="1">
      <alignment horizontal="left" vertical="center" wrapText="1"/>
    </xf>
    <xf numFmtId="49" fontId="13" fillId="0" borderId="51" xfId="2" applyNumberFormat="1" applyFont="1" applyFill="1" applyBorder="1" applyAlignment="1" applyProtection="1">
      <alignment horizontal="center" vertical="center"/>
    </xf>
    <xf numFmtId="37" fontId="13" fillId="0" borderId="52" xfId="3" applyNumberFormat="1" applyFont="1" applyFill="1" applyBorder="1" applyAlignment="1" applyProtection="1">
      <alignment horizontal="center" vertical="center"/>
    </xf>
    <xf numFmtId="165" fontId="13" fillId="0" borderId="25" xfId="2" applyNumberFormat="1" applyFont="1" applyFill="1" applyBorder="1" applyAlignment="1" applyProtection="1">
      <alignment horizontal="right" vertical="center"/>
    </xf>
    <xf numFmtId="166" fontId="13" fillId="0" borderId="27" xfId="2" applyNumberFormat="1" applyFont="1" applyFill="1" applyBorder="1" applyAlignment="1" applyProtection="1">
      <alignment horizontal="left" vertical="center"/>
    </xf>
    <xf numFmtId="1" fontId="13" fillId="4" borderId="21" xfId="2" applyNumberFormat="1" applyFont="1" applyFill="1" applyBorder="1" applyAlignment="1" applyProtection="1">
      <alignment horizontal="center" vertical="center"/>
    </xf>
    <xf numFmtId="165" fontId="13" fillId="0" borderId="22" xfId="2" applyNumberFormat="1" applyFont="1" applyFill="1" applyBorder="1" applyAlignment="1" applyProtection="1">
      <alignment horizontal="right" vertical="center"/>
    </xf>
    <xf numFmtId="1" fontId="13" fillId="0" borderId="21" xfId="2" applyNumberFormat="1" applyFont="1" applyFill="1" applyBorder="1" applyAlignment="1" applyProtection="1">
      <alignment horizontal="center" vertical="center"/>
    </xf>
    <xf numFmtId="166" fontId="13" fillId="0" borderId="21" xfId="2" applyNumberFormat="1" applyFont="1" applyFill="1" applyBorder="1" applyAlignment="1" applyProtection="1">
      <alignment horizontal="center" vertical="center"/>
    </xf>
    <xf numFmtId="166" fontId="13" fillId="0" borderId="23" xfId="2" applyNumberFormat="1" applyFont="1" applyFill="1" applyBorder="1" applyAlignment="1" applyProtection="1">
      <alignment horizontal="center" vertical="center"/>
    </xf>
    <xf numFmtId="1" fontId="13" fillId="0" borderId="24" xfId="2" applyNumberFormat="1" applyFont="1" applyFill="1" applyBorder="1" applyAlignment="1" applyProtection="1">
      <alignment horizontal="center" vertical="center"/>
    </xf>
    <xf numFmtId="1" fontId="13" fillId="0" borderId="36" xfId="2" applyNumberFormat="1" applyFont="1" applyFill="1" applyBorder="1" applyAlignment="1" applyProtection="1">
      <alignment horizontal="center" vertical="center"/>
    </xf>
    <xf numFmtId="49" fontId="13" fillId="0" borderId="56" xfId="2" applyNumberFormat="1" applyFont="1" applyFill="1" applyBorder="1" applyAlignment="1" applyProtection="1">
      <alignment horizontal="center" vertical="center"/>
    </xf>
    <xf numFmtId="1" fontId="13" fillId="0" borderId="40" xfId="2" applyNumberFormat="1" applyFont="1" applyFill="1" applyBorder="1" applyAlignment="1" applyProtection="1">
      <alignment horizontal="center" vertical="center"/>
    </xf>
    <xf numFmtId="38" fontId="13" fillId="0" borderId="36" xfId="2" applyNumberFormat="1" applyFont="1" applyFill="1" applyBorder="1" applyAlignment="1" applyProtection="1">
      <alignment horizontal="center" vertical="center"/>
    </xf>
    <xf numFmtId="165" fontId="13" fillId="0" borderId="49" xfId="2" applyNumberFormat="1" applyFont="1" applyFill="1" applyBorder="1" applyAlignment="1" applyProtection="1">
      <alignment horizontal="right" vertical="center"/>
    </xf>
    <xf numFmtId="166" fontId="13" fillId="0" borderId="50" xfId="2" applyNumberFormat="1" applyFont="1" applyFill="1" applyBorder="1" applyAlignment="1" applyProtection="1">
      <alignment horizontal="left" vertical="center"/>
    </xf>
    <xf numFmtId="49" fontId="13" fillId="0" borderId="51" xfId="3" applyNumberFormat="1" applyFont="1" applyFill="1" applyBorder="1" applyAlignment="1" applyProtection="1">
      <alignment horizontal="center" vertical="center"/>
    </xf>
    <xf numFmtId="1" fontId="13" fillId="0" borderId="24" xfId="2" quotePrefix="1" applyNumberFormat="1" applyFont="1" applyFill="1" applyBorder="1" applyAlignment="1" applyProtection="1">
      <alignment horizontal="center" vertical="center"/>
    </xf>
    <xf numFmtId="1" fontId="13" fillId="0" borderId="25" xfId="2" applyNumberFormat="1" applyFont="1" applyFill="1" applyBorder="1" applyAlignment="1" applyProtection="1">
      <alignment horizontal="center" vertical="center"/>
    </xf>
    <xf numFmtId="1" fontId="13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8" fillId="0" borderId="14" xfId="0" applyFont="1" applyFill="1" applyBorder="1" applyAlignment="1">
      <alignment horizontal="left"/>
    </xf>
    <xf numFmtId="0" fontId="8" fillId="0" borderId="3" xfId="0" applyFont="1" applyFill="1" applyBorder="1" applyAlignment="1">
      <alignment horizontal="left"/>
    </xf>
    <xf numFmtId="0" fontId="8" fillId="0" borderId="15" xfId="0" applyFont="1" applyFill="1" applyBorder="1" applyAlignment="1">
      <alignment horizontal="left"/>
    </xf>
    <xf numFmtId="0" fontId="8" fillId="0" borderId="6" xfId="0" applyFont="1" applyFill="1" applyBorder="1" applyAlignment="1" applyProtection="1">
      <alignment horizontal="right" vertical="center"/>
    </xf>
    <xf numFmtId="0" fontId="8" fillId="0" borderId="5" xfId="0" applyFont="1" applyFill="1" applyBorder="1" applyAlignment="1" applyProtection="1">
      <alignment horizontal="right" vertical="center"/>
    </xf>
    <xf numFmtId="0" fontId="8" fillId="0" borderId="82" xfId="0" applyFont="1" applyFill="1" applyBorder="1" applyAlignment="1" applyProtection="1">
      <alignment vertical="center"/>
    </xf>
    <xf numFmtId="0" fontId="8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4" fillId="0" borderId="0" xfId="0" applyFont="1"/>
    <xf numFmtId="0" fontId="4" fillId="0" borderId="0" xfId="0" quotePrefix="1" applyFont="1"/>
    <xf numFmtId="0" fontId="0" fillId="0" borderId="0" xfId="0" applyAlignment="1">
      <alignment horizontal="left"/>
    </xf>
    <xf numFmtId="49" fontId="13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3" fillId="0" borderId="19" xfId="0" applyNumberFormat="1" applyFont="1" applyFill="1" applyBorder="1" applyAlignment="1" applyProtection="1">
      <alignment horizontal="left" vertical="center" indent="1"/>
      <protection locked="0"/>
    </xf>
    <xf numFmtId="0" fontId="8" fillId="0" borderId="82" xfId="0" applyFont="1" applyFill="1" applyBorder="1" applyAlignment="1" applyProtection="1">
      <alignment horizontal="right" vertical="center"/>
    </xf>
    <xf numFmtId="0" fontId="8" fillId="0" borderId="6" xfId="0" applyFont="1" applyFill="1" applyBorder="1" applyAlignment="1" applyProtection="1">
      <alignment horizontal="right" vertical="center"/>
    </xf>
    <xf numFmtId="0" fontId="8" fillId="0" borderId="53" xfId="0" applyFont="1" applyFill="1" applyBorder="1" applyAlignment="1" applyProtection="1">
      <alignment horizontal="right" vertical="center"/>
    </xf>
    <xf numFmtId="0" fontId="8" fillId="0" borderId="5" xfId="0" applyFont="1" applyFill="1" applyBorder="1" applyAlignment="1" applyProtection="1">
      <alignment horizontal="right" vertical="center"/>
    </xf>
    <xf numFmtId="0" fontId="8" fillId="0" borderId="83" xfId="0" applyFont="1" applyFill="1" applyBorder="1" applyAlignment="1" applyProtection="1">
      <alignment horizontal="left" vertical="center"/>
    </xf>
    <xf numFmtId="0" fontId="8" fillId="0" borderId="26" xfId="0" applyFont="1" applyFill="1" applyBorder="1" applyAlignment="1" applyProtection="1">
      <alignment horizontal="left" vertical="center"/>
    </xf>
    <xf numFmtId="0" fontId="8" fillId="0" borderId="27" xfId="0" applyFont="1" applyFill="1" applyBorder="1" applyAlignment="1" applyProtection="1">
      <alignment horizontal="left" vertical="center"/>
    </xf>
    <xf numFmtId="164" fontId="14" fillId="0" borderId="6" xfId="0" applyNumberFormat="1" applyFont="1" applyFill="1" applyBorder="1" applyAlignment="1" applyProtection="1">
      <alignment horizontal="left" vertical="center"/>
    </xf>
    <xf numFmtId="164" fontId="14" fillId="0" borderId="84" xfId="0" applyNumberFormat="1" applyFont="1" applyFill="1" applyBorder="1" applyAlignment="1" applyProtection="1">
      <alignment horizontal="left" vertical="center"/>
    </xf>
    <xf numFmtId="49" fontId="13" fillId="0" borderId="54" xfId="0" applyNumberFormat="1" applyFont="1" applyFill="1" applyBorder="1" applyAlignment="1" applyProtection="1">
      <alignment horizontal="left" vertical="center"/>
      <protection locked="0"/>
    </xf>
    <xf numFmtId="49" fontId="13" fillId="0" borderId="13" xfId="0" applyNumberFormat="1" applyFont="1" applyFill="1" applyBorder="1" applyAlignment="1" applyProtection="1">
      <alignment horizontal="left" vertical="center"/>
      <protection locked="0"/>
    </xf>
    <xf numFmtId="49" fontId="13" fillId="0" borderId="19" xfId="0" applyNumberFormat="1" applyFont="1" applyFill="1" applyBorder="1" applyAlignment="1" applyProtection="1">
      <alignment horizontal="left" vertical="center"/>
      <protection locked="0"/>
    </xf>
    <xf numFmtId="14" fontId="14" fillId="0" borderId="6" xfId="0" applyNumberFormat="1" applyFont="1" applyFill="1" applyBorder="1" applyAlignment="1" applyProtection="1">
      <alignment horizontal="left" vertical="center"/>
    </xf>
    <xf numFmtId="14" fontId="14" fillId="0" borderId="84" xfId="0" applyNumberFormat="1" applyFont="1" applyFill="1" applyBorder="1" applyAlignment="1" applyProtection="1">
      <alignment horizontal="left" vertical="center"/>
    </xf>
    <xf numFmtId="0" fontId="7" fillId="0" borderId="82" xfId="0" applyFont="1" applyFill="1" applyBorder="1" applyAlignment="1" applyProtection="1">
      <alignment horizontal="center"/>
    </xf>
    <xf numFmtId="0" fontId="7" fillId="0" borderId="6" xfId="0" applyFont="1" applyFill="1" applyBorder="1" applyAlignment="1" applyProtection="1">
      <alignment horizontal="center"/>
    </xf>
    <xf numFmtId="0" fontId="7" fillId="0" borderId="84" xfId="0" applyFont="1" applyFill="1" applyBorder="1" applyAlignment="1" applyProtection="1">
      <alignment horizontal="center"/>
    </xf>
    <xf numFmtId="0" fontId="7" fillId="0" borderId="53" xfId="0" applyFont="1" applyFill="1" applyBorder="1" applyAlignment="1" applyProtection="1">
      <alignment horizontal="center"/>
    </xf>
    <xf numFmtId="0" fontId="7" fillId="0" borderId="5" xfId="0" applyFont="1" applyFill="1" applyBorder="1" applyAlignment="1" applyProtection="1">
      <alignment horizontal="center"/>
    </xf>
    <xf numFmtId="0" fontId="7" fillId="0" borderId="9" xfId="0" applyFont="1" applyFill="1" applyBorder="1" applyAlignment="1" applyProtection="1">
      <alignment horizontal="center"/>
    </xf>
    <xf numFmtId="0" fontId="7" fillId="0" borderId="52" xfId="0" applyFont="1" applyFill="1" applyBorder="1" applyAlignment="1" applyProtection="1">
      <alignment horizontal="center"/>
    </xf>
    <xf numFmtId="0" fontId="7" fillId="0" borderId="86" xfId="0" applyFont="1" applyFill="1" applyBorder="1" applyAlignment="1" applyProtection="1">
      <alignment horizontal="center"/>
    </xf>
    <xf numFmtId="0" fontId="7" fillId="0" borderId="82" xfId="0" applyFont="1" applyFill="1" applyBorder="1" applyAlignment="1" applyProtection="1">
      <alignment horizontal="center" wrapText="1"/>
    </xf>
    <xf numFmtId="0" fontId="7" fillId="0" borderId="84" xfId="0" applyFont="1" applyFill="1" applyBorder="1" applyAlignment="1" applyProtection="1">
      <alignment horizontal="center" wrapText="1"/>
    </xf>
    <xf numFmtId="0" fontId="7" fillId="0" borderId="53" xfId="0" applyFont="1" applyFill="1" applyBorder="1" applyAlignment="1" applyProtection="1">
      <alignment horizontal="center" wrapText="1"/>
    </xf>
    <xf numFmtId="0" fontId="7" fillId="0" borderId="9" xfId="0" applyFont="1" applyFill="1" applyBorder="1" applyAlignment="1" applyProtection="1">
      <alignment horizontal="center" wrapText="1"/>
    </xf>
    <xf numFmtId="0" fontId="7" fillId="0" borderId="85" xfId="0" applyFont="1" applyFill="1" applyBorder="1" applyAlignment="1" applyProtection="1">
      <alignment horizontal="center"/>
    </xf>
    <xf numFmtId="0" fontId="7" fillId="0" borderId="47" xfId="0" applyFont="1" applyFill="1" applyBorder="1" applyAlignment="1" applyProtection="1">
      <alignment horizontal="center"/>
    </xf>
    <xf numFmtId="0" fontId="7" fillId="0" borderId="7" xfId="0" applyFont="1" applyFill="1" applyBorder="1" applyAlignment="1" applyProtection="1">
      <alignment horizontal="center" wrapText="1"/>
    </xf>
    <xf numFmtId="0" fontId="7" fillId="0" borderId="16" xfId="0" applyFont="1" applyFill="1" applyBorder="1" applyAlignment="1" applyProtection="1">
      <alignment horizontal="center" wrapText="1"/>
    </xf>
    <xf numFmtId="0" fontId="14" fillId="0" borderId="6" xfId="0" applyFont="1" applyFill="1" applyBorder="1" applyAlignment="1" applyProtection="1">
      <alignment horizontal="left" vertical="center"/>
    </xf>
    <xf numFmtId="0" fontId="7" fillId="0" borderId="50" xfId="0" applyFont="1" applyFill="1" applyBorder="1" applyAlignment="1" applyProtection="1">
      <alignment horizontal="center"/>
    </xf>
    <xf numFmtId="49" fontId="8" fillId="0" borderId="86" xfId="0" applyNumberFormat="1" applyFont="1" applyFill="1" applyBorder="1" applyAlignment="1" applyProtection="1">
      <alignment horizontal="center" vertical="center"/>
    </xf>
    <xf numFmtId="49" fontId="8" fillId="0" borderId="50" xfId="0" applyNumberFormat="1" applyFont="1" applyFill="1" applyBorder="1" applyAlignment="1" applyProtection="1">
      <alignment horizontal="center" vertical="center"/>
    </xf>
    <xf numFmtId="0" fontId="7" fillId="0" borderId="87" xfId="0" applyFont="1" applyFill="1" applyBorder="1" applyAlignment="1" applyProtection="1">
      <alignment horizontal="center"/>
    </xf>
    <xf numFmtId="0" fontId="7" fillId="0" borderId="7" xfId="0" applyFont="1" applyFill="1" applyBorder="1" applyAlignment="1" applyProtection="1">
      <alignment horizontal="center"/>
    </xf>
    <xf numFmtId="0" fontId="7" fillId="0" borderId="16" xfId="0" applyFont="1" applyFill="1" applyBorder="1" applyAlignment="1" applyProtection="1">
      <alignment horizontal="center"/>
    </xf>
    <xf numFmtId="0" fontId="14" fillId="0" borderId="5" xfId="0" applyFont="1" applyFill="1" applyBorder="1" applyAlignment="1" applyProtection="1">
      <alignment horizontal="left" vertical="center"/>
    </xf>
    <xf numFmtId="49" fontId="13" fillId="0" borderId="88" xfId="0" applyNumberFormat="1" applyFont="1" applyFill="1" applyBorder="1" applyAlignment="1" applyProtection="1">
      <alignment horizontal="left" vertical="center"/>
      <protection locked="0"/>
    </xf>
    <xf numFmtId="49" fontId="13" fillId="0" borderId="89" xfId="0" applyNumberFormat="1" applyFont="1" applyFill="1" applyBorder="1" applyAlignment="1" applyProtection="1">
      <alignment horizontal="left" vertical="center"/>
      <protection locked="0"/>
    </xf>
    <xf numFmtId="49" fontId="13" fillId="0" borderId="47" xfId="0" applyNumberFormat="1" applyFont="1" applyFill="1" applyBorder="1" applyAlignment="1" applyProtection="1">
      <alignment horizontal="left" vertical="center"/>
      <protection locked="0"/>
    </xf>
    <xf numFmtId="0" fontId="6" fillId="7" borderId="4" xfId="0" applyFont="1" applyFill="1" applyBorder="1" applyAlignment="1" applyProtection="1">
      <alignment horizontal="center" vertical="center"/>
    </xf>
    <xf numFmtId="0" fontId="6" fillId="7" borderId="90" xfId="0" applyFont="1" applyFill="1" applyBorder="1" applyAlignment="1" applyProtection="1">
      <alignment horizontal="center" vertical="center"/>
    </xf>
    <xf numFmtId="0" fontId="6" fillId="7" borderId="1" xfId="0" applyFont="1" applyFill="1" applyBorder="1" applyAlignment="1" applyProtection="1">
      <alignment horizontal="center" vertical="center"/>
    </xf>
    <xf numFmtId="3" fontId="15" fillId="0" borderId="90" xfId="0" applyNumberFormat="1" applyFont="1" applyFill="1" applyBorder="1" applyAlignment="1" applyProtection="1">
      <alignment horizontal="left" vertical="center" indent="1"/>
    </xf>
    <xf numFmtId="3" fontId="15" fillId="0" borderId="1" xfId="0" applyNumberFormat="1" applyFont="1" applyFill="1" applyBorder="1" applyAlignment="1" applyProtection="1">
      <alignment horizontal="left" vertical="center" indent="1"/>
    </xf>
    <xf numFmtId="49" fontId="13" fillId="0" borderId="82" xfId="0" applyNumberFormat="1" applyFont="1" applyFill="1" applyBorder="1" applyAlignment="1" applyProtection="1">
      <alignment horizontal="left" vertical="center"/>
      <protection locked="0"/>
    </xf>
    <xf numFmtId="49" fontId="13" fillId="0" borderId="6" xfId="0" applyNumberFormat="1" applyFont="1" applyFill="1" applyBorder="1" applyAlignment="1" applyProtection="1">
      <alignment horizontal="left" vertical="center"/>
      <protection locked="0"/>
    </xf>
    <xf numFmtId="49" fontId="13" fillId="0" borderId="84" xfId="0" applyNumberFormat="1" applyFont="1" applyFill="1" applyBorder="1" applyAlignment="1" applyProtection="1">
      <alignment horizontal="left" vertical="center"/>
      <protection locked="0"/>
    </xf>
    <xf numFmtId="14" fontId="14" fillId="0" borderId="6" xfId="0" applyNumberFormat="1" applyFont="1" applyFill="1" applyBorder="1" applyAlignment="1">
      <alignment horizontal="left" vertical="center"/>
    </xf>
    <xf numFmtId="14" fontId="14" fillId="0" borderId="84" xfId="0" applyNumberFormat="1" applyFont="1" applyFill="1" applyBorder="1" applyAlignment="1">
      <alignment horizontal="left" vertical="center"/>
    </xf>
    <xf numFmtId="1" fontId="6" fillId="7" borderId="4" xfId="0" applyNumberFormat="1" applyFont="1" applyFill="1" applyBorder="1" applyAlignment="1">
      <alignment horizontal="center" vertical="center"/>
    </xf>
    <xf numFmtId="1" fontId="6" fillId="7" borderId="90" xfId="0" applyNumberFormat="1" applyFont="1" applyFill="1" applyBorder="1" applyAlignment="1">
      <alignment horizontal="center" vertical="center"/>
    </xf>
    <xf numFmtId="1" fontId="6" fillId="7" borderId="1" xfId="0" applyNumberFormat="1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/>
    </xf>
    <xf numFmtId="0" fontId="8" fillId="7" borderId="91" xfId="0" applyFont="1" applyFill="1" applyBorder="1" applyAlignment="1">
      <alignment horizontal="center"/>
    </xf>
    <xf numFmtId="0" fontId="8" fillId="7" borderId="16" xfId="0" applyFont="1" applyFill="1" applyBorder="1" applyAlignment="1">
      <alignment horizontal="center"/>
    </xf>
    <xf numFmtId="0" fontId="14" fillId="0" borderId="5" xfId="0" applyFont="1" applyFill="1" applyBorder="1" applyAlignment="1">
      <alignment horizontal="left" vertical="center"/>
    </xf>
    <xf numFmtId="0" fontId="14" fillId="0" borderId="6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82" xfId="0" applyFont="1" applyFill="1" applyBorder="1" applyAlignment="1">
      <alignment horizontal="right" vertical="center"/>
    </xf>
    <xf numFmtId="0" fontId="8" fillId="0" borderId="6" xfId="0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" xfId="0" applyFont="1" applyFill="1" applyBorder="1" applyAlignment="1">
      <alignment horizontal="right" vertical="center"/>
    </xf>
    <xf numFmtId="49" fontId="6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8" fillId="0" borderId="4" xfId="0" applyNumberFormat="1" applyFont="1" applyFill="1" applyBorder="1" applyAlignment="1">
      <alignment horizontal="right" vertical="center"/>
    </xf>
    <xf numFmtId="1" fontId="8" fillId="0" borderId="90" xfId="0" applyNumberFormat="1" applyFont="1" applyFill="1" applyBorder="1" applyAlignment="1">
      <alignment horizontal="right" vertical="center"/>
    </xf>
    <xf numFmtId="49" fontId="13" fillId="0" borderId="12" xfId="0" applyNumberFormat="1" applyFont="1" applyFill="1" applyBorder="1" applyAlignment="1" applyProtection="1">
      <alignment horizontal="center" vertical="center"/>
      <protection locked="0"/>
    </xf>
    <xf numFmtId="49" fontId="13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0" borderId="30" xfId="0" applyNumberFormat="1" applyFont="1" applyFill="1" applyBorder="1" applyAlignment="1" applyProtection="1">
      <alignment horizontal="center" vertical="center"/>
      <protection locked="0"/>
    </xf>
    <xf numFmtId="49" fontId="13" fillId="0" borderId="92" xfId="0" applyNumberFormat="1" applyFont="1" applyFill="1" applyBorder="1" applyAlignment="1" applyProtection="1">
      <alignment horizontal="center" vertical="center"/>
      <protection locked="0"/>
    </xf>
    <xf numFmtId="49" fontId="13" fillId="0" borderId="22" xfId="0" applyNumberFormat="1" applyFont="1" applyFill="1" applyBorder="1" applyAlignment="1" applyProtection="1">
      <alignment horizontal="center" vertical="center"/>
      <protection locked="0"/>
    </xf>
    <xf numFmtId="49" fontId="13" fillId="0" borderId="93" xfId="0" applyNumberFormat="1" applyFont="1" applyFill="1" applyBorder="1" applyAlignment="1" applyProtection="1">
      <alignment horizontal="center" vertical="center"/>
      <protection locked="0"/>
    </xf>
    <xf numFmtId="1" fontId="8" fillId="0" borderId="4" xfId="0" applyNumberFormat="1" applyFont="1" applyFill="1" applyBorder="1" applyAlignment="1" applyProtection="1">
      <alignment horizontal="right" vertical="center"/>
    </xf>
    <xf numFmtId="1" fontId="8" fillId="0" borderId="90" xfId="0" applyNumberFormat="1" applyFont="1" applyFill="1" applyBorder="1" applyAlignment="1" applyProtection="1">
      <alignment horizontal="right" vertical="center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0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left" vertical="center"/>
    </xf>
    <xf numFmtId="0" fontId="8" fillId="7" borderId="7" xfId="0" applyFont="1" applyFill="1" applyBorder="1" applyAlignment="1" applyProtection="1">
      <alignment horizontal="center"/>
    </xf>
    <xf numFmtId="0" fontId="8" fillId="7" borderId="91" xfId="0" applyFont="1" applyFill="1" applyBorder="1" applyAlignment="1" applyProtection="1">
      <alignment horizontal="center"/>
    </xf>
    <xf numFmtId="0" fontId="8" fillId="7" borderId="16" xfId="0" applyFont="1" applyFill="1" applyBorder="1" applyAlignment="1" applyProtection="1">
      <alignment horizontal="center"/>
    </xf>
    <xf numFmtId="0" fontId="8" fillId="0" borderId="4" xfId="0" applyFont="1" applyFill="1" applyBorder="1" applyAlignment="1" applyProtection="1">
      <alignment horizontal="center"/>
    </xf>
    <xf numFmtId="0" fontId="8" fillId="0" borderId="1" xfId="0" applyFont="1" applyFill="1" applyBorder="1" applyAlignment="1" applyProtection="1">
      <alignment horizontal="center"/>
    </xf>
    <xf numFmtId="0" fontId="37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7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8" fillId="0" borderId="90" xfId="0" applyFont="1" applyFill="1" applyBorder="1" applyAlignment="1" applyProtection="1">
      <alignment horizontal="center"/>
    </xf>
    <xf numFmtId="0" fontId="13" fillId="0" borderId="22" xfId="0" applyFont="1" applyFill="1" applyBorder="1" applyAlignment="1" applyProtection="1">
      <alignment horizontal="center"/>
      <protection locked="0"/>
    </xf>
    <xf numFmtId="0" fontId="13" fillId="0" borderId="26" xfId="0" applyFont="1" applyFill="1" applyBorder="1" applyAlignment="1" applyProtection="1">
      <alignment horizontal="center"/>
      <protection locked="0"/>
    </xf>
    <xf numFmtId="0" fontId="13" fillId="0" borderId="93" xfId="0" applyFont="1" applyFill="1" applyBorder="1" applyAlignment="1" applyProtection="1">
      <alignment horizontal="center"/>
      <protection locked="0"/>
    </xf>
    <xf numFmtId="0" fontId="13" fillId="0" borderId="12" xfId="0" applyFont="1" applyFill="1" applyBorder="1" applyAlignment="1" applyProtection="1">
      <alignment horizontal="center"/>
      <protection locked="0"/>
    </xf>
    <xf numFmtId="0" fontId="13" fillId="0" borderId="13" xfId="0" applyFont="1" applyFill="1" applyBorder="1" applyAlignment="1" applyProtection="1">
      <alignment horizontal="center"/>
      <protection locked="0"/>
    </xf>
    <xf numFmtId="0" fontId="13" fillId="0" borderId="35" xfId="0" applyFont="1" applyFill="1" applyBorder="1" applyAlignment="1" applyProtection="1">
      <alignment horizontal="center"/>
      <protection locked="0"/>
    </xf>
    <xf numFmtId="0" fontId="13" fillId="0" borderId="30" xfId="0" applyFont="1" applyFill="1" applyBorder="1" applyAlignment="1" applyProtection="1">
      <alignment horizontal="center"/>
      <protection locked="0"/>
    </xf>
    <xf numFmtId="0" fontId="13" fillId="0" borderId="28" xfId="0" applyFont="1" applyFill="1" applyBorder="1" applyAlignment="1" applyProtection="1">
      <alignment horizontal="center"/>
      <protection locked="0"/>
    </xf>
    <xf numFmtId="0" fontId="13" fillId="0" borderId="92" xfId="0" applyFont="1" applyFill="1" applyBorder="1" applyAlignment="1" applyProtection="1">
      <alignment horizontal="center"/>
      <protection locked="0"/>
    </xf>
    <xf numFmtId="49" fontId="9" fillId="7" borderId="4" xfId="0" applyNumberFormat="1" applyFont="1" applyFill="1" applyBorder="1" applyAlignment="1" applyProtection="1">
      <alignment horizontal="center" vertical="center"/>
    </xf>
    <xf numFmtId="49" fontId="9" fillId="7" borderId="90" xfId="0" applyNumberFormat="1" applyFont="1" applyFill="1" applyBorder="1" applyAlignment="1" applyProtection="1">
      <alignment horizontal="center" vertical="center"/>
    </xf>
    <xf numFmtId="49" fontId="9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8" fillId="0" borderId="2" xfId="0" applyFont="1" applyFill="1" applyBorder="1" applyAlignment="1" applyProtection="1">
      <alignment horizontal="center"/>
    </xf>
    <xf numFmtId="0" fontId="17" fillId="0" borderId="6" xfId="0" applyFont="1" applyFill="1" applyBorder="1" applyAlignment="1" applyProtection="1">
      <alignment horizontal="left" vertical="center"/>
    </xf>
    <xf numFmtId="49" fontId="8" fillId="0" borderId="4" xfId="0" applyNumberFormat="1" applyFont="1" applyFill="1" applyBorder="1" applyAlignment="1" applyProtection="1">
      <alignment horizontal="center"/>
    </xf>
    <xf numFmtId="49" fontId="8" fillId="0" borderId="90" xfId="0" applyNumberFormat="1" applyFont="1" applyFill="1" applyBorder="1" applyAlignment="1" applyProtection="1">
      <alignment horizontal="center"/>
    </xf>
    <xf numFmtId="49" fontId="8" fillId="0" borderId="1" xfId="0" applyNumberFormat="1" applyFont="1" applyFill="1" applyBorder="1" applyAlignment="1" applyProtection="1">
      <alignment horizontal="center"/>
    </xf>
    <xf numFmtId="0" fontId="12" fillId="0" borderId="6" xfId="0" applyFont="1" applyFill="1" applyBorder="1" applyAlignment="1" applyProtection="1">
      <alignment horizontal="center"/>
    </xf>
    <xf numFmtId="0" fontId="21" fillId="0" borderId="6" xfId="0" applyNumberFormat="1" applyFont="1" applyFill="1" applyBorder="1" applyAlignment="1" applyProtection="1">
      <alignment horizontal="left"/>
      <protection locked="0"/>
    </xf>
    <xf numFmtId="0" fontId="12" fillId="0" borderId="49" xfId="0" applyFont="1" applyFill="1" applyBorder="1" applyAlignment="1" applyProtection="1">
      <alignment horizontal="center"/>
    </xf>
    <xf numFmtId="0" fontId="12" fillId="0" borderId="56" xfId="0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0" fontId="22" fillId="0" borderId="41" xfId="0" applyFont="1" applyBorder="1" applyAlignment="1" applyProtection="1">
      <protection locked="0"/>
    </xf>
    <xf numFmtId="0" fontId="12" fillId="0" borderId="83" xfId="0" applyFont="1" applyFill="1" applyBorder="1" applyAlignment="1" applyProtection="1">
      <alignment horizontal="right"/>
    </xf>
    <xf numFmtId="0" fontId="12" fillId="0" borderId="0" xfId="0" applyFont="1" applyFill="1" applyBorder="1" applyAlignment="1" applyProtection="1">
      <alignment horizontal="right"/>
    </xf>
    <xf numFmtId="0" fontId="12" fillId="0" borderId="5" xfId="0" applyFont="1" applyFill="1" applyBorder="1" applyAlignment="1" applyProtection="1">
      <alignment horizontal="right"/>
    </xf>
    <xf numFmtId="0" fontId="22" fillId="0" borderId="5" xfId="0" applyFont="1" applyBorder="1" applyAlignment="1"/>
    <xf numFmtId="49" fontId="21" fillId="0" borderId="5" xfId="0" applyNumberFormat="1" applyFont="1" applyFill="1" applyBorder="1" applyAlignment="1" applyProtection="1">
      <alignment horizontal="left"/>
      <protection locked="0"/>
    </xf>
    <xf numFmtId="0" fontId="21" fillId="0" borderId="5" xfId="0" applyFont="1" applyFill="1" applyBorder="1" applyAlignment="1" applyProtection="1">
      <alignment horizontal="center"/>
    </xf>
    <xf numFmtId="164" fontId="21" fillId="0" borderId="6" xfId="0" applyNumberFormat="1" applyFont="1" applyFill="1" applyBorder="1" applyAlignment="1" applyProtection="1">
      <alignment horizontal="left"/>
      <protection locked="0"/>
    </xf>
    <xf numFmtId="164" fontId="21" fillId="0" borderId="84" xfId="0" applyNumberFormat="1" applyFont="1" applyFill="1" applyBorder="1" applyAlignment="1" applyProtection="1">
      <alignment horizontal="left"/>
      <protection locked="0"/>
    </xf>
    <xf numFmtId="0" fontId="12" fillId="0" borderId="82" xfId="0" applyFont="1" applyFill="1" applyBorder="1" applyAlignment="1" applyProtection="1">
      <alignment horizontal="right"/>
    </xf>
    <xf numFmtId="0" fontId="22" fillId="0" borderId="6" xfId="0" applyFont="1" applyBorder="1" applyAlignment="1"/>
    <xf numFmtId="0" fontId="21" fillId="0" borderId="6" xfId="0" applyFont="1" applyFill="1" applyBorder="1" applyAlignment="1" applyProtection="1">
      <alignment horizontal="left"/>
      <protection locked="0"/>
    </xf>
    <xf numFmtId="49" fontId="13" fillId="0" borderId="12" xfId="0" applyNumberFormat="1" applyFont="1" applyFill="1" applyBorder="1" applyAlignment="1" applyProtection="1">
      <alignment horizontal="left"/>
      <protection locked="0"/>
    </xf>
    <xf numFmtId="49" fontId="13" fillId="0" borderId="13" xfId="0" applyNumberFormat="1" applyFont="1" applyFill="1" applyBorder="1" applyAlignment="1" applyProtection="1">
      <alignment horizontal="left"/>
      <protection locked="0"/>
    </xf>
    <xf numFmtId="49" fontId="13" fillId="0" borderId="19" xfId="0" applyNumberFormat="1" applyFont="1" applyFill="1" applyBorder="1" applyAlignment="1" applyProtection="1">
      <alignment horizontal="left"/>
      <protection locked="0"/>
    </xf>
    <xf numFmtId="49" fontId="21" fillId="0" borderId="0" xfId="0" applyNumberFormat="1" applyFont="1" applyFill="1" applyBorder="1" applyAlignment="1" applyProtection="1">
      <alignment horizontal="left"/>
      <protection locked="0"/>
    </xf>
    <xf numFmtId="164" fontId="21" fillId="0" borderId="0" xfId="0" applyNumberFormat="1" applyFont="1" applyFill="1" applyBorder="1" applyAlignment="1" applyProtection="1">
      <alignment horizontal="left"/>
      <protection locked="0"/>
    </xf>
    <xf numFmtId="0" fontId="21" fillId="0" borderId="41" xfId="0" applyFont="1" applyFill="1" applyBorder="1" applyAlignment="1" applyProtection="1">
      <alignment horizontal="left"/>
      <protection locked="0"/>
    </xf>
    <xf numFmtId="0" fontId="12" fillId="0" borderId="86" xfId="0" applyFont="1" applyFill="1" applyBorder="1" applyAlignment="1" applyProtection="1">
      <alignment horizontal="center"/>
    </xf>
    <xf numFmtId="49" fontId="21" fillId="0" borderId="41" xfId="0" applyNumberFormat="1" applyFont="1" applyFill="1" applyBorder="1" applyAlignment="1" applyProtection="1">
      <alignment horizontal="left"/>
      <protection locked="0"/>
    </xf>
    <xf numFmtId="0" fontId="12" fillId="0" borderId="90" xfId="0" applyFont="1" applyFill="1" applyBorder="1" applyAlignment="1" applyProtection="1">
      <alignment horizontal="right"/>
    </xf>
    <xf numFmtId="0" fontId="21" fillId="0" borderId="90" xfId="0" applyFont="1" applyFill="1" applyBorder="1" applyAlignment="1" applyProtection="1">
      <alignment horizontal="left"/>
      <protection locked="0"/>
    </xf>
    <xf numFmtId="0" fontId="21" fillId="0" borderId="1" xfId="0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</xf>
    <xf numFmtId="0" fontId="12" fillId="0" borderId="97" xfId="0" applyFont="1" applyFill="1" applyBorder="1" applyAlignment="1" applyProtection="1">
      <alignment horizontal="left"/>
    </xf>
    <xf numFmtId="164" fontId="21" fillId="0" borderId="41" xfId="0" applyNumberFormat="1" applyFont="1" applyFill="1" applyBorder="1" applyAlignment="1" applyProtection="1">
      <alignment horizontal="left"/>
      <protection locked="0"/>
    </xf>
    <xf numFmtId="0" fontId="22" fillId="0" borderId="6" xfId="0" applyFont="1" applyBorder="1" applyAlignment="1" applyProtection="1">
      <protection locked="0"/>
    </xf>
    <xf numFmtId="0" fontId="22" fillId="0" borderId="84" xfId="0" applyFont="1" applyBorder="1" applyAlignment="1" applyProtection="1">
      <protection locked="0"/>
    </xf>
    <xf numFmtId="0" fontId="12" fillId="0" borderId="83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center"/>
    </xf>
    <xf numFmtId="0" fontId="12" fillId="0" borderId="53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 vertical="center"/>
    </xf>
    <xf numFmtId="0" fontId="23" fillId="0" borderId="82" xfId="0" applyFont="1" applyFill="1" applyBorder="1" applyAlignment="1" applyProtection="1">
      <alignment horizontal="right" indent="6"/>
    </xf>
    <xf numFmtId="0" fontId="8" fillId="0" borderId="6" xfId="0" applyFont="1" applyFill="1" applyBorder="1" applyAlignment="1" applyProtection="1">
      <alignment horizontal="right" indent="6"/>
    </xf>
    <xf numFmtId="0" fontId="12" fillId="0" borderId="6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left"/>
      <protection locked="0"/>
    </xf>
    <xf numFmtId="0" fontId="5" fillId="0" borderId="83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12" fillId="0" borderId="4" xfId="0" applyFont="1" applyFill="1" applyBorder="1" applyAlignment="1" applyProtection="1">
      <alignment horizontal="center"/>
    </xf>
    <xf numFmtId="0" fontId="12" fillId="0" borderId="90" xfId="0" applyFont="1" applyFill="1" applyBorder="1" applyAlignment="1" applyProtection="1">
      <alignment horizontal="center"/>
    </xf>
    <xf numFmtId="0" fontId="12" fillId="0" borderId="1" xfId="0" applyFont="1" applyFill="1" applyBorder="1" applyAlignment="1" applyProtection="1">
      <alignment horizontal="center"/>
    </xf>
    <xf numFmtId="3" fontId="14" fillId="0" borderId="90" xfId="1" applyNumberFormat="1" applyFont="1" applyFill="1" applyBorder="1" applyAlignment="1" applyProtection="1">
      <alignment horizontal="left"/>
    </xf>
    <xf numFmtId="3" fontId="14" fillId="0" borderId="1" xfId="1" applyNumberFormat="1" applyFont="1" applyFill="1" applyBorder="1" applyAlignment="1" applyProtection="1">
      <alignment horizontal="left"/>
    </xf>
    <xf numFmtId="0" fontId="12" fillId="0" borderId="53" xfId="0" applyFont="1" applyFill="1" applyBorder="1" applyAlignment="1" applyProtection="1">
      <alignment horizontal="right"/>
    </xf>
    <xf numFmtId="0" fontId="22" fillId="0" borderId="5" xfId="0" applyFont="1" applyFill="1" applyBorder="1" applyAlignment="1" applyProtection="1">
      <alignment horizontal="right"/>
    </xf>
    <xf numFmtId="0" fontId="7" fillId="0" borderId="7" xfId="2" applyFont="1" applyFill="1" applyBorder="1" applyAlignment="1" applyProtection="1">
      <alignment horizontal="center"/>
    </xf>
    <xf numFmtId="0" fontId="7" fillId="0" borderId="16" xfId="2" applyFont="1" applyFill="1" applyBorder="1" applyAlignment="1" applyProtection="1">
      <alignment horizontal="center"/>
    </xf>
    <xf numFmtId="0" fontId="7" fillId="0" borderId="82" xfId="2" applyFont="1" applyFill="1" applyBorder="1" applyAlignment="1" applyProtection="1">
      <alignment horizontal="center"/>
    </xf>
    <xf numFmtId="0" fontId="7" fillId="0" borderId="84" xfId="2" applyFont="1" applyFill="1" applyBorder="1" applyAlignment="1" applyProtection="1">
      <alignment horizontal="center"/>
    </xf>
    <xf numFmtId="0" fontId="7" fillId="0" borderId="7" xfId="2" applyFont="1" applyFill="1" applyBorder="1" applyAlignment="1" applyProtection="1">
      <alignment horizontal="center" wrapText="1"/>
    </xf>
    <xf numFmtId="0" fontId="7" fillId="0" borderId="16" xfId="2" applyFont="1" applyFill="1" applyBorder="1" applyAlignment="1" applyProtection="1">
      <alignment horizontal="center" wrapText="1"/>
    </xf>
    <xf numFmtId="0" fontId="7" fillId="0" borderId="85" xfId="2" applyFont="1" applyFill="1" applyBorder="1" applyAlignment="1" applyProtection="1">
      <alignment horizontal="center"/>
    </xf>
    <xf numFmtId="0" fontId="7" fillId="0" borderId="47" xfId="2" applyFont="1" applyFill="1" applyBorder="1" applyAlignment="1" applyProtection="1">
      <alignment horizontal="center"/>
    </xf>
    <xf numFmtId="0" fontId="7" fillId="0" borderId="52" xfId="2" applyFont="1" applyFill="1" applyBorder="1" applyAlignment="1" applyProtection="1">
      <alignment horizontal="center"/>
    </xf>
    <xf numFmtId="0" fontId="7" fillId="0" borderId="50" xfId="2" applyFont="1" applyFill="1" applyBorder="1" applyAlignment="1" applyProtection="1">
      <alignment horizontal="center"/>
    </xf>
    <xf numFmtId="0" fontId="7" fillId="0" borderId="86" xfId="2" applyFont="1" applyFill="1" applyBorder="1" applyAlignment="1" applyProtection="1">
      <alignment horizontal="center"/>
    </xf>
    <xf numFmtId="0" fontId="7" fillId="0" borderId="82" xfId="2" applyFont="1" applyFill="1" applyBorder="1" applyAlignment="1" applyProtection="1">
      <alignment horizontal="center" wrapText="1"/>
    </xf>
    <xf numFmtId="0" fontId="7" fillId="0" borderId="84" xfId="2" applyFont="1" applyFill="1" applyBorder="1" applyAlignment="1" applyProtection="1">
      <alignment horizontal="center" wrapText="1"/>
    </xf>
    <xf numFmtId="0" fontId="7" fillId="0" borderId="53" xfId="2" applyFont="1" applyFill="1" applyBorder="1" applyAlignment="1" applyProtection="1">
      <alignment horizontal="center" wrapText="1"/>
    </xf>
    <xf numFmtId="0" fontId="7" fillId="0" borderId="9" xfId="2" applyFont="1" applyFill="1" applyBorder="1" applyAlignment="1" applyProtection="1">
      <alignment horizontal="center" wrapText="1"/>
    </xf>
    <xf numFmtId="49" fontId="13" fillId="0" borderId="54" xfId="2" applyNumberFormat="1" applyFont="1" applyFill="1" applyBorder="1" applyAlignment="1" applyProtection="1">
      <alignment horizontal="left" vertical="center"/>
      <protection locked="0"/>
    </xf>
    <xf numFmtId="49" fontId="13" fillId="0" borderId="13" xfId="2" applyNumberFormat="1" applyFont="1" applyFill="1" applyBorder="1" applyAlignment="1" applyProtection="1">
      <alignment horizontal="left" vertical="center"/>
      <protection locked="0"/>
    </xf>
    <xf numFmtId="49" fontId="13" fillId="0" borderId="19" xfId="2" applyNumberFormat="1" applyFont="1" applyFill="1" applyBorder="1" applyAlignment="1" applyProtection="1">
      <alignment horizontal="left" vertical="center"/>
      <protection locked="0"/>
    </xf>
    <xf numFmtId="49" fontId="13" fillId="0" borderId="82" xfId="2" applyNumberFormat="1" applyFont="1" applyFill="1" applyBorder="1" applyAlignment="1" applyProtection="1">
      <alignment horizontal="left" vertical="center"/>
      <protection locked="0"/>
    </xf>
    <xf numFmtId="49" fontId="13" fillId="0" borderId="6" xfId="2" applyNumberFormat="1" applyFont="1" applyFill="1" applyBorder="1" applyAlignment="1" applyProtection="1">
      <alignment horizontal="left" vertical="center"/>
      <protection locked="0"/>
    </xf>
    <xf numFmtId="49" fontId="13" fillId="0" borderId="84" xfId="2" applyNumberFormat="1" applyFont="1" applyFill="1" applyBorder="1" applyAlignment="1" applyProtection="1">
      <alignment horizontal="left" vertical="center"/>
      <protection locked="0"/>
    </xf>
    <xf numFmtId="0" fontId="7" fillId="0" borderId="6" xfId="2" applyFont="1" applyFill="1" applyBorder="1" applyAlignment="1" applyProtection="1">
      <alignment horizontal="center"/>
    </xf>
    <xf numFmtId="0" fontId="7" fillId="0" borderId="53" xfId="2" applyFont="1" applyFill="1" applyBorder="1" applyAlignment="1" applyProtection="1">
      <alignment horizontal="center"/>
    </xf>
    <xf numFmtId="0" fontId="7" fillId="0" borderId="5" xfId="2" applyFont="1" applyFill="1" applyBorder="1" applyAlignment="1" applyProtection="1">
      <alignment horizontal="center"/>
    </xf>
    <xf numFmtId="0" fontId="7" fillId="0" borderId="9" xfId="2" applyFont="1" applyFill="1" applyBorder="1" applyAlignment="1" applyProtection="1">
      <alignment horizontal="center"/>
    </xf>
    <xf numFmtId="0" fontId="0" fillId="0" borderId="0" xfId="0"/>
    <xf numFmtId="0" fontId="8" fillId="0" borderId="6" xfId="0" applyFont="1" applyFill="1" applyBorder="1" applyAlignment="1" applyProtection="1">
      <alignment horizontal="left" vertical="center"/>
    </xf>
    <xf numFmtId="0" fontId="8" fillId="0" borderId="5" xfId="0" applyFont="1" applyFill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right"/>
      <protection hidden="1"/>
    </xf>
    <xf numFmtId="0" fontId="5" fillId="0" borderId="77" xfId="0" applyFont="1" applyFill="1" applyBorder="1" applyAlignment="1" applyProtection="1">
      <alignment horizontal="left"/>
      <protection hidden="1"/>
    </xf>
    <xf numFmtId="0" fontId="5" fillId="0" borderId="98" xfId="0" applyFont="1" applyFill="1" applyBorder="1" applyAlignment="1" applyProtection="1">
      <alignment horizontal="left"/>
      <protection hidden="1"/>
    </xf>
    <xf numFmtId="0" fontId="5" fillId="0" borderId="77" xfId="0" applyFont="1" applyBorder="1" applyAlignment="1" applyProtection="1">
      <alignment horizontal="left"/>
      <protection hidden="1"/>
    </xf>
    <xf numFmtId="0" fontId="5" fillId="0" borderId="98" xfId="0" applyFont="1" applyBorder="1" applyAlignment="1" applyProtection="1">
      <alignment horizontal="left"/>
      <protection hidden="1"/>
    </xf>
    <xf numFmtId="0" fontId="5" fillId="0" borderId="81" xfId="0" applyFont="1" applyBorder="1" applyAlignment="1" applyProtection="1">
      <alignment horizontal="left"/>
      <protection hidden="1"/>
    </xf>
    <xf numFmtId="0" fontId="5" fillId="0" borderId="100" xfId="0" applyFont="1" applyBorder="1" applyAlignment="1" applyProtection="1">
      <alignment horizontal="left"/>
      <protection hidden="1"/>
    </xf>
    <xf numFmtId="0" fontId="5" fillId="0" borderId="79" xfId="0" applyFont="1" applyBorder="1" applyAlignment="1" applyProtection="1">
      <alignment horizontal="left"/>
      <protection hidden="1"/>
    </xf>
    <xf numFmtId="0" fontId="5" fillId="0" borderId="99" xfId="0" applyFont="1" applyBorder="1" applyAlignment="1" applyProtection="1">
      <alignment horizontal="left"/>
      <protection hidden="1"/>
    </xf>
    <xf numFmtId="0" fontId="43" fillId="0" borderId="0" xfId="0" applyFont="1" applyFill="1" applyBorder="1" applyAlignment="1" applyProtection="1">
      <alignment horizontal="right" vertical="center"/>
      <protection hidden="1"/>
    </xf>
    <xf numFmtId="0" fontId="7" fillId="0" borderId="101" xfId="0" applyFont="1" applyFill="1" applyBorder="1" applyAlignment="1" applyProtection="1">
      <alignment horizontal="center"/>
      <protection hidden="1"/>
    </xf>
    <xf numFmtId="0" fontId="7" fillId="0" borderId="102" xfId="0" applyFont="1" applyFill="1" applyBorder="1" applyAlignment="1" applyProtection="1">
      <alignment horizontal="center"/>
      <protection hidden="1"/>
    </xf>
    <xf numFmtId="0" fontId="7" fillId="0" borderId="103" xfId="0" applyFont="1" applyFill="1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center"/>
      <protection hidden="1"/>
    </xf>
    <xf numFmtId="0" fontId="1" fillId="0" borderId="0" xfId="2" applyFont="1"/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1" t="s">
        <v>33</v>
      </c>
      <c r="B1" s="322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8" t="str">
        <f ca="1">IF(ISBLANK(INDIRECT("Cover!O2")),"",INDIRECT("Cover!O2"))</f>
        <v>*</v>
      </c>
      <c r="Q1" s="328"/>
      <c r="R1" s="32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3" t="s">
        <v>34</v>
      </c>
      <c r="B2" s="324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5" t="s">
        <v>45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20"/>
      <c r="S4" s="17"/>
    </row>
    <row r="5" spans="1:32" s="18" customFormat="1" ht="20.100000000000001" customHeight="1" x14ac:dyDescent="0.2">
      <c r="A5" s="125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20"/>
      <c r="S5" s="17"/>
    </row>
    <row r="6" spans="1:32" s="18" customFormat="1" ht="20.100000000000001" customHeight="1" x14ac:dyDescent="0.2">
      <c r="A6" s="125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20"/>
      <c r="S6" s="17"/>
    </row>
    <row r="7" spans="1:32" s="18" customFormat="1" ht="20.100000000000001" customHeight="1" x14ac:dyDescent="0.2">
      <c r="A7" s="125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20"/>
      <c r="S7" s="17"/>
    </row>
    <row r="8" spans="1:32" s="18" customFormat="1" ht="20.100000000000001" customHeight="1" x14ac:dyDescent="0.2">
      <c r="A8" s="125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20"/>
      <c r="S8" s="17"/>
    </row>
    <row r="9" spans="1:32" s="18" customFormat="1" ht="20.100000000000001" customHeight="1" x14ac:dyDescent="0.2">
      <c r="A9" s="125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20"/>
      <c r="S9" s="17"/>
    </row>
    <row r="10" spans="1:32" s="18" customFormat="1" ht="20.100000000000001" customHeight="1" x14ac:dyDescent="0.2">
      <c r="A10" s="125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20"/>
      <c r="S10" s="17"/>
    </row>
    <row r="11" spans="1:32" s="18" customFormat="1" ht="20.100000000000001" customHeight="1" x14ac:dyDescent="0.2">
      <c r="A11" s="125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20"/>
      <c r="S11" s="17"/>
    </row>
    <row r="12" spans="1:32" s="18" customFormat="1" ht="20.100000000000001" customHeight="1" x14ac:dyDescent="0.2">
      <c r="A12" s="125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20"/>
      <c r="S12" s="17"/>
    </row>
    <row r="13" spans="1:32" s="18" customFormat="1" ht="20.100000000000001" customHeight="1" x14ac:dyDescent="0.2">
      <c r="A13" s="125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20"/>
      <c r="S13" s="17"/>
    </row>
    <row r="14" spans="1:32" s="18" customFormat="1" ht="20.100000000000001" customHeight="1" x14ac:dyDescent="0.2">
      <c r="A14" s="125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20"/>
      <c r="S14" s="17"/>
    </row>
    <row r="15" spans="1:32" s="18" customFormat="1" ht="20.100000000000001" customHeight="1" x14ac:dyDescent="0.2">
      <c r="A15" s="125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20"/>
      <c r="S15" s="17"/>
    </row>
    <row r="16" spans="1:32" s="18" customFormat="1" ht="20.100000000000001" customHeight="1" x14ac:dyDescent="0.2">
      <c r="A16" s="125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20"/>
      <c r="S16" s="17"/>
    </row>
    <row r="17" spans="1:19" s="18" customFormat="1" ht="20.100000000000001" customHeight="1" x14ac:dyDescent="0.2">
      <c r="A17" s="125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20"/>
      <c r="S17" s="17"/>
    </row>
    <row r="18" spans="1:19" s="18" customFormat="1" ht="20.100000000000001" customHeight="1" x14ac:dyDescent="0.2">
      <c r="A18" s="125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20"/>
      <c r="S18" s="17"/>
    </row>
    <row r="19" spans="1:19" s="18" customFormat="1" ht="20.100000000000001" customHeight="1" x14ac:dyDescent="0.2">
      <c r="A19" s="125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20"/>
      <c r="S19" s="17"/>
    </row>
    <row r="20" spans="1:19" s="18" customFormat="1" ht="20.100000000000001" customHeight="1" x14ac:dyDescent="0.2">
      <c r="A20" s="125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20"/>
      <c r="S20" s="17"/>
    </row>
    <row r="21" spans="1:19" s="18" customFormat="1" ht="20.100000000000001" customHeight="1" x14ac:dyDescent="0.2">
      <c r="A21" s="125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20"/>
      <c r="S21" s="17"/>
    </row>
    <row r="22" spans="1:19" s="18" customFormat="1" ht="20.100000000000001" customHeight="1" x14ac:dyDescent="0.2">
      <c r="A22" s="125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20"/>
      <c r="S22" s="17"/>
    </row>
    <row r="23" spans="1:19" s="18" customFormat="1" ht="20.100000000000001" customHeight="1" x14ac:dyDescent="0.2">
      <c r="A23" s="125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20"/>
      <c r="S23" s="17"/>
    </row>
    <row r="24" spans="1:19" s="18" customFormat="1" ht="20.100000000000001" customHeight="1" x14ac:dyDescent="0.2">
      <c r="A24" s="125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20"/>
      <c r="S24" s="17"/>
    </row>
    <row r="25" spans="1:19" s="18" customFormat="1" ht="20.100000000000001" customHeight="1" x14ac:dyDescent="0.2">
      <c r="A25" s="125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20"/>
      <c r="S25" s="17"/>
    </row>
    <row r="26" spans="1:19" s="18" customFormat="1" ht="20.100000000000001" customHeight="1" x14ac:dyDescent="0.2">
      <c r="A26" s="125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20"/>
      <c r="S26" s="17"/>
    </row>
    <row r="27" spans="1:19" s="18" customFormat="1" ht="20.100000000000001" customHeight="1" x14ac:dyDescent="0.2">
      <c r="A27" s="125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20"/>
      <c r="S27" s="17"/>
    </row>
    <row r="28" spans="1:19" s="18" customFormat="1" ht="20.100000000000001" customHeight="1" x14ac:dyDescent="0.2">
      <c r="A28" s="125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20"/>
      <c r="S28" s="17"/>
    </row>
    <row r="29" spans="1:19" s="18" customFormat="1" ht="20.100000000000001" customHeight="1" x14ac:dyDescent="0.2">
      <c r="A29" s="125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20"/>
      <c r="S29" s="17"/>
    </row>
    <row r="30" spans="1:19" s="18" customFormat="1" ht="20.100000000000001" customHeight="1" x14ac:dyDescent="0.2">
      <c r="A30" s="125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20"/>
      <c r="S30" s="17"/>
    </row>
    <row r="31" spans="1:19" s="18" customFormat="1" ht="20.100000000000001" customHeight="1" x14ac:dyDescent="0.2">
      <c r="A31" s="125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20"/>
      <c r="S31" s="17"/>
    </row>
    <row r="32" spans="1:19" s="18" customFormat="1" ht="20.100000000000001" customHeight="1" x14ac:dyDescent="0.2">
      <c r="A32" s="125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20"/>
      <c r="S32" s="17"/>
    </row>
    <row r="33" spans="1:19" s="18" customFormat="1" ht="20.100000000000001" customHeight="1" x14ac:dyDescent="0.2">
      <c r="A33" s="125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20"/>
      <c r="S33" s="17"/>
    </row>
    <row r="34" spans="1:19" s="18" customFormat="1" ht="20.100000000000001" customHeight="1" x14ac:dyDescent="0.2">
      <c r="A34" s="125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20"/>
      <c r="S34" s="17"/>
    </row>
    <row r="35" spans="1:19" s="18" customFormat="1" ht="20.100000000000001" customHeight="1" x14ac:dyDescent="0.2">
      <c r="A35" s="125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20"/>
      <c r="S35" s="17"/>
    </row>
    <row r="36" spans="1:19" s="18" customFormat="1" ht="20.100000000000001" customHeight="1" x14ac:dyDescent="0.2">
      <c r="A36" s="125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20"/>
      <c r="S36" s="17"/>
    </row>
    <row r="37" spans="1:19" s="18" customFormat="1" ht="20.100000000000001" customHeight="1" x14ac:dyDescent="0.2">
      <c r="A37" s="125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20"/>
      <c r="S37" s="17"/>
    </row>
    <row r="38" spans="1:19" s="18" customFormat="1" ht="20.100000000000001" customHeight="1" x14ac:dyDescent="0.2">
      <c r="A38" s="125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20"/>
      <c r="S38" s="17"/>
    </row>
    <row r="39" spans="1:19" s="18" customFormat="1" ht="20.100000000000001" customHeight="1" x14ac:dyDescent="0.2">
      <c r="A39" s="125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20"/>
      <c r="S39" s="17"/>
    </row>
    <row r="40" spans="1:19" s="18" customFormat="1" ht="20.100000000000001" customHeight="1" x14ac:dyDescent="0.2">
      <c r="A40" s="125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20"/>
      <c r="S40" s="17"/>
    </row>
    <row r="41" spans="1:19" s="18" customFormat="1" ht="20.100000000000001" customHeight="1" x14ac:dyDescent="0.2">
      <c r="A41" s="125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20"/>
      <c r="S41" s="17"/>
    </row>
    <row r="42" spans="1:19" s="18" customFormat="1" ht="20.100000000000001" customHeight="1" x14ac:dyDescent="0.2">
      <c r="A42" s="125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20"/>
      <c r="S42" s="17"/>
    </row>
    <row r="43" spans="1:19" s="18" customFormat="1" ht="20.100000000000001" customHeight="1" x14ac:dyDescent="0.2">
      <c r="A43" s="125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20"/>
      <c r="S43" s="17"/>
    </row>
    <row r="44" spans="1:19" s="18" customFormat="1" ht="20.100000000000001" customHeight="1" x14ac:dyDescent="0.2">
      <c r="A44" s="125"/>
      <c r="B44" s="319"/>
      <c r="C44" s="319"/>
      <c r="D44" s="319"/>
      <c r="E44" s="319"/>
      <c r="F44" s="319"/>
      <c r="G44" s="319"/>
      <c r="H44" s="319"/>
      <c r="I44" s="319"/>
      <c r="J44" s="319"/>
      <c r="K44" s="319"/>
      <c r="L44" s="319"/>
      <c r="M44" s="319"/>
      <c r="N44" s="319"/>
      <c r="O44" s="319"/>
      <c r="P44" s="319"/>
      <c r="Q44" s="319"/>
      <c r="R44" s="320"/>
      <c r="S44" s="17"/>
    </row>
    <row r="45" spans="1:19" s="18" customFormat="1" ht="20.100000000000001" customHeight="1" x14ac:dyDescent="0.2">
      <c r="A45" s="125"/>
      <c r="B45" s="319"/>
      <c r="C45" s="319"/>
      <c r="D45" s="319"/>
      <c r="E45" s="319"/>
      <c r="F45" s="319"/>
      <c r="G45" s="319"/>
      <c r="H45" s="319"/>
      <c r="I45" s="319"/>
      <c r="J45" s="319"/>
      <c r="K45" s="319"/>
      <c r="L45" s="319"/>
      <c r="M45" s="319"/>
      <c r="N45" s="319"/>
      <c r="O45" s="319"/>
      <c r="P45" s="319"/>
      <c r="Q45" s="319"/>
      <c r="R45" s="320"/>
      <c r="S45" s="17"/>
    </row>
    <row r="46" spans="1:19" s="18" customFormat="1" ht="20.100000000000001" customHeight="1" x14ac:dyDescent="0.2">
      <c r="A46" s="125"/>
      <c r="B46" s="319"/>
      <c r="C46" s="319"/>
      <c r="D46" s="319"/>
      <c r="E46" s="319"/>
      <c r="F46" s="319"/>
      <c r="G46" s="319"/>
      <c r="H46" s="319"/>
      <c r="I46" s="319"/>
      <c r="J46" s="319"/>
      <c r="K46" s="319"/>
      <c r="L46" s="319"/>
      <c r="M46" s="319"/>
      <c r="N46" s="319"/>
      <c r="O46" s="319"/>
      <c r="P46" s="319"/>
      <c r="Q46" s="319"/>
      <c r="R46" s="320"/>
      <c r="S46" s="17"/>
    </row>
    <row r="47" spans="1:19" s="18" customFormat="1" ht="20.100000000000001" customHeight="1" x14ac:dyDescent="0.2">
      <c r="A47" s="125"/>
      <c r="B47" s="319"/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20"/>
      <c r="S47" s="17"/>
    </row>
    <row r="48" spans="1:19" s="18" customFormat="1" ht="20.100000000000001" customHeight="1" x14ac:dyDescent="0.2">
      <c r="A48" s="125"/>
      <c r="B48" s="319"/>
      <c r="C48" s="319"/>
      <c r="D48" s="319"/>
      <c r="E48" s="319"/>
      <c r="F48" s="319"/>
      <c r="G48" s="319"/>
      <c r="H48" s="319"/>
      <c r="I48" s="319"/>
      <c r="J48" s="319"/>
      <c r="K48" s="319"/>
      <c r="L48" s="319"/>
      <c r="M48" s="319"/>
      <c r="N48" s="319"/>
      <c r="O48" s="319"/>
      <c r="P48" s="319"/>
      <c r="Q48" s="319"/>
      <c r="R48" s="320"/>
      <c r="S48" s="17"/>
    </row>
    <row r="49" spans="1:19" s="18" customFormat="1" ht="20.100000000000001" customHeight="1" x14ac:dyDescent="0.2">
      <c r="A49" s="125"/>
      <c r="B49" s="319"/>
      <c r="C49" s="319"/>
      <c r="D49" s="319"/>
      <c r="E49" s="319"/>
      <c r="F49" s="319"/>
      <c r="G49" s="319"/>
      <c r="H49" s="319"/>
      <c r="I49" s="319"/>
      <c r="J49" s="319"/>
      <c r="K49" s="319"/>
      <c r="L49" s="319"/>
      <c r="M49" s="319"/>
      <c r="N49" s="319"/>
      <c r="O49" s="319"/>
      <c r="P49" s="319"/>
      <c r="Q49" s="319"/>
      <c r="R49" s="320"/>
      <c r="S49" s="17"/>
    </row>
    <row r="50" spans="1:19" s="18" customFormat="1" ht="20.100000000000001" customHeight="1" x14ac:dyDescent="0.2">
      <c r="A50" s="125"/>
      <c r="B50" s="319"/>
      <c r="C50" s="319"/>
      <c r="D50" s="319"/>
      <c r="E50" s="319"/>
      <c r="F50" s="319"/>
      <c r="G50" s="319"/>
      <c r="H50" s="319"/>
      <c r="I50" s="319"/>
      <c r="J50" s="319"/>
      <c r="K50" s="319"/>
      <c r="L50" s="319"/>
      <c r="M50" s="319"/>
      <c r="N50" s="319"/>
      <c r="O50" s="319"/>
      <c r="P50" s="319"/>
      <c r="Q50" s="319"/>
      <c r="R50" s="320"/>
      <c r="S50" s="17"/>
    </row>
    <row r="51" spans="1:19" s="18" customFormat="1" ht="20.100000000000001" customHeight="1" x14ac:dyDescent="0.2">
      <c r="A51" s="125"/>
      <c r="B51" s="319"/>
      <c r="C51" s="319"/>
      <c r="D51" s="319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20"/>
      <c r="S51" s="17"/>
    </row>
    <row r="52" spans="1:19" s="18" customFormat="1" ht="20.100000000000001" customHeight="1" x14ac:dyDescent="0.2">
      <c r="A52" s="125"/>
      <c r="B52" s="319"/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20"/>
      <c r="S52" s="17"/>
    </row>
    <row r="53" spans="1:19" s="18" customFormat="1" ht="20.100000000000001" customHeight="1" thickBot="1" x14ac:dyDescent="0.25">
      <c r="A53" s="125"/>
      <c r="B53" s="319"/>
      <c r="C53" s="319"/>
      <c r="D53" s="319"/>
      <c r="E53" s="319"/>
      <c r="F53" s="319"/>
      <c r="G53" s="319"/>
      <c r="H53" s="319"/>
      <c r="I53" s="319"/>
      <c r="J53" s="319"/>
      <c r="K53" s="319"/>
      <c r="L53" s="319"/>
      <c r="M53" s="319"/>
      <c r="N53" s="319"/>
      <c r="O53" s="319"/>
      <c r="P53" s="319"/>
      <c r="Q53" s="319"/>
      <c r="R53" s="32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1" t="s">
        <v>26</v>
      </c>
      <c r="B1" s="322"/>
      <c r="C1" s="351" t="str">
        <f ca="1">IF(ISBLANK(INDIRECT("Cover!D3")),"",INDIRECT("Cover!D3"))</f>
        <v>*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22" t="s">
        <v>28</v>
      </c>
      <c r="AA1" s="333" t="str">
        <f ca="1">IF(ISBLANK(INDIRECT("Cover!O2")),"",INDIRECT("Cover!O2"))</f>
        <v>*</v>
      </c>
      <c r="AB1" s="333"/>
      <c r="AC1" s="334"/>
    </row>
    <row r="2" spans="1:29" s="9" customFormat="1" ht="20.100000000000001" customHeight="1" thickBot="1" x14ac:dyDescent="0.25">
      <c r="A2" s="323" t="s">
        <v>27</v>
      </c>
      <c r="B2" s="324"/>
      <c r="C2" s="358" t="str">
        <f ca="1">IF(ISBLANK(INDIRECT("Cover!D4")),"",INDIRECT("Cover!D4"))</f>
        <v>*</v>
      </c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6" t="s">
        <v>44</v>
      </c>
      <c r="B3" s="356" t="s">
        <v>0</v>
      </c>
      <c r="C3" s="356" t="s">
        <v>1</v>
      </c>
      <c r="D3" s="343" t="s">
        <v>81</v>
      </c>
      <c r="E3" s="344"/>
      <c r="F3" s="341" t="s">
        <v>2</v>
      </c>
      <c r="G3" s="342"/>
      <c r="H3" s="342"/>
      <c r="I3" s="341" t="s">
        <v>5</v>
      </c>
      <c r="J3" s="342"/>
      <c r="K3" s="342"/>
      <c r="L3" s="341" t="s">
        <v>8</v>
      </c>
      <c r="M3" s="352"/>
      <c r="N3" s="23" t="s">
        <v>6</v>
      </c>
      <c r="O3" s="23" t="s">
        <v>22</v>
      </c>
      <c r="P3" s="355" t="s">
        <v>79</v>
      </c>
      <c r="Q3" s="342"/>
      <c r="R3" s="352"/>
      <c r="S3" s="341" t="s">
        <v>75</v>
      </c>
      <c r="T3" s="342"/>
      <c r="U3" s="342"/>
      <c r="V3" s="341" t="s">
        <v>76</v>
      </c>
      <c r="W3" s="342"/>
      <c r="X3" s="352"/>
      <c r="Y3" s="349" t="s">
        <v>80</v>
      </c>
      <c r="Z3" s="335" t="s">
        <v>11</v>
      </c>
      <c r="AA3" s="336"/>
      <c r="AB3" s="336"/>
      <c r="AC3" s="337"/>
    </row>
    <row r="4" spans="1:29" s="9" customFormat="1" ht="20.100000000000001" customHeight="1" thickBot="1" x14ac:dyDescent="0.25">
      <c r="A4" s="357"/>
      <c r="B4" s="357"/>
      <c r="C4" s="357"/>
      <c r="D4" s="345"/>
      <c r="E4" s="346"/>
      <c r="F4" s="61" t="s">
        <v>3</v>
      </c>
      <c r="G4" s="347" t="s">
        <v>4</v>
      </c>
      <c r="H4" s="348"/>
      <c r="I4" s="61" t="s">
        <v>3</v>
      </c>
      <c r="J4" s="347" t="s">
        <v>4</v>
      </c>
      <c r="K4" s="348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47" t="s">
        <v>77</v>
      </c>
      <c r="U4" s="348"/>
      <c r="V4" s="61" t="s">
        <v>78</v>
      </c>
      <c r="W4" s="347" t="s">
        <v>77</v>
      </c>
      <c r="X4" s="348"/>
      <c r="Y4" s="350"/>
      <c r="Z4" s="338"/>
      <c r="AA4" s="339"/>
      <c r="AB4" s="339"/>
      <c r="AC4" s="340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67"/>
      <c r="AA5" s="368"/>
      <c r="AB5" s="368"/>
      <c r="AC5" s="36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0"/>
      <c r="AA6" s="331"/>
      <c r="AB6" s="331"/>
      <c r="AC6" s="33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0"/>
      <c r="AA7" s="331"/>
      <c r="AB7" s="331"/>
      <c r="AC7" s="33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0"/>
      <c r="AA8" s="331"/>
      <c r="AB8" s="331"/>
      <c r="AC8" s="33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0"/>
      <c r="AA9" s="331"/>
      <c r="AB9" s="331"/>
      <c r="AC9" s="33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0"/>
      <c r="AA10" s="331"/>
      <c r="AB10" s="331"/>
      <c r="AC10" s="33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0"/>
      <c r="AA11" s="331"/>
      <c r="AB11" s="331"/>
      <c r="AC11" s="33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0"/>
      <c r="AA12" s="331"/>
      <c r="AB12" s="331"/>
      <c r="AC12" s="33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0"/>
      <c r="AA13" s="331"/>
      <c r="AB13" s="331"/>
      <c r="AC13" s="33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0"/>
      <c r="AA14" s="331"/>
      <c r="AB14" s="331"/>
      <c r="AC14" s="33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0"/>
      <c r="AA15" s="331"/>
      <c r="AB15" s="331"/>
      <c r="AC15" s="33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0"/>
      <c r="AA16" s="331"/>
      <c r="AB16" s="331"/>
      <c r="AC16" s="33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0"/>
      <c r="AA17" s="331"/>
      <c r="AB17" s="331"/>
      <c r="AC17" s="33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0"/>
      <c r="AA18" s="331"/>
      <c r="AB18" s="331"/>
      <c r="AC18" s="33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0"/>
      <c r="AA19" s="331"/>
      <c r="AB19" s="331"/>
      <c r="AC19" s="33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0"/>
      <c r="AA20" s="331"/>
      <c r="AB20" s="331"/>
      <c r="AC20" s="33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0"/>
      <c r="AA21" s="331"/>
      <c r="AB21" s="331"/>
      <c r="AC21" s="33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0"/>
      <c r="AA22" s="331"/>
      <c r="AB22" s="331"/>
      <c r="AC22" s="33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0"/>
      <c r="AA23" s="331"/>
      <c r="AB23" s="331"/>
      <c r="AC23" s="33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0"/>
      <c r="AA24" s="331"/>
      <c r="AB24" s="331"/>
      <c r="AC24" s="33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0"/>
      <c r="AA25" s="331"/>
      <c r="AB25" s="331"/>
      <c r="AC25" s="33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0"/>
      <c r="AA26" s="331"/>
      <c r="AB26" s="331"/>
      <c r="AC26" s="33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0"/>
      <c r="AA27" s="331"/>
      <c r="AB27" s="331"/>
      <c r="AC27" s="33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0"/>
      <c r="AA28" s="331"/>
      <c r="AB28" s="331"/>
      <c r="AC28" s="33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0"/>
      <c r="AA29" s="331"/>
      <c r="AB29" s="331"/>
      <c r="AC29" s="33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0"/>
      <c r="AA30" s="331"/>
      <c r="AB30" s="331"/>
      <c r="AC30" s="33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0"/>
      <c r="AA31" s="331"/>
      <c r="AB31" s="331"/>
      <c r="AC31" s="33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0"/>
      <c r="AA32" s="331"/>
      <c r="AB32" s="331"/>
      <c r="AC32" s="33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0"/>
      <c r="AA33" s="331"/>
      <c r="AB33" s="331"/>
      <c r="AC33" s="33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0"/>
      <c r="AA34" s="331"/>
      <c r="AB34" s="331"/>
      <c r="AC34" s="33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0"/>
      <c r="AA35" s="331"/>
      <c r="AB35" s="331"/>
      <c r="AC35" s="33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0"/>
      <c r="AA36" s="331"/>
      <c r="AB36" s="331"/>
      <c r="AC36" s="33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0"/>
      <c r="AA37" s="331"/>
      <c r="AB37" s="331"/>
      <c r="AC37" s="33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0"/>
      <c r="AA38" s="331"/>
      <c r="AB38" s="331"/>
      <c r="AC38" s="33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0"/>
      <c r="AA39" s="331"/>
      <c r="AB39" s="331"/>
      <c r="AC39" s="33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0"/>
      <c r="AA40" s="331"/>
      <c r="AB40" s="331"/>
      <c r="AC40" s="33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0"/>
      <c r="AA41" s="331"/>
      <c r="AB41" s="331"/>
      <c r="AC41" s="332"/>
    </row>
    <row r="42" spans="1:29" s="18" customFormat="1" ht="20.100000000000001" customHeight="1" thickBot="1" x14ac:dyDescent="0.25">
      <c r="A42" s="74" t="s">
        <v>47</v>
      </c>
      <c r="B42" s="365">
        <f>SUM(B5:B41)</f>
        <v>0</v>
      </c>
      <c r="C42" s="366"/>
      <c r="D42" s="362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3"/>
      <c r="Q42" s="363"/>
      <c r="R42" s="363"/>
      <c r="S42" s="363"/>
      <c r="T42" s="363"/>
      <c r="U42" s="363"/>
      <c r="V42" s="363"/>
      <c r="W42" s="363"/>
      <c r="X42" s="363"/>
      <c r="Y42" s="363"/>
      <c r="Z42" s="363"/>
      <c r="AA42" s="363"/>
      <c r="AB42" s="363"/>
      <c r="AC42" s="364"/>
    </row>
    <row r="43" spans="1:29" s="18" customFormat="1" ht="20.100000000000001" customHeight="1" x14ac:dyDescent="0.2">
      <c r="A43" s="163" t="s">
        <v>25</v>
      </c>
      <c r="B43" s="353"/>
      <c r="C43" s="353"/>
      <c r="D43" s="353"/>
      <c r="E43" s="353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353"/>
      <c r="T43" s="353"/>
      <c r="U43" s="353"/>
      <c r="V43" s="353"/>
      <c r="W43" s="353"/>
      <c r="X43" s="353"/>
      <c r="Y43" s="353"/>
      <c r="Z43" s="353"/>
      <c r="AA43" s="353"/>
      <c r="AB43" s="353"/>
      <c r="AC43" s="354"/>
    </row>
    <row r="44" spans="1:29" s="18" customFormat="1" ht="20.100000000000001" customHeight="1" x14ac:dyDescent="0.2">
      <c r="A44" s="330"/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M44" s="331"/>
      <c r="N44" s="331"/>
      <c r="O44" s="331"/>
      <c r="P44" s="331"/>
      <c r="Q44" s="331"/>
      <c r="R44" s="331"/>
      <c r="S44" s="331"/>
      <c r="T44" s="331"/>
      <c r="U44" s="331"/>
      <c r="V44" s="331"/>
      <c r="W44" s="331"/>
      <c r="X44" s="331"/>
      <c r="Y44" s="331"/>
      <c r="Z44" s="331"/>
      <c r="AA44" s="331"/>
      <c r="AB44" s="331"/>
      <c r="AC44" s="332"/>
    </row>
    <row r="45" spans="1:29" s="18" customFormat="1" ht="20.100000000000001" customHeight="1" thickBot="1" x14ac:dyDescent="0.25">
      <c r="A45" s="359"/>
      <c r="B45" s="360"/>
      <c r="C45" s="360"/>
      <c r="D45" s="360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360"/>
      <c r="Q45" s="360"/>
      <c r="R45" s="360"/>
      <c r="S45" s="360"/>
      <c r="T45" s="360"/>
      <c r="U45" s="360"/>
      <c r="V45" s="360"/>
      <c r="W45" s="360"/>
      <c r="X45" s="360"/>
      <c r="Y45" s="360"/>
      <c r="Z45" s="360"/>
      <c r="AA45" s="360"/>
      <c r="AB45" s="360"/>
      <c r="AC45" s="361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2" t="s">
        <v>29</v>
      </c>
      <c r="B1" s="383"/>
      <c r="C1" s="379" t="str">
        <f ca="1">IF(ISBLANK(INDIRECT("Cover!D3")),"",INDIRECT("Cover!D3"))</f>
        <v>*</v>
      </c>
      <c r="D1" s="379"/>
      <c r="E1" s="379"/>
      <c r="F1" s="379"/>
      <c r="G1" s="379"/>
      <c r="H1" s="379"/>
      <c r="I1" s="379"/>
      <c r="J1" s="47" t="s">
        <v>19</v>
      </c>
      <c r="K1" s="370" t="str">
        <f ca="1">IF(ISBLANK(INDIRECT("Cover!O2")),"",INDIRECT("Cover!O2"))</f>
        <v>*</v>
      </c>
      <c r="L1" s="370"/>
      <c r="M1" s="371"/>
    </row>
    <row r="2" spans="1:13" ht="20.100000000000001" customHeight="1" thickBot="1" x14ac:dyDescent="0.25">
      <c r="A2" s="384" t="s">
        <v>30</v>
      </c>
      <c r="B2" s="385"/>
      <c r="C2" s="378" t="str">
        <f ca="1">IF(ISBLANK(INDIRECT("Cover!D4")),"",INDIRECT("Cover!D4"))</f>
        <v>*</v>
      </c>
      <c r="D2" s="378"/>
      <c r="E2" s="378"/>
      <c r="F2" s="378"/>
      <c r="G2" s="378"/>
      <c r="H2" s="378"/>
      <c r="I2" s="378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75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76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76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76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76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76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76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76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76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76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76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76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76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76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76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76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76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76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76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76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76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76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86"/>
      <c r="B25" s="387"/>
      <c r="C25" s="388"/>
      <c r="D25" s="389" t="s">
        <v>47</v>
      </c>
      <c r="E25" s="390"/>
      <c r="F25" s="1">
        <f>ROUNDUP(SUM(F4:F24)*1.02,-1)</f>
        <v>0</v>
      </c>
      <c r="G25" s="376"/>
      <c r="H25" s="386"/>
      <c r="I25" s="387"/>
      <c r="J25" s="388"/>
      <c r="K25" s="389" t="s">
        <v>47</v>
      </c>
      <c r="L25" s="390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76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76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76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76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76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76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76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76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76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76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76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76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76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76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76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76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76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76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76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76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76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86"/>
      <c r="B47" s="387"/>
      <c r="C47" s="388"/>
      <c r="D47" s="389" t="s">
        <v>47</v>
      </c>
      <c r="E47" s="390"/>
      <c r="F47" s="1">
        <f>ROUNDUP(SUM(F26:F46)*1.02,-1)</f>
        <v>0</v>
      </c>
      <c r="G47" s="376"/>
      <c r="H47" s="386"/>
      <c r="I47" s="387"/>
      <c r="J47" s="388"/>
      <c r="K47" s="389" t="s">
        <v>47</v>
      </c>
      <c r="L47" s="390"/>
      <c r="M47" s="1">
        <f>ROUNDUP(SUM(M26:M46)*1.02,-1)</f>
        <v>0</v>
      </c>
    </row>
    <row r="48" spans="1:13" ht="9.9499999999999993" customHeight="1" thickBot="1" x14ac:dyDescent="0.25">
      <c r="A48" s="372"/>
      <c r="B48" s="373"/>
      <c r="C48" s="373"/>
      <c r="D48" s="373"/>
      <c r="E48" s="373"/>
      <c r="F48" s="374"/>
      <c r="G48" s="376"/>
      <c r="H48" s="372"/>
      <c r="I48" s="373"/>
      <c r="J48" s="373"/>
      <c r="K48" s="373"/>
      <c r="L48" s="373"/>
      <c r="M48" s="374"/>
    </row>
    <row r="49" spans="1:13" ht="20.100000000000001" customHeight="1" thickBot="1" x14ac:dyDescent="0.3">
      <c r="A49" s="380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76"/>
      <c r="H49" s="380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1"/>
      <c r="B50" s="55"/>
      <c r="C50" s="3"/>
      <c r="D50" s="56"/>
      <c r="E50" s="57"/>
      <c r="F50" s="58" t="str">
        <f>IF(ISBLANK(D50),"",ROUNDUP((D50*E50)*0.5*1.02,-1))</f>
        <v/>
      </c>
      <c r="G50" s="377"/>
      <c r="H50" s="381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1" t="s">
        <v>29</v>
      </c>
      <c r="B1" s="322"/>
      <c r="C1" s="351" t="str">
        <f ca="1">IF(ISBLANK(INDIRECT("Cover!D3")),"",INDIRECT("Cover!D3"))</f>
        <v>*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22" t="s">
        <v>19</v>
      </c>
      <c r="O1" s="333" t="str">
        <f ca="1">IF(ISBLANK(INDIRECT("Cover!O2")),"",INDIRECT("Cover!O2"))</f>
        <v>*</v>
      </c>
      <c r="P1" s="333"/>
      <c r="Q1" s="334"/>
      <c r="S1" s="408"/>
      <c r="T1" s="409"/>
      <c r="U1" s="409"/>
      <c r="V1" s="409"/>
      <c r="W1" s="409"/>
      <c r="X1" s="409"/>
    </row>
    <row r="2" spans="1:24" ht="20.100000000000001" customHeight="1" thickBot="1" x14ac:dyDescent="0.25">
      <c r="A2" s="323" t="s">
        <v>30</v>
      </c>
      <c r="B2" s="324"/>
      <c r="C2" s="402" t="str">
        <f ca="1">IF(ISBLANK(INDIRECT("Cover!D4")),"",INDIRECT("Cover!D4"))</f>
        <v>*</v>
      </c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0" t="s">
        <v>88</v>
      </c>
      <c r="T2" s="411"/>
      <c r="U2" s="411"/>
      <c r="V2" s="411"/>
      <c r="W2" s="411"/>
      <c r="X2" s="412"/>
    </row>
    <row r="3" spans="1:24" ht="20.100000000000001" customHeight="1" thickBot="1" x14ac:dyDescent="0.3">
      <c r="A3" s="34" t="s">
        <v>15</v>
      </c>
      <c r="B3" s="406" t="s">
        <v>16</v>
      </c>
      <c r="C3" s="407"/>
      <c r="D3" s="34"/>
      <c r="E3" s="406" t="s">
        <v>17</v>
      </c>
      <c r="F3" s="407"/>
      <c r="G3" s="34" t="s">
        <v>4</v>
      </c>
      <c r="H3" s="34" t="s">
        <v>18</v>
      </c>
      <c r="I3" s="403"/>
      <c r="J3" s="34" t="s">
        <v>15</v>
      </c>
      <c r="K3" s="406" t="s">
        <v>16</v>
      </c>
      <c r="L3" s="407"/>
      <c r="M3" s="34"/>
      <c r="N3" s="406" t="s">
        <v>17</v>
      </c>
      <c r="O3" s="407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5"/>
      <c r="C4" s="396"/>
      <c r="D4" s="112"/>
      <c r="E4" s="85"/>
      <c r="F4" s="113"/>
      <c r="G4" s="114"/>
      <c r="H4" s="115" t="str">
        <f>IF(ISBLANK(E4),"",IF(D4="X",((E4+(F4/12))*G4)/100*0.5,((E4+(F4/12))*G4)/100))</f>
        <v/>
      </c>
      <c r="I4" s="404"/>
      <c r="J4" s="111"/>
      <c r="K4" s="395"/>
      <c r="L4" s="396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1"/>
      <c r="C5" s="39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4"/>
      <c r="J5" s="39"/>
      <c r="K5" s="391"/>
      <c r="L5" s="39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1"/>
      <c r="C6" s="392"/>
      <c r="D6" s="40"/>
      <c r="E6" s="41"/>
      <c r="F6" s="42"/>
      <c r="G6" s="110"/>
      <c r="H6" s="44" t="str">
        <f t="shared" si="0"/>
        <v/>
      </c>
      <c r="I6" s="404"/>
      <c r="J6" s="39"/>
      <c r="K6" s="391"/>
      <c r="L6" s="392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1"/>
      <c r="C7" s="392"/>
      <c r="D7" s="40"/>
      <c r="E7" s="41"/>
      <c r="F7" s="42"/>
      <c r="G7" s="110"/>
      <c r="H7" s="44" t="str">
        <f t="shared" si="0"/>
        <v/>
      </c>
      <c r="I7" s="404"/>
      <c r="J7" s="39"/>
      <c r="K7" s="391"/>
      <c r="L7" s="392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1"/>
      <c r="C8" s="392"/>
      <c r="D8" s="40"/>
      <c r="E8" s="41"/>
      <c r="F8" s="42"/>
      <c r="G8" s="110"/>
      <c r="H8" s="44" t="str">
        <f t="shared" si="0"/>
        <v/>
      </c>
      <c r="I8" s="404"/>
      <c r="J8" s="39"/>
      <c r="K8" s="391"/>
      <c r="L8" s="392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1"/>
      <c r="C9" s="392"/>
      <c r="D9" s="40"/>
      <c r="E9" s="41"/>
      <c r="F9" s="42"/>
      <c r="G9" s="110"/>
      <c r="H9" s="44" t="str">
        <f t="shared" si="0"/>
        <v/>
      </c>
      <c r="I9" s="404"/>
      <c r="J9" s="39"/>
      <c r="K9" s="391"/>
      <c r="L9" s="392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1"/>
      <c r="C10" s="392"/>
      <c r="D10" s="40"/>
      <c r="E10" s="41"/>
      <c r="F10" s="42"/>
      <c r="G10" s="110"/>
      <c r="H10" s="44" t="str">
        <f t="shared" si="0"/>
        <v/>
      </c>
      <c r="I10" s="404"/>
      <c r="J10" s="39"/>
      <c r="K10" s="391"/>
      <c r="L10" s="39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1"/>
      <c r="C11" s="392"/>
      <c r="D11" s="40"/>
      <c r="E11" s="41"/>
      <c r="F11" s="42"/>
      <c r="G11" s="110"/>
      <c r="H11" s="44" t="str">
        <f t="shared" si="0"/>
        <v/>
      </c>
      <c r="I11" s="404"/>
      <c r="J11" s="39"/>
      <c r="K11" s="391"/>
      <c r="L11" s="39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1"/>
      <c r="C12" s="392"/>
      <c r="D12" s="40"/>
      <c r="E12" s="41"/>
      <c r="F12" s="42"/>
      <c r="G12" s="110"/>
      <c r="H12" s="44" t="str">
        <f t="shared" si="0"/>
        <v/>
      </c>
      <c r="I12" s="404"/>
      <c r="J12" s="39"/>
      <c r="K12" s="391"/>
      <c r="L12" s="39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1"/>
      <c r="C13" s="392"/>
      <c r="D13" s="40"/>
      <c r="E13" s="41"/>
      <c r="F13" s="42"/>
      <c r="G13" s="110"/>
      <c r="H13" s="44" t="str">
        <f t="shared" si="0"/>
        <v/>
      </c>
      <c r="I13" s="404"/>
      <c r="J13" s="39"/>
      <c r="K13" s="391"/>
      <c r="L13" s="39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1"/>
      <c r="C14" s="392"/>
      <c r="D14" s="40"/>
      <c r="E14" s="41"/>
      <c r="F14" s="42"/>
      <c r="G14" s="110"/>
      <c r="H14" s="44" t="str">
        <f t="shared" si="0"/>
        <v/>
      </c>
      <c r="I14" s="404"/>
      <c r="J14" s="39"/>
      <c r="K14" s="391"/>
      <c r="L14" s="39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1"/>
      <c r="C15" s="392"/>
      <c r="D15" s="40"/>
      <c r="E15" s="41"/>
      <c r="F15" s="42"/>
      <c r="G15" s="110"/>
      <c r="H15" s="44" t="str">
        <f t="shared" si="0"/>
        <v/>
      </c>
      <c r="I15" s="404"/>
      <c r="J15" s="39"/>
      <c r="K15" s="391"/>
      <c r="L15" s="39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1"/>
      <c r="C16" s="392"/>
      <c r="D16" s="40"/>
      <c r="E16" s="41"/>
      <c r="F16" s="42"/>
      <c r="G16" s="110"/>
      <c r="H16" s="44" t="str">
        <f t="shared" si="0"/>
        <v/>
      </c>
      <c r="I16" s="404"/>
      <c r="J16" s="39"/>
      <c r="K16" s="391"/>
      <c r="L16" s="39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1"/>
      <c r="C17" s="39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4"/>
      <c r="J17" s="39"/>
      <c r="K17" s="391"/>
      <c r="L17" s="39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1"/>
      <c r="C18" s="392"/>
      <c r="D18" s="40"/>
      <c r="E18" s="41"/>
      <c r="F18" s="42"/>
      <c r="G18" s="110"/>
      <c r="H18" s="44" t="str">
        <f t="shared" si="2"/>
        <v/>
      </c>
      <c r="I18" s="404"/>
      <c r="J18" s="39"/>
      <c r="K18" s="391"/>
      <c r="L18" s="39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1"/>
      <c r="C19" s="392"/>
      <c r="D19" s="40"/>
      <c r="E19" s="41"/>
      <c r="F19" s="42"/>
      <c r="G19" s="110"/>
      <c r="H19" s="44" t="str">
        <f t="shared" si="2"/>
        <v/>
      </c>
      <c r="I19" s="404"/>
      <c r="J19" s="39"/>
      <c r="K19" s="391"/>
      <c r="L19" s="39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1"/>
      <c r="C20" s="392"/>
      <c r="D20" s="40"/>
      <c r="E20" s="41"/>
      <c r="F20" s="42"/>
      <c r="G20" s="110"/>
      <c r="H20" s="44" t="str">
        <f t="shared" si="2"/>
        <v/>
      </c>
      <c r="I20" s="404"/>
      <c r="J20" s="39"/>
      <c r="K20" s="391"/>
      <c r="L20" s="39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1"/>
      <c r="C21" s="392"/>
      <c r="D21" s="40"/>
      <c r="E21" s="41"/>
      <c r="F21" s="42"/>
      <c r="G21" s="110"/>
      <c r="H21" s="44" t="str">
        <f t="shared" si="2"/>
        <v/>
      </c>
      <c r="I21" s="404"/>
      <c r="J21" s="39"/>
      <c r="K21" s="391"/>
      <c r="L21" s="39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1"/>
      <c r="C22" s="392"/>
      <c r="D22" s="40"/>
      <c r="E22" s="41"/>
      <c r="F22" s="42"/>
      <c r="G22" s="110"/>
      <c r="H22" s="44" t="str">
        <f t="shared" si="2"/>
        <v/>
      </c>
      <c r="I22" s="404"/>
      <c r="J22" s="39"/>
      <c r="K22" s="391"/>
      <c r="L22" s="39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1"/>
      <c r="C23" s="392"/>
      <c r="D23" s="40"/>
      <c r="E23" s="41"/>
      <c r="F23" s="42"/>
      <c r="G23" s="110"/>
      <c r="H23" s="44" t="str">
        <f t="shared" si="2"/>
        <v/>
      </c>
      <c r="I23" s="404"/>
      <c r="J23" s="39"/>
      <c r="K23" s="391"/>
      <c r="L23" s="39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1"/>
      <c r="C24" s="392"/>
      <c r="D24" s="40"/>
      <c r="E24" s="41"/>
      <c r="F24" s="42"/>
      <c r="G24" s="110"/>
      <c r="H24" s="44" t="str">
        <f t="shared" si="2"/>
        <v/>
      </c>
      <c r="I24" s="404"/>
      <c r="J24" s="39"/>
      <c r="K24" s="391"/>
      <c r="L24" s="39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1"/>
      <c r="C25" s="392"/>
      <c r="D25" s="40"/>
      <c r="E25" s="41"/>
      <c r="F25" s="42"/>
      <c r="G25" s="110"/>
      <c r="H25" s="44" t="str">
        <f t="shared" si="0"/>
        <v/>
      </c>
      <c r="I25" s="404"/>
      <c r="J25" s="39"/>
      <c r="K25" s="391"/>
      <c r="L25" s="39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1"/>
      <c r="C26" s="392"/>
      <c r="D26" s="40"/>
      <c r="E26" s="41"/>
      <c r="F26" s="42"/>
      <c r="G26" s="110"/>
      <c r="H26" s="44" t="str">
        <f t="shared" si="0"/>
        <v/>
      </c>
      <c r="I26" s="404"/>
      <c r="J26" s="39"/>
      <c r="K26" s="391"/>
      <c r="L26" s="39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3"/>
      <c r="C27" s="394"/>
      <c r="D27" s="117"/>
      <c r="E27" s="93"/>
      <c r="F27" s="118"/>
      <c r="G27" s="119"/>
      <c r="H27" s="120" t="str">
        <f t="shared" si="0"/>
        <v/>
      </c>
      <c r="I27" s="404"/>
      <c r="J27" s="116"/>
      <c r="K27" s="393"/>
      <c r="L27" s="39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99"/>
      <c r="B28" s="400"/>
      <c r="C28" s="400"/>
      <c r="D28" s="401"/>
      <c r="E28" s="397" t="s">
        <v>47</v>
      </c>
      <c r="F28" s="398"/>
      <c r="G28" s="398"/>
      <c r="H28" s="5">
        <f>ROUNDUP(SUM(H4:H27)*U5,0)</f>
        <v>0</v>
      </c>
      <c r="I28" s="404"/>
      <c r="J28" s="399"/>
      <c r="K28" s="400"/>
      <c r="L28" s="400"/>
      <c r="M28" s="401"/>
      <c r="N28" s="397" t="s">
        <v>47</v>
      </c>
      <c r="O28" s="398"/>
      <c r="P28" s="398"/>
      <c r="Q28" s="5">
        <f>ROUNDUP(SUM(Q4:Q27)*X5,0)</f>
        <v>0</v>
      </c>
    </row>
    <row r="29" spans="1:17" ht="20.100000000000001" customHeight="1" x14ac:dyDescent="0.2">
      <c r="A29" s="111"/>
      <c r="B29" s="395"/>
      <c r="C29" s="39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4"/>
      <c r="J29" s="111"/>
      <c r="K29" s="395"/>
      <c r="L29" s="39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1"/>
      <c r="C30" s="39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4"/>
      <c r="J30" s="39"/>
      <c r="K30" s="391"/>
      <c r="L30" s="39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1"/>
      <c r="C31" s="392"/>
      <c r="D31" s="40"/>
      <c r="E31" s="41"/>
      <c r="F31" s="42"/>
      <c r="G31" s="110"/>
      <c r="H31" s="44" t="str">
        <f t="shared" si="4"/>
        <v/>
      </c>
      <c r="I31" s="404"/>
      <c r="J31" s="39"/>
      <c r="K31" s="391"/>
      <c r="L31" s="39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1"/>
      <c r="C32" s="392"/>
      <c r="D32" s="40"/>
      <c r="E32" s="41"/>
      <c r="F32" s="42"/>
      <c r="G32" s="110"/>
      <c r="H32" s="44" t="str">
        <f t="shared" si="4"/>
        <v/>
      </c>
      <c r="I32" s="404"/>
      <c r="J32" s="39"/>
      <c r="K32" s="391"/>
      <c r="L32" s="39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1"/>
      <c r="C33" s="392"/>
      <c r="D33" s="40"/>
      <c r="E33" s="41"/>
      <c r="F33" s="42"/>
      <c r="G33" s="110"/>
      <c r="H33" s="44" t="str">
        <f t="shared" si="4"/>
        <v/>
      </c>
      <c r="I33" s="404"/>
      <c r="J33" s="39"/>
      <c r="K33" s="391"/>
      <c r="L33" s="39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1"/>
      <c r="C34" s="392"/>
      <c r="D34" s="40"/>
      <c r="E34" s="41"/>
      <c r="F34" s="42"/>
      <c r="G34" s="110"/>
      <c r="H34" s="44" t="str">
        <f t="shared" si="4"/>
        <v/>
      </c>
      <c r="I34" s="404"/>
      <c r="J34" s="39"/>
      <c r="K34" s="391"/>
      <c r="L34" s="39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1"/>
      <c r="C35" s="392"/>
      <c r="D35" s="40"/>
      <c r="E35" s="41"/>
      <c r="F35" s="42"/>
      <c r="G35" s="110"/>
      <c r="H35" s="44" t="str">
        <f t="shared" si="4"/>
        <v/>
      </c>
      <c r="I35" s="404"/>
      <c r="J35" s="39"/>
      <c r="K35" s="391"/>
      <c r="L35" s="39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1"/>
      <c r="C36" s="392"/>
      <c r="D36" s="40"/>
      <c r="E36" s="41"/>
      <c r="F36" s="42"/>
      <c r="G36" s="110"/>
      <c r="H36" s="44" t="str">
        <f t="shared" si="4"/>
        <v/>
      </c>
      <c r="I36" s="404"/>
      <c r="J36" s="39"/>
      <c r="K36" s="391"/>
      <c r="L36" s="39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1"/>
      <c r="C37" s="392"/>
      <c r="D37" s="40"/>
      <c r="E37" s="41"/>
      <c r="F37" s="42"/>
      <c r="G37" s="110"/>
      <c r="H37" s="44" t="str">
        <f t="shared" si="4"/>
        <v/>
      </c>
      <c r="I37" s="404"/>
      <c r="J37" s="39"/>
      <c r="K37" s="391"/>
      <c r="L37" s="39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1"/>
      <c r="C38" s="392"/>
      <c r="D38" s="40"/>
      <c r="E38" s="41"/>
      <c r="F38" s="42"/>
      <c r="G38" s="110"/>
      <c r="H38" s="44" t="str">
        <f t="shared" si="4"/>
        <v/>
      </c>
      <c r="I38" s="404"/>
      <c r="J38" s="39"/>
      <c r="K38" s="391"/>
      <c r="L38" s="39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1"/>
      <c r="C39" s="392"/>
      <c r="D39" s="40"/>
      <c r="E39" s="41"/>
      <c r="F39" s="42"/>
      <c r="G39" s="110"/>
      <c r="H39" s="44" t="str">
        <f t="shared" si="4"/>
        <v/>
      </c>
      <c r="I39" s="404"/>
      <c r="J39" s="39"/>
      <c r="K39" s="391"/>
      <c r="L39" s="39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1"/>
      <c r="C40" s="392"/>
      <c r="D40" s="40"/>
      <c r="E40" s="41"/>
      <c r="F40" s="42"/>
      <c r="G40" s="110"/>
      <c r="H40" s="44" t="str">
        <f t="shared" si="4"/>
        <v/>
      </c>
      <c r="I40" s="404"/>
      <c r="J40" s="39"/>
      <c r="K40" s="391"/>
      <c r="L40" s="39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1"/>
      <c r="C41" s="39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4"/>
      <c r="J41" s="39"/>
      <c r="K41" s="391"/>
      <c r="L41" s="39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1"/>
      <c r="C42" s="392"/>
      <c r="D42" s="40"/>
      <c r="E42" s="41"/>
      <c r="F42" s="42"/>
      <c r="G42" s="110"/>
      <c r="H42" s="44" t="str">
        <f t="shared" si="6"/>
        <v/>
      </c>
      <c r="I42" s="404"/>
      <c r="J42" s="39"/>
      <c r="K42" s="391"/>
      <c r="L42" s="39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1"/>
      <c r="C43" s="392"/>
      <c r="D43" s="40"/>
      <c r="E43" s="41"/>
      <c r="F43" s="42"/>
      <c r="G43" s="110"/>
      <c r="H43" s="44" t="str">
        <f t="shared" si="6"/>
        <v/>
      </c>
      <c r="I43" s="404"/>
      <c r="J43" s="39"/>
      <c r="K43" s="391"/>
      <c r="L43" s="39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1"/>
      <c r="C44" s="392"/>
      <c r="D44" s="40"/>
      <c r="E44" s="41"/>
      <c r="F44" s="42"/>
      <c r="G44" s="110"/>
      <c r="H44" s="44" t="str">
        <f t="shared" si="6"/>
        <v/>
      </c>
      <c r="I44" s="404"/>
      <c r="J44" s="39"/>
      <c r="K44" s="391"/>
      <c r="L44" s="39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1"/>
      <c r="C45" s="392"/>
      <c r="D45" s="40"/>
      <c r="E45" s="41"/>
      <c r="F45" s="42"/>
      <c r="G45" s="110"/>
      <c r="H45" s="44" t="str">
        <f t="shared" si="6"/>
        <v/>
      </c>
      <c r="I45" s="404"/>
      <c r="J45" s="39"/>
      <c r="K45" s="391"/>
      <c r="L45" s="39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1"/>
      <c r="C46" s="392"/>
      <c r="D46" s="40"/>
      <c r="E46" s="41"/>
      <c r="F46" s="42"/>
      <c r="G46" s="110"/>
      <c r="H46" s="44" t="str">
        <f t="shared" si="6"/>
        <v/>
      </c>
      <c r="I46" s="404"/>
      <c r="J46" s="39"/>
      <c r="K46" s="391"/>
      <c r="L46" s="39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1"/>
      <c r="C47" s="392"/>
      <c r="D47" s="40"/>
      <c r="E47" s="41"/>
      <c r="F47" s="42"/>
      <c r="G47" s="110"/>
      <c r="H47" s="44" t="str">
        <f t="shared" si="6"/>
        <v/>
      </c>
      <c r="I47" s="404"/>
      <c r="J47" s="39"/>
      <c r="K47" s="391"/>
      <c r="L47" s="39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1"/>
      <c r="C48" s="392"/>
      <c r="D48" s="40"/>
      <c r="E48" s="41"/>
      <c r="F48" s="42"/>
      <c r="G48" s="110"/>
      <c r="H48" s="44" t="str">
        <f t="shared" si="6"/>
        <v/>
      </c>
      <c r="I48" s="404"/>
      <c r="J48" s="39"/>
      <c r="K48" s="391"/>
      <c r="L48" s="39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1"/>
      <c r="C49" s="392"/>
      <c r="D49" s="40"/>
      <c r="E49" s="41"/>
      <c r="F49" s="42"/>
      <c r="G49" s="110"/>
      <c r="H49" s="44" t="str">
        <f t="shared" si="6"/>
        <v/>
      </c>
      <c r="I49" s="404"/>
      <c r="J49" s="39"/>
      <c r="K49" s="391"/>
      <c r="L49" s="39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1"/>
      <c r="C50" s="392"/>
      <c r="D50" s="40"/>
      <c r="E50" s="41"/>
      <c r="F50" s="42"/>
      <c r="G50" s="110"/>
      <c r="H50" s="44" t="str">
        <f t="shared" si="6"/>
        <v/>
      </c>
      <c r="I50" s="404"/>
      <c r="J50" s="39"/>
      <c r="K50" s="391"/>
      <c r="L50" s="39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1"/>
      <c r="C51" s="392"/>
      <c r="D51" s="40"/>
      <c r="E51" s="41"/>
      <c r="F51" s="42"/>
      <c r="G51" s="110"/>
      <c r="H51" s="44" t="str">
        <f t="shared" si="6"/>
        <v/>
      </c>
      <c r="I51" s="404"/>
      <c r="J51" s="39"/>
      <c r="K51" s="391"/>
      <c r="L51" s="39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3"/>
      <c r="C52" s="394"/>
      <c r="D52" s="117"/>
      <c r="E52" s="93"/>
      <c r="F52" s="118"/>
      <c r="G52" s="119"/>
      <c r="H52" s="120" t="str">
        <f t="shared" si="6"/>
        <v/>
      </c>
      <c r="I52" s="404"/>
      <c r="J52" s="116"/>
      <c r="K52" s="393"/>
      <c r="L52" s="39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99"/>
      <c r="B53" s="400"/>
      <c r="C53" s="400"/>
      <c r="D53" s="401"/>
      <c r="E53" s="397" t="s">
        <v>47</v>
      </c>
      <c r="F53" s="398"/>
      <c r="G53" s="398"/>
      <c r="H53" s="5">
        <f>ROUNDUP(SUM(H29:H52)*U8,0)</f>
        <v>0</v>
      </c>
      <c r="I53" s="405"/>
      <c r="J53" s="399"/>
      <c r="K53" s="400"/>
      <c r="L53" s="400"/>
      <c r="M53" s="401"/>
      <c r="N53" s="397" t="s">
        <v>47</v>
      </c>
      <c r="O53" s="398"/>
      <c r="P53" s="398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1" t="s">
        <v>29</v>
      </c>
      <c r="B1" s="322"/>
      <c r="C1" s="428" t="str">
        <f ca="1">IF(ISBLANK(INDIRECT("Cover!D3")),"",INDIRECT("Cover!D3"))</f>
        <v>*</v>
      </c>
      <c r="D1" s="428"/>
      <c r="E1" s="428"/>
      <c r="F1" s="428"/>
      <c r="G1" s="428"/>
      <c r="H1" s="428"/>
      <c r="I1" s="322" t="s">
        <v>19</v>
      </c>
      <c r="J1" s="322"/>
      <c r="K1" s="333" t="str">
        <f ca="1">IF(ISBLANK(INDIRECT("Cover!O2")),"",INDIRECT("Cover!O2"))</f>
        <v>*</v>
      </c>
      <c r="L1" s="333"/>
      <c r="M1" s="334"/>
    </row>
    <row r="2" spans="1:13" ht="20.100000000000001" customHeight="1" thickBot="1" x14ac:dyDescent="0.25">
      <c r="A2" s="323" t="s">
        <v>30</v>
      </c>
      <c r="B2" s="324"/>
      <c r="C2" s="402" t="str">
        <f ca="1">IF(ISBLANK(INDIRECT("Cover!D4")),"",INDIRECT("Cover!D4"))</f>
        <v>*</v>
      </c>
      <c r="D2" s="402"/>
      <c r="E2" s="402"/>
      <c r="F2" s="402"/>
      <c r="G2" s="402"/>
      <c r="H2" s="402"/>
      <c r="I2" s="324" t="s">
        <v>36</v>
      </c>
      <c r="J2" s="324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06" t="s">
        <v>20</v>
      </c>
      <c r="C3" s="413"/>
      <c r="D3" s="407"/>
      <c r="E3" s="34" t="s">
        <v>0</v>
      </c>
      <c r="F3" s="403"/>
      <c r="G3" s="34" t="s">
        <v>15</v>
      </c>
      <c r="H3" s="406" t="s">
        <v>40</v>
      </c>
      <c r="I3" s="413"/>
      <c r="J3" s="413"/>
      <c r="K3" s="413"/>
      <c r="L3" s="407"/>
      <c r="M3" s="34" t="s">
        <v>4</v>
      </c>
    </row>
    <row r="4" spans="1:13" ht="20.100000000000001" customHeight="1" x14ac:dyDescent="0.2">
      <c r="A4" s="75"/>
      <c r="B4" s="414"/>
      <c r="C4" s="415"/>
      <c r="D4" s="416"/>
      <c r="E4" s="77"/>
      <c r="F4" s="404"/>
      <c r="G4" s="75"/>
      <c r="H4" s="414"/>
      <c r="I4" s="415"/>
      <c r="J4" s="415"/>
      <c r="K4" s="415"/>
      <c r="L4" s="416"/>
      <c r="M4" s="77"/>
    </row>
    <row r="5" spans="1:13" ht="20.100000000000001" customHeight="1" x14ac:dyDescent="0.2">
      <c r="A5" s="35"/>
      <c r="B5" s="417"/>
      <c r="C5" s="418"/>
      <c r="D5" s="419"/>
      <c r="E5" s="36"/>
      <c r="F5" s="404"/>
      <c r="G5" s="35"/>
      <c r="H5" s="417"/>
      <c r="I5" s="418"/>
      <c r="J5" s="418"/>
      <c r="K5" s="418"/>
      <c r="L5" s="419"/>
      <c r="M5" s="36"/>
    </row>
    <row r="6" spans="1:13" ht="20.100000000000001" customHeight="1" x14ac:dyDescent="0.2">
      <c r="A6" s="35"/>
      <c r="B6" s="417"/>
      <c r="C6" s="418"/>
      <c r="D6" s="419"/>
      <c r="E6" s="36"/>
      <c r="F6" s="404"/>
      <c r="G6" s="35"/>
      <c r="H6" s="417"/>
      <c r="I6" s="418"/>
      <c r="J6" s="418"/>
      <c r="K6" s="418"/>
      <c r="L6" s="419"/>
      <c r="M6" s="36"/>
    </row>
    <row r="7" spans="1:13" ht="20.100000000000001" customHeight="1" x14ac:dyDescent="0.2">
      <c r="A7" s="35"/>
      <c r="B7" s="417"/>
      <c r="C7" s="418"/>
      <c r="D7" s="419"/>
      <c r="E7" s="36"/>
      <c r="F7" s="404"/>
      <c r="G7" s="35"/>
      <c r="H7" s="417"/>
      <c r="I7" s="418"/>
      <c r="J7" s="418"/>
      <c r="K7" s="418"/>
      <c r="L7" s="419"/>
      <c r="M7" s="36"/>
    </row>
    <row r="8" spans="1:13" ht="20.100000000000001" customHeight="1" x14ac:dyDescent="0.2">
      <c r="A8" s="35"/>
      <c r="B8" s="417"/>
      <c r="C8" s="418"/>
      <c r="D8" s="419"/>
      <c r="E8" s="36"/>
      <c r="F8" s="404"/>
      <c r="G8" s="35"/>
      <c r="H8" s="417"/>
      <c r="I8" s="418"/>
      <c r="J8" s="418"/>
      <c r="K8" s="418"/>
      <c r="L8" s="419"/>
      <c r="M8" s="36"/>
    </row>
    <row r="9" spans="1:13" ht="20.100000000000001" customHeight="1" x14ac:dyDescent="0.2">
      <c r="A9" s="35"/>
      <c r="B9" s="417"/>
      <c r="C9" s="418"/>
      <c r="D9" s="419"/>
      <c r="E9" s="36"/>
      <c r="F9" s="404"/>
      <c r="G9" s="35"/>
      <c r="H9" s="417"/>
      <c r="I9" s="418"/>
      <c r="J9" s="418"/>
      <c r="K9" s="418"/>
      <c r="L9" s="419"/>
      <c r="M9" s="36"/>
    </row>
    <row r="10" spans="1:13" ht="20.100000000000001" customHeight="1" x14ac:dyDescent="0.2">
      <c r="A10" s="35"/>
      <c r="B10" s="417"/>
      <c r="C10" s="418"/>
      <c r="D10" s="419"/>
      <c r="E10" s="36"/>
      <c r="F10" s="404"/>
      <c r="G10" s="35"/>
      <c r="H10" s="417"/>
      <c r="I10" s="418"/>
      <c r="J10" s="418"/>
      <c r="K10" s="418"/>
      <c r="L10" s="419"/>
      <c r="M10" s="36"/>
    </row>
    <row r="11" spans="1:13" ht="20.100000000000001" customHeight="1" thickBot="1" x14ac:dyDescent="0.25">
      <c r="A11" s="121"/>
      <c r="B11" s="420"/>
      <c r="C11" s="421"/>
      <c r="D11" s="422"/>
      <c r="E11" s="123"/>
      <c r="F11" s="404"/>
      <c r="G11" s="121"/>
      <c r="H11" s="420"/>
      <c r="I11" s="421"/>
      <c r="J11" s="421"/>
      <c r="K11" s="421"/>
      <c r="L11" s="422"/>
      <c r="M11" s="123"/>
    </row>
    <row r="12" spans="1:13" ht="20.100000000000001" customHeight="1" thickBot="1" x14ac:dyDescent="0.25">
      <c r="A12" s="423"/>
      <c r="B12" s="424"/>
      <c r="C12" s="425"/>
      <c r="D12" s="4" t="s">
        <v>47</v>
      </c>
      <c r="E12" s="5">
        <f>ROUNDUP(SUM(E4:E11)*1.1,-3)</f>
        <v>0</v>
      </c>
      <c r="F12" s="404"/>
      <c r="G12" s="423"/>
      <c r="H12" s="424"/>
      <c r="I12" s="425"/>
      <c r="J12" s="397" t="s">
        <v>47</v>
      </c>
      <c r="K12" s="398"/>
      <c r="L12" s="398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06" t="s">
        <v>41</v>
      </c>
      <c r="C13" s="413"/>
      <c r="D13" s="407"/>
      <c r="E13" s="34" t="s">
        <v>4</v>
      </c>
      <c r="F13" s="404"/>
      <c r="G13" s="34" t="s">
        <v>15</v>
      </c>
      <c r="H13" s="406" t="s">
        <v>42</v>
      </c>
      <c r="I13" s="413"/>
      <c r="J13" s="413"/>
      <c r="K13" s="413"/>
      <c r="L13" s="407"/>
      <c r="M13" s="24" t="s">
        <v>0</v>
      </c>
    </row>
    <row r="14" spans="1:13" ht="20.100000000000001" customHeight="1" x14ac:dyDescent="0.2">
      <c r="A14" s="75"/>
      <c r="B14" s="414"/>
      <c r="C14" s="415"/>
      <c r="D14" s="416"/>
      <c r="E14" s="77"/>
      <c r="F14" s="404"/>
      <c r="G14" s="75"/>
      <c r="H14" s="414"/>
      <c r="I14" s="415"/>
      <c r="J14" s="415"/>
      <c r="K14" s="415"/>
      <c r="L14" s="416"/>
      <c r="M14" s="77"/>
    </row>
    <row r="15" spans="1:13" ht="20.100000000000001" customHeight="1" x14ac:dyDescent="0.2">
      <c r="A15" s="35"/>
      <c r="B15" s="417"/>
      <c r="C15" s="418"/>
      <c r="D15" s="419"/>
      <c r="E15" s="36"/>
      <c r="F15" s="404"/>
      <c r="G15" s="35"/>
      <c r="H15" s="417"/>
      <c r="I15" s="418"/>
      <c r="J15" s="418"/>
      <c r="K15" s="418"/>
      <c r="L15" s="419"/>
      <c r="M15" s="36"/>
    </row>
    <row r="16" spans="1:13" ht="20.100000000000001" customHeight="1" x14ac:dyDescent="0.2">
      <c r="A16" s="35"/>
      <c r="B16" s="417"/>
      <c r="C16" s="418"/>
      <c r="D16" s="419"/>
      <c r="E16" s="36"/>
      <c r="F16" s="404"/>
      <c r="G16" s="35"/>
      <c r="H16" s="417"/>
      <c r="I16" s="418"/>
      <c r="J16" s="418"/>
      <c r="K16" s="418"/>
      <c r="L16" s="419"/>
      <c r="M16" s="36"/>
    </row>
    <row r="17" spans="1:13" ht="20.100000000000001" customHeight="1" x14ac:dyDescent="0.2">
      <c r="A17" s="35"/>
      <c r="B17" s="417"/>
      <c r="C17" s="418"/>
      <c r="D17" s="419"/>
      <c r="E17" s="36"/>
      <c r="F17" s="404"/>
      <c r="G17" s="35"/>
      <c r="H17" s="417"/>
      <c r="I17" s="418"/>
      <c r="J17" s="418"/>
      <c r="K17" s="418"/>
      <c r="L17" s="419"/>
      <c r="M17" s="36"/>
    </row>
    <row r="18" spans="1:13" ht="20.100000000000001" customHeight="1" x14ac:dyDescent="0.2">
      <c r="A18" s="35"/>
      <c r="B18" s="417"/>
      <c r="C18" s="418"/>
      <c r="D18" s="419"/>
      <c r="E18" s="36"/>
      <c r="F18" s="404"/>
      <c r="G18" s="35"/>
      <c r="H18" s="417"/>
      <c r="I18" s="418"/>
      <c r="J18" s="418"/>
      <c r="K18" s="418"/>
      <c r="L18" s="419"/>
      <c r="M18" s="36"/>
    </row>
    <row r="19" spans="1:13" ht="20.100000000000001" customHeight="1" x14ac:dyDescent="0.2">
      <c r="A19" s="35"/>
      <c r="B19" s="417"/>
      <c r="C19" s="418"/>
      <c r="D19" s="419"/>
      <c r="E19" s="36"/>
      <c r="F19" s="404"/>
      <c r="G19" s="35"/>
      <c r="H19" s="417"/>
      <c r="I19" s="418"/>
      <c r="J19" s="418"/>
      <c r="K19" s="418"/>
      <c r="L19" s="419"/>
      <c r="M19" s="36"/>
    </row>
    <row r="20" spans="1:13" ht="20.100000000000001" customHeight="1" x14ac:dyDescent="0.2">
      <c r="A20" s="35"/>
      <c r="B20" s="417"/>
      <c r="C20" s="418"/>
      <c r="D20" s="419"/>
      <c r="E20" s="36"/>
      <c r="F20" s="404"/>
      <c r="G20" s="35"/>
      <c r="H20" s="417"/>
      <c r="I20" s="418"/>
      <c r="J20" s="418"/>
      <c r="K20" s="418"/>
      <c r="L20" s="419"/>
      <c r="M20" s="36"/>
    </row>
    <row r="21" spans="1:13" ht="20.100000000000001" customHeight="1" thickBot="1" x14ac:dyDescent="0.25">
      <c r="A21" s="121"/>
      <c r="B21" s="420"/>
      <c r="C21" s="421"/>
      <c r="D21" s="422"/>
      <c r="E21" s="123"/>
      <c r="F21" s="404"/>
      <c r="G21" s="121"/>
      <c r="H21" s="420"/>
      <c r="I21" s="421"/>
      <c r="J21" s="421"/>
      <c r="K21" s="421"/>
      <c r="L21" s="422"/>
      <c r="M21" s="123"/>
    </row>
    <row r="22" spans="1:13" ht="20.100000000000001" customHeight="1" thickBot="1" x14ac:dyDescent="0.25">
      <c r="A22" s="423"/>
      <c r="B22" s="424"/>
      <c r="C22" s="425"/>
      <c r="D22" s="4" t="s">
        <v>47</v>
      </c>
      <c r="E22" s="5">
        <f>ROUNDUP(SUM(E14:E21)*1.02,-1)</f>
        <v>0</v>
      </c>
      <c r="F22" s="404"/>
      <c r="G22" s="423"/>
      <c r="H22" s="424"/>
      <c r="I22" s="425"/>
      <c r="J22" s="397" t="s">
        <v>47</v>
      </c>
      <c r="K22" s="398"/>
      <c r="L22" s="398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06" t="s">
        <v>37</v>
      </c>
      <c r="C23" s="413"/>
      <c r="D23" s="407"/>
      <c r="E23" s="34" t="s">
        <v>4</v>
      </c>
      <c r="F23" s="404"/>
      <c r="G23" s="34" t="s">
        <v>15</v>
      </c>
      <c r="H23" s="406" t="s">
        <v>38</v>
      </c>
      <c r="I23" s="413"/>
      <c r="J23" s="413"/>
      <c r="K23" s="413"/>
      <c r="L23" s="407"/>
      <c r="M23" s="34" t="s">
        <v>4</v>
      </c>
    </row>
    <row r="24" spans="1:13" ht="20.100000000000001" customHeight="1" x14ac:dyDescent="0.2">
      <c r="A24" s="75"/>
      <c r="B24" s="414"/>
      <c r="C24" s="415"/>
      <c r="D24" s="416"/>
      <c r="E24" s="77"/>
      <c r="F24" s="404"/>
      <c r="G24" s="75"/>
      <c r="H24" s="414"/>
      <c r="I24" s="415"/>
      <c r="J24" s="415"/>
      <c r="K24" s="415"/>
      <c r="L24" s="416"/>
      <c r="M24" s="77"/>
    </row>
    <row r="25" spans="1:13" ht="20.100000000000001" customHeight="1" x14ac:dyDescent="0.2">
      <c r="A25" s="35"/>
      <c r="B25" s="417"/>
      <c r="C25" s="418"/>
      <c r="D25" s="419"/>
      <c r="E25" s="36"/>
      <c r="F25" s="404"/>
      <c r="G25" s="35"/>
      <c r="H25" s="417"/>
      <c r="I25" s="418"/>
      <c r="J25" s="418"/>
      <c r="K25" s="418"/>
      <c r="L25" s="419"/>
      <c r="M25" s="36"/>
    </row>
    <row r="26" spans="1:13" ht="20.100000000000001" customHeight="1" x14ac:dyDescent="0.2">
      <c r="A26" s="35"/>
      <c r="B26" s="417"/>
      <c r="C26" s="418"/>
      <c r="D26" s="419"/>
      <c r="E26" s="36"/>
      <c r="F26" s="404"/>
      <c r="G26" s="35"/>
      <c r="H26" s="417"/>
      <c r="I26" s="418"/>
      <c r="J26" s="418"/>
      <c r="K26" s="418"/>
      <c r="L26" s="419"/>
      <c r="M26" s="36"/>
    </row>
    <row r="27" spans="1:13" ht="20.100000000000001" customHeight="1" x14ac:dyDescent="0.2">
      <c r="A27" s="35"/>
      <c r="B27" s="417"/>
      <c r="C27" s="418"/>
      <c r="D27" s="419"/>
      <c r="E27" s="36"/>
      <c r="F27" s="404"/>
      <c r="G27" s="35"/>
      <c r="H27" s="417"/>
      <c r="I27" s="418"/>
      <c r="J27" s="418"/>
      <c r="K27" s="418"/>
      <c r="L27" s="419"/>
      <c r="M27" s="36"/>
    </row>
    <row r="28" spans="1:13" ht="20.100000000000001" customHeight="1" x14ac:dyDescent="0.2">
      <c r="A28" s="35"/>
      <c r="B28" s="417"/>
      <c r="C28" s="418"/>
      <c r="D28" s="419"/>
      <c r="E28" s="36"/>
      <c r="F28" s="404"/>
      <c r="G28" s="35"/>
      <c r="H28" s="417"/>
      <c r="I28" s="418"/>
      <c r="J28" s="418"/>
      <c r="K28" s="418"/>
      <c r="L28" s="419"/>
      <c r="M28" s="36"/>
    </row>
    <row r="29" spans="1:13" ht="20.100000000000001" customHeight="1" x14ac:dyDescent="0.2">
      <c r="A29" s="35"/>
      <c r="B29" s="417"/>
      <c r="C29" s="418"/>
      <c r="D29" s="419"/>
      <c r="E29" s="36"/>
      <c r="F29" s="404"/>
      <c r="G29" s="35"/>
      <c r="H29" s="417"/>
      <c r="I29" s="418"/>
      <c r="J29" s="418"/>
      <c r="K29" s="418"/>
      <c r="L29" s="419"/>
      <c r="M29" s="36"/>
    </row>
    <row r="30" spans="1:13" ht="20.100000000000001" customHeight="1" x14ac:dyDescent="0.2">
      <c r="A30" s="35"/>
      <c r="B30" s="417"/>
      <c r="C30" s="418"/>
      <c r="D30" s="419"/>
      <c r="E30" s="36"/>
      <c r="F30" s="404"/>
      <c r="G30" s="35"/>
      <c r="H30" s="417"/>
      <c r="I30" s="418"/>
      <c r="J30" s="418"/>
      <c r="K30" s="418"/>
      <c r="L30" s="419"/>
      <c r="M30" s="36"/>
    </row>
    <row r="31" spans="1:13" ht="20.100000000000001" customHeight="1" thickBot="1" x14ac:dyDescent="0.25">
      <c r="A31" s="121"/>
      <c r="B31" s="420"/>
      <c r="C31" s="421"/>
      <c r="D31" s="422"/>
      <c r="E31" s="123"/>
      <c r="F31" s="404"/>
      <c r="G31" s="121"/>
      <c r="H31" s="420"/>
      <c r="I31" s="421"/>
      <c r="J31" s="421"/>
      <c r="K31" s="421"/>
      <c r="L31" s="422"/>
      <c r="M31" s="123"/>
    </row>
    <row r="32" spans="1:13" ht="20.100000000000001" customHeight="1" thickBot="1" x14ac:dyDescent="0.25">
      <c r="A32" s="423"/>
      <c r="B32" s="424"/>
      <c r="C32" s="425"/>
      <c r="D32" s="4" t="s">
        <v>47</v>
      </c>
      <c r="E32" s="5">
        <f>ROUNDUP(SUM(E24:E31)*1.02,-1)</f>
        <v>0</v>
      </c>
      <c r="F32" s="404"/>
      <c r="G32" s="423"/>
      <c r="H32" s="424"/>
      <c r="I32" s="425"/>
      <c r="J32" s="397" t="s">
        <v>47</v>
      </c>
      <c r="K32" s="426"/>
      <c r="L32" s="426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06" t="s">
        <v>49</v>
      </c>
      <c r="C33" s="413"/>
      <c r="D33" s="407"/>
      <c r="E33" s="34" t="s">
        <v>48</v>
      </c>
      <c r="F33" s="404"/>
      <c r="G33" s="34" t="s">
        <v>15</v>
      </c>
      <c r="H33" s="406" t="s">
        <v>39</v>
      </c>
      <c r="I33" s="413"/>
      <c r="J33" s="413"/>
      <c r="K33" s="413"/>
      <c r="L33" s="407"/>
      <c r="M33" s="34" t="s">
        <v>4</v>
      </c>
    </row>
    <row r="34" spans="1:13" ht="20.100000000000001" customHeight="1" x14ac:dyDescent="0.2">
      <c r="A34" s="75"/>
      <c r="B34" s="414"/>
      <c r="C34" s="415"/>
      <c r="D34" s="416"/>
      <c r="E34" s="77"/>
      <c r="F34" s="404"/>
      <c r="G34" s="75"/>
      <c r="H34" s="414"/>
      <c r="I34" s="415"/>
      <c r="J34" s="415"/>
      <c r="K34" s="415"/>
      <c r="L34" s="416"/>
      <c r="M34" s="77"/>
    </row>
    <row r="35" spans="1:13" ht="20.100000000000001" customHeight="1" x14ac:dyDescent="0.2">
      <c r="A35" s="35"/>
      <c r="B35" s="417"/>
      <c r="C35" s="418"/>
      <c r="D35" s="419"/>
      <c r="E35" s="36"/>
      <c r="F35" s="404"/>
      <c r="G35" s="35"/>
      <c r="H35" s="417"/>
      <c r="I35" s="418"/>
      <c r="J35" s="418"/>
      <c r="K35" s="418"/>
      <c r="L35" s="419"/>
      <c r="M35" s="36"/>
    </row>
    <row r="36" spans="1:13" ht="20.100000000000001" customHeight="1" x14ac:dyDescent="0.2">
      <c r="A36" s="35"/>
      <c r="B36" s="417"/>
      <c r="C36" s="418"/>
      <c r="D36" s="419"/>
      <c r="E36" s="36"/>
      <c r="F36" s="404"/>
      <c r="G36" s="35"/>
      <c r="H36" s="417"/>
      <c r="I36" s="418"/>
      <c r="J36" s="418"/>
      <c r="K36" s="418"/>
      <c r="L36" s="419"/>
      <c r="M36" s="36"/>
    </row>
    <row r="37" spans="1:13" ht="20.100000000000001" customHeight="1" x14ac:dyDescent="0.2">
      <c r="A37" s="35"/>
      <c r="B37" s="417"/>
      <c r="C37" s="418"/>
      <c r="D37" s="419"/>
      <c r="E37" s="36"/>
      <c r="F37" s="404"/>
      <c r="G37" s="35"/>
      <c r="H37" s="417"/>
      <c r="I37" s="418"/>
      <c r="J37" s="418"/>
      <c r="K37" s="418"/>
      <c r="L37" s="419"/>
      <c r="M37" s="36"/>
    </row>
    <row r="38" spans="1:13" ht="20.100000000000001" customHeight="1" x14ac:dyDescent="0.2">
      <c r="A38" s="35"/>
      <c r="B38" s="417"/>
      <c r="C38" s="418"/>
      <c r="D38" s="419"/>
      <c r="E38" s="36"/>
      <c r="F38" s="404"/>
      <c r="G38" s="35"/>
      <c r="H38" s="417"/>
      <c r="I38" s="418"/>
      <c r="J38" s="418"/>
      <c r="K38" s="418"/>
      <c r="L38" s="419"/>
      <c r="M38" s="36"/>
    </row>
    <row r="39" spans="1:13" ht="20.100000000000001" customHeight="1" x14ac:dyDescent="0.2">
      <c r="A39" s="35"/>
      <c r="B39" s="417"/>
      <c r="C39" s="418"/>
      <c r="D39" s="419"/>
      <c r="E39" s="36"/>
      <c r="F39" s="404"/>
      <c r="G39" s="35"/>
      <c r="H39" s="417"/>
      <c r="I39" s="418"/>
      <c r="J39" s="418"/>
      <c r="K39" s="418"/>
      <c r="L39" s="419"/>
      <c r="M39" s="36"/>
    </row>
    <row r="40" spans="1:13" ht="20.100000000000001" customHeight="1" x14ac:dyDescent="0.2">
      <c r="A40" s="35"/>
      <c r="B40" s="417"/>
      <c r="C40" s="418"/>
      <c r="D40" s="419"/>
      <c r="E40" s="36"/>
      <c r="F40" s="404"/>
      <c r="G40" s="35"/>
      <c r="H40" s="417"/>
      <c r="I40" s="418"/>
      <c r="J40" s="418"/>
      <c r="K40" s="418"/>
      <c r="L40" s="419"/>
      <c r="M40" s="36"/>
    </row>
    <row r="41" spans="1:13" ht="20.100000000000001" customHeight="1" thickBot="1" x14ac:dyDescent="0.25">
      <c r="A41" s="121"/>
      <c r="B41" s="420"/>
      <c r="C41" s="421"/>
      <c r="D41" s="422"/>
      <c r="E41" s="123"/>
      <c r="F41" s="404"/>
      <c r="G41" s="121"/>
      <c r="H41" s="420"/>
      <c r="I41" s="421"/>
      <c r="J41" s="421"/>
      <c r="K41" s="421"/>
      <c r="L41" s="422"/>
      <c r="M41" s="123"/>
    </row>
    <row r="42" spans="1:13" ht="20.100000000000001" customHeight="1" thickBot="1" x14ac:dyDescent="0.25">
      <c r="A42" s="423"/>
      <c r="B42" s="424"/>
      <c r="C42" s="425"/>
      <c r="D42" s="4" t="s">
        <v>47</v>
      </c>
      <c r="E42" s="5">
        <f>SUM(E34:E41)</f>
        <v>0</v>
      </c>
      <c r="F42" s="404"/>
      <c r="G42" s="423"/>
      <c r="H42" s="424"/>
      <c r="I42" s="425"/>
      <c r="J42" s="397" t="s">
        <v>47</v>
      </c>
      <c r="K42" s="398"/>
      <c r="L42" s="398"/>
      <c r="M42" s="5">
        <f>ROUNDUP(SUM(M34:M41)*1.02,-1)</f>
        <v>0</v>
      </c>
    </row>
    <row r="43" spans="1:13" ht="20.100000000000001" customHeight="1" thickBot="1" x14ac:dyDescent="0.3">
      <c r="A43" s="429" t="s">
        <v>24</v>
      </c>
      <c r="B43" s="430"/>
      <c r="C43" s="430"/>
      <c r="D43" s="430"/>
      <c r="E43" s="431"/>
      <c r="F43" s="404"/>
      <c r="G43" s="429" t="s">
        <v>24</v>
      </c>
      <c r="H43" s="430"/>
      <c r="I43" s="430"/>
      <c r="J43" s="430"/>
      <c r="K43" s="430"/>
      <c r="L43" s="430"/>
      <c r="M43" s="431"/>
    </row>
    <row r="44" spans="1:13" ht="20.100000000000001" customHeight="1" thickBot="1" x14ac:dyDescent="0.3">
      <c r="A44" s="34" t="s">
        <v>15</v>
      </c>
      <c r="B44" s="427" t="s">
        <v>16</v>
      </c>
      <c r="C44" s="427"/>
      <c r="D44" s="34" t="s">
        <v>12</v>
      </c>
      <c r="E44" s="34" t="s">
        <v>0</v>
      </c>
      <c r="F44" s="404"/>
      <c r="G44" s="34" t="s">
        <v>15</v>
      </c>
      <c r="H44" s="427" t="s">
        <v>16</v>
      </c>
      <c r="I44" s="427"/>
      <c r="J44" s="406" t="s">
        <v>12</v>
      </c>
      <c r="K44" s="413"/>
      <c r="L44" s="407"/>
      <c r="M44" s="34" t="s">
        <v>0</v>
      </c>
    </row>
    <row r="45" spans="1:13" ht="20.100000000000001" customHeight="1" x14ac:dyDescent="0.2">
      <c r="A45" s="75"/>
      <c r="B45" s="414"/>
      <c r="C45" s="416"/>
      <c r="D45" s="76"/>
      <c r="E45" s="77"/>
      <c r="F45" s="404"/>
      <c r="G45" s="75"/>
      <c r="H45" s="414"/>
      <c r="I45" s="416"/>
      <c r="J45" s="414"/>
      <c r="K45" s="415"/>
      <c r="L45" s="416"/>
      <c r="M45" s="77"/>
    </row>
    <row r="46" spans="1:13" ht="20.100000000000001" customHeight="1" x14ac:dyDescent="0.2">
      <c r="A46" s="35"/>
      <c r="B46" s="417"/>
      <c r="C46" s="419"/>
      <c r="D46" s="76"/>
      <c r="E46" s="36"/>
      <c r="F46" s="404"/>
      <c r="G46" s="35"/>
      <c r="H46" s="417"/>
      <c r="I46" s="419"/>
      <c r="J46" s="417"/>
      <c r="K46" s="418"/>
      <c r="L46" s="419"/>
      <c r="M46" s="36"/>
    </row>
    <row r="47" spans="1:13" ht="20.100000000000001" customHeight="1" x14ac:dyDescent="0.2">
      <c r="A47" s="35"/>
      <c r="B47" s="417"/>
      <c r="C47" s="419"/>
      <c r="D47" s="122"/>
      <c r="E47" s="123"/>
      <c r="F47" s="404"/>
      <c r="G47" s="35"/>
      <c r="H47" s="417"/>
      <c r="I47" s="419"/>
      <c r="J47" s="417"/>
      <c r="K47" s="418"/>
      <c r="L47" s="419"/>
      <c r="M47" s="36"/>
    </row>
    <row r="48" spans="1:13" ht="20.100000000000001" customHeight="1" thickBot="1" x14ac:dyDescent="0.25">
      <c r="A48" s="121"/>
      <c r="B48" s="420"/>
      <c r="C48" s="422"/>
      <c r="D48" s="122"/>
      <c r="E48" s="123"/>
      <c r="F48" s="404"/>
      <c r="G48" s="121"/>
      <c r="H48" s="420"/>
      <c r="I48" s="422"/>
      <c r="J48" s="420"/>
      <c r="K48" s="421"/>
      <c r="L48" s="422"/>
      <c r="M48" s="123"/>
    </row>
    <row r="49" spans="1:13" ht="20.100000000000001" customHeight="1" thickBot="1" x14ac:dyDescent="0.25">
      <c r="A49" s="423"/>
      <c r="B49" s="424"/>
      <c r="C49" s="425"/>
      <c r="D49" s="4" t="s">
        <v>47</v>
      </c>
      <c r="E49" s="5">
        <f>SUM(E44:E48)</f>
        <v>0</v>
      </c>
      <c r="F49" s="405"/>
      <c r="G49" s="423"/>
      <c r="H49" s="424"/>
      <c r="I49" s="425"/>
      <c r="J49" s="397" t="s">
        <v>47</v>
      </c>
      <c r="K49" s="398"/>
      <c r="L49" s="398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1" sqref="B21:R2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41" t="s">
        <v>52</v>
      </c>
      <c r="B1" s="442"/>
      <c r="C1" s="442"/>
      <c r="D1" s="443" t="s">
        <v>120</v>
      </c>
      <c r="E1" s="443"/>
      <c r="F1" s="443"/>
      <c r="G1" s="443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7" t="s">
        <v>207</v>
      </c>
      <c r="B2" s="448"/>
      <c r="C2" s="448"/>
      <c r="D2" s="449" t="s">
        <v>82</v>
      </c>
      <c r="E2" s="449"/>
      <c r="F2" s="449"/>
      <c r="G2" s="449"/>
      <c r="H2" s="432" t="s">
        <v>143</v>
      </c>
      <c r="I2" s="432"/>
      <c r="J2" s="433" t="str">
        <f ca="1">INDEX(INDIRECT("ProjectTypes[Category]"),MATCH(INDIRECT("ProjectCat"),INDIRECT("ProjectTypes[Type]"),0))</f>
        <v/>
      </c>
      <c r="K2" s="433"/>
      <c r="L2" s="433"/>
      <c r="M2" s="440" t="s">
        <v>55</v>
      </c>
      <c r="N2" s="440"/>
      <c r="O2" s="445" t="s">
        <v>120</v>
      </c>
      <c r="P2" s="445"/>
      <c r="Q2" s="445"/>
      <c r="R2" s="446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39" t="s">
        <v>62</v>
      </c>
      <c r="B3" s="440"/>
      <c r="C3" s="440"/>
      <c r="D3" s="453" t="s">
        <v>120</v>
      </c>
      <c r="E3" s="453"/>
      <c r="F3" s="453"/>
      <c r="G3" s="453"/>
      <c r="H3" s="453"/>
      <c r="I3" s="453"/>
      <c r="J3" s="453"/>
      <c r="K3" s="453"/>
      <c r="L3" s="453"/>
      <c r="M3" s="440" t="s">
        <v>56</v>
      </c>
      <c r="N3" s="440"/>
      <c r="O3" s="454" t="s">
        <v>120</v>
      </c>
      <c r="P3" s="454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39" t="s">
        <v>53</v>
      </c>
      <c r="B4" s="440"/>
      <c r="C4" s="440"/>
      <c r="D4" s="453" t="s">
        <v>120</v>
      </c>
      <c r="E4" s="453"/>
      <c r="F4" s="453"/>
      <c r="G4" s="453"/>
      <c r="H4" s="453"/>
      <c r="I4" s="453"/>
      <c r="J4" s="453"/>
      <c r="K4" s="453"/>
      <c r="L4" s="453"/>
      <c r="M4" s="440" t="s">
        <v>57</v>
      </c>
      <c r="N4" s="440"/>
      <c r="O4" s="453" t="s">
        <v>120</v>
      </c>
      <c r="P4" s="453"/>
      <c r="Q4" s="453"/>
      <c r="R4" s="457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39" t="s">
        <v>54</v>
      </c>
      <c r="B5" s="440"/>
      <c r="C5" s="440"/>
      <c r="D5" s="453" t="s">
        <v>120</v>
      </c>
      <c r="E5" s="453"/>
      <c r="F5" s="453"/>
      <c r="G5" s="453"/>
      <c r="H5" s="453"/>
      <c r="I5" s="453"/>
      <c r="J5" s="453"/>
      <c r="K5" s="453"/>
      <c r="L5" s="453"/>
      <c r="M5" s="440" t="s">
        <v>71</v>
      </c>
      <c r="N5" s="440"/>
      <c r="O5" s="440"/>
      <c r="P5" s="440"/>
      <c r="Q5" s="436" t="s">
        <v>119</v>
      </c>
      <c r="R5" s="455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6"/>
      <c r="B6" s="467"/>
      <c r="C6" s="467"/>
      <c r="D6" s="453"/>
      <c r="E6" s="453"/>
      <c r="F6" s="453"/>
      <c r="G6" s="453"/>
      <c r="H6" s="453"/>
      <c r="I6" s="453"/>
      <c r="J6" s="453"/>
      <c r="K6" s="453"/>
      <c r="L6" s="453"/>
      <c r="M6" s="440" t="s">
        <v>83</v>
      </c>
      <c r="N6" s="440"/>
      <c r="O6" s="440"/>
      <c r="P6" s="440"/>
      <c r="Q6" s="454" t="s">
        <v>120</v>
      </c>
      <c r="R6" s="463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8"/>
      <c r="B7" s="469"/>
      <c r="C7" s="469"/>
      <c r="D7" s="453"/>
      <c r="E7" s="453"/>
      <c r="F7" s="453"/>
      <c r="G7" s="453"/>
      <c r="H7" s="453"/>
      <c r="I7" s="453"/>
      <c r="J7" s="453"/>
      <c r="K7" s="453"/>
      <c r="L7" s="453"/>
      <c r="M7" s="440"/>
      <c r="N7" s="440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7" t="s">
        <v>63</v>
      </c>
      <c r="B8" s="473"/>
      <c r="C8" s="473"/>
      <c r="D8" s="445" t="s">
        <v>120</v>
      </c>
      <c r="E8" s="445"/>
      <c r="F8" s="445"/>
      <c r="G8" s="473" t="s">
        <v>60</v>
      </c>
      <c r="H8" s="473"/>
      <c r="I8" s="449" t="s">
        <v>120</v>
      </c>
      <c r="J8" s="449"/>
      <c r="K8" s="473" t="s">
        <v>58</v>
      </c>
      <c r="L8" s="473"/>
      <c r="M8" s="449" t="s">
        <v>120</v>
      </c>
      <c r="N8" s="464"/>
      <c r="O8" s="464"/>
      <c r="P8" s="464"/>
      <c r="Q8" s="464"/>
      <c r="R8" s="465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39" t="s">
        <v>64</v>
      </c>
      <c r="B9" s="440"/>
      <c r="C9" s="440"/>
      <c r="D9" s="436" t="s">
        <v>120</v>
      </c>
      <c r="E9" s="436"/>
      <c r="F9" s="436"/>
      <c r="G9" s="440" t="s">
        <v>61</v>
      </c>
      <c r="H9" s="440"/>
      <c r="I9" s="436" t="s">
        <v>120</v>
      </c>
      <c r="J9" s="436"/>
      <c r="K9" s="440" t="s">
        <v>59</v>
      </c>
      <c r="L9" s="440"/>
      <c r="M9" s="436" t="s">
        <v>120</v>
      </c>
      <c r="N9" s="437"/>
      <c r="O9" s="437"/>
      <c r="P9" s="437"/>
      <c r="Q9" s="437"/>
      <c r="R9" s="43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39" t="s">
        <v>65</v>
      </c>
      <c r="B10" s="440"/>
      <c r="C10" s="440"/>
      <c r="D10" s="436" t="s">
        <v>120</v>
      </c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55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75"/>
      <c r="B11" s="476"/>
      <c r="C11" s="476"/>
      <c r="D11" s="436"/>
      <c r="E11" s="436"/>
      <c r="F11" s="436"/>
      <c r="G11" s="436"/>
      <c r="H11" s="436"/>
      <c r="I11" s="436"/>
      <c r="J11" s="436"/>
      <c r="K11" s="436"/>
      <c r="L11" s="436"/>
      <c r="M11" s="436"/>
      <c r="N11" s="436"/>
      <c r="O11" s="436"/>
      <c r="P11" s="436"/>
      <c r="Q11" s="436"/>
      <c r="R11" s="455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39" t="s">
        <v>72</v>
      </c>
      <c r="B12" s="440"/>
      <c r="C12" s="440"/>
      <c r="D12" s="474" t="s">
        <v>120</v>
      </c>
      <c r="E12" s="474"/>
      <c r="F12" s="474"/>
      <c r="G12" s="474"/>
      <c r="H12" s="474"/>
      <c r="I12" s="474"/>
      <c r="J12" s="474"/>
      <c r="K12" s="440" t="s">
        <v>222</v>
      </c>
      <c r="L12" s="440"/>
      <c r="M12" s="436"/>
      <c r="N12" s="437"/>
      <c r="O12" s="437"/>
      <c r="P12" s="437"/>
      <c r="Q12" s="437"/>
      <c r="R12" s="438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1" t="s">
        <v>66</v>
      </c>
      <c r="B13" s="462"/>
      <c r="C13" s="458" t="s">
        <v>35</v>
      </c>
      <c r="D13" s="458"/>
      <c r="E13" s="458"/>
      <c r="F13" s="459" t="s">
        <v>120</v>
      </c>
      <c r="G13" s="459"/>
      <c r="H13" s="459"/>
      <c r="I13" s="459"/>
      <c r="J13" s="459"/>
      <c r="K13" s="459"/>
      <c r="L13" s="459"/>
      <c r="M13" s="459"/>
      <c r="N13" s="459"/>
      <c r="O13" s="459"/>
      <c r="P13" s="459"/>
      <c r="Q13" s="459"/>
      <c r="R13" s="460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50" t="s">
        <v>134</v>
      </c>
      <c r="C14" s="451"/>
      <c r="D14" s="451"/>
      <c r="E14" s="451"/>
      <c r="F14" s="451"/>
      <c r="G14" s="451"/>
      <c r="H14" s="451"/>
      <c r="I14" s="451"/>
      <c r="J14" s="451"/>
      <c r="K14" s="451"/>
      <c r="L14" s="451"/>
      <c r="M14" s="451"/>
      <c r="N14" s="451"/>
      <c r="O14" s="451"/>
      <c r="P14" s="451"/>
      <c r="Q14" s="451"/>
      <c r="R14" s="452"/>
      <c r="S14" s="131"/>
    </row>
    <row r="15" spans="1:33" s="18" customFormat="1" ht="20.100000000000001" customHeight="1" x14ac:dyDescent="0.2">
      <c r="A15" s="125" t="s">
        <v>133</v>
      </c>
      <c r="B15" s="450" t="s">
        <v>135</v>
      </c>
      <c r="C15" s="451"/>
      <c r="D15" s="451"/>
      <c r="E15" s="451"/>
      <c r="F15" s="451"/>
      <c r="G15" s="451"/>
      <c r="H15" s="451"/>
      <c r="I15" s="451"/>
      <c r="J15" s="451"/>
      <c r="K15" s="451"/>
      <c r="L15" s="451"/>
      <c r="M15" s="451"/>
      <c r="N15" s="451"/>
      <c r="O15" s="451"/>
      <c r="P15" s="451"/>
      <c r="Q15" s="451"/>
      <c r="R15" s="452"/>
      <c r="S15" s="131"/>
    </row>
    <row r="16" spans="1:33" s="18" customFormat="1" ht="20.100000000000001" customHeight="1" x14ac:dyDescent="0.2">
      <c r="A16" s="125" t="s">
        <v>133</v>
      </c>
      <c r="B16" s="450" t="s">
        <v>136</v>
      </c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M16" s="451"/>
      <c r="N16" s="451"/>
      <c r="O16" s="451"/>
      <c r="P16" s="451"/>
      <c r="Q16" s="451"/>
      <c r="R16" s="452"/>
      <c r="S16" s="131"/>
    </row>
    <row r="17" spans="1:19" s="18" customFormat="1" ht="20.100000000000001" customHeight="1" x14ac:dyDescent="0.2">
      <c r="A17" s="125"/>
      <c r="B17" s="451"/>
      <c r="C17" s="451"/>
      <c r="D17" s="451"/>
      <c r="E17" s="451"/>
      <c r="F17" s="451"/>
      <c r="G17" s="451"/>
      <c r="H17" s="451"/>
      <c r="I17" s="451"/>
      <c r="J17" s="451"/>
      <c r="K17" s="451"/>
      <c r="L17" s="451"/>
      <c r="M17" s="451"/>
      <c r="N17" s="451"/>
      <c r="O17" s="451"/>
      <c r="P17" s="451"/>
      <c r="Q17" s="451"/>
      <c r="R17" s="452"/>
      <c r="S17" s="131"/>
    </row>
    <row r="18" spans="1:19" s="18" customFormat="1" ht="20.100000000000001" customHeight="1" x14ac:dyDescent="0.2">
      <c r="A18" s="125"/>
      <c r="B18" s="451"/>
      <c r="C18" s="451"/>
      <c r="D18" s="451"/>
      <c r="E18" s="451"/>
      <c r="F18" s="451"/>
      <c r="G18" s="451"/>
      <c r="H18" s="451"/>
      <c r="I18" s="451"/>
      <c r="J18" s="451"/>
      <c r="K18" s="451"/>
      <c r="L18" s="451"/>
      <c r="M18" s="451"/>
      <c r="N18" s="451"/>
      <c r="O18" s="451"/>
      <c r="P18" s="451"/>
      <c r="Q18" s="451"/>
      <c r="R18" s="452"/>
      <c r="S18" s="131"/>
    </row>
    <row r="19" spans="1:19" s="18" customFormat="1" ht="20.100000000000001" customHeight="1" x14ac:dyDescent="0.2">
      <c r="A19" s="125"/>
      <c r="B19" s="451"/>
      <c r="C19" s="451"/>
      <c r="D19" s="451"/>
      <c r="E19" s="451"/>
      <c r="F19" s="451"/>
      <c r="G19" s="451"/>
      <c r="H19" s="451"/>
      <c r="I19" s="451"/>
      <c r="J19" s="451"/>
      <c r="K19" s="451"/>
      <c r="L19" s="451"/>
      <c r="M19" s="451"/>
      <c r="N19" s="451"/>
      <c r="O19" s="451"/>
      <c r="P19" s="451"/>
      <c r="Q19" s="451"/>
      <c r="R19" s="452"/>
      <c r="S19" s="131"/>
    </row>
    <row r="20" spans="1:19" s="18" customFormat="1" ht="20.100000000000001" customHeight="1" x14ac:dyDescent="0.2">
      <c r="A20" s="125"/>
      <c r="B20" s="451"/>
      <c r="C20" s="451"/>
      <c r="D20" s="451"/>
      <c r="E20" s="451"/>
      <c r="F20" s="451"/>
      <c r="G20" s="451"/>
      <c r="H20" s="451"/>
      <c r="I20" s="451"/>
      <c r="J20" s="451"/>
      <c r="K20" s="451"/>
      <c r="L20" s="451"/>
      <c r="M20" s="451"/>
      <c r="N20" s="451"/>
      <c r="O20" s="451"/>
      <c r="P20" s="451"/>
      <c r="Q20" s="451"/>
      <c r="R20" s="452"/>
      <c r="S20" s="131"/>
    </row>
    <row r="21" spans="1:19" s="18" customFormat="1" ht="20.100000000000001" customHeight="1" x14ac:dyDescent="0.2">
      <c r="A21" s="125"/>
      <c r="B21" s="451"/>
      <c r="C21" s="451"/>
      <c r="D21" s="451"/>
      <c r="E21" s="451"/>
      <c r="F21" s="451"/>
      <c r="G21" s="451"/>
      <c r="H21" s="451"/>
      <c r="I21" s="451"/>
      <c r="J21" s="451"/>
      <c r="K21" s="451"/>
      <c r="L21" s="451"/>
      <c r="M21" s="451"/>
      <c r="N21" s="451"/>
      <c r="O21" s="451"/>
      <c r="P21" s="451"/>
      <c r="Q21" s="451"/>
      <c r="R21" s="452"/>
      <c r="S21" s="131"/>
    </row>
    <row r="22" spans="1:19" s="18" customFormat="1" ht="20.100000000000001" customHeight="1" x14ac:dyDescent="0.2">
      <c r="A22" s="125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2"/>
      <c r="S22" s="131"/>
    </row>
    <row r="23" spans="1:19" s="18" customFormat="1" ht="20.100000000000001" customHeight="1" x14ac:dyDescent="0.2">
      <c r="A23" s="125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2"/>
      <c r="S23" s="131"/>
    </row>
    <row r="24" spans="1:19" s="18" customFormat="1" ht="20.100000000000001" customHeight="1" x14ac:dyDescent="0.2">
      <c r="A24" s="125"/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2"/>
      <c r="S24" s="131"/>
    </row>
    <row r="25" spans="1:19" s="18" customFormat="1" ht="20.100000000000001" customHeight="1" x14ac:dyDescent="0.2">
      <c r="A25" s="125"/>
      <c r="B25" s="451"/>
      <c r="C25" s="451"/>
      <c r="D25" s="451"/>
      <c r="E25" s="451"/>
      <c r="F25" s="451"/>
      <c r="G25" s="451"/>
      <c r="H25" s="451"/>
      <c r="I25" s="451"/>
      <c r="J25" s="451"/>
      <c r="K25" s="451"/>
      <c r="L25" s="451"/>
      <c r="M25" s="451"/>
      <c r="N25" s="451"/>
      <c r="O25" s="451"/>
      <c r="P25" s="451"/>
      <c r="Q25" s="451"/>
      <c r="R25" s="452"/>
      <c r="S25" s="131"/>
    </row>
    <row r="26" spans="1:19" s="18" customFormat="1" ht="20.100000000000001" customHeight="1" x14ac:dyDescent="0.2">
      <c r="A26" s="125"/>
      <c r="B26" s="451"/>
      <c r="C26" s="451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2"/>
      <c r="S26" s="131"/>
    </row>
    <row r="27" spans="1:19" s="18" customFormat="1" ht="20.100000000000001" customHeight="1" x14ac:dyDescent="0.2">
      <c r="A27" s="125"/>
      <c r="B27" s="451"/>
      <c r="C27" s="451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2"/>
      <c r="S27" s="131"/>
    </row>
    <row r="28" spans="1:19" s="18" customFormat="1" ht="20.100000000000001" customHeight="1" x14ac:dyDescent="0.2">
      <c r="A28" s="125"/>
      <c r="B28" s="451"/>
      <c r="C28" s="451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2"/>
      <c r="S28" s="131"/>
    </row>
    <row r="29" spans="1:19" s="18" customFormat="1" ht="20.100000000000001" customHeight="1" x14ac:dyDescent="0.2">
      <c r="A29" s="125" t="s">
        <v>137</v>
      </c>
      <c r="B29" s="450" t="s">
        <v>138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2"/>
      <c r="S29" s="131"/>
    </row>
    <row r="30" spans="1:19" s="18" customFormat="1" ht="20.100000000000001" customHeight="1" x14ac:dyDescent="0.2">
      <c r="A30" s="125" t="s">
        <v>137</v>
      </c>
      <c r="B30" s="450" t="s">
        <v>139</v>
      </c>
      <c r="C30" s="451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2"/>
      <c r="S30" s="131"/>
    </row>
    <row r="31" spans="1:19" s="18" customFormat="1" ht="20.100000000000001" customHeight="1" x14ac:dyDescent="0.2">
      <c r="A31" s="125" t="s">
        <v>137</v>
      </c>
      <c r="B31" s="450" t="s">
        <v>140</v>
      </c>
      <c r="C31" s="451"/>
      <c r="D31" s="451"/>
      <c r="E31" s="451"/>
      <c r="F31" s="451"/>
      <c r="G31" s="451"/>
      <c r="H31" s="451"/>
      <c r="I31" s="451"/>
      <c r="J31" s="451"/>
      <c r="K31" s="451"/>
      <c r="L31" s="451"/>
      <c r="M31" s="451"/>
      <c r="N31" s="451"/>
      <c r="O31" s="451"/>
      <c r="P31" s="451"/>
      <c r="Q31" s="451"/>
      <c r="R31" s="452"/>
      <c r="S31" s="131"/>
    </row>
    <row r="32" spans="1:19" s="18" customFormat="1" ht="20.100000000000001" customHeight="1" x14ac:dyDescent="0.2">
      <c r="A32" s="125"/>
      <c r="B32" s="450" t="s">
        <v>141</v>
      </c>
      <c r="C32" s="451"/>
      <c r="D32" s="451"/>
      <c r="E32" s="451"/>
      <c r="F32" s="451"/>
      <c r="G32" s="451"/>
      <c r="H32" s="451"/>
      <c r="I32" s="451"/>
      <c r="J32" s="451"/>
      <c r="K32" s="451"/>
      <c r="L32" s="451"/>
      <c r="M32" s="451"/>
      <c r="N32" s="451"/>
      <c r="O32" s="451"/>
      <c r="P32" s="451"/>
      <c r="Q32" s="451"/>
      <c r="R32" s="452"/>
      <c r="S32" s="131"/>
    </row>
    <row r="33" spans="1:19" s="18" customFormat="1" ht="20.100000000000001" customHeight="1" x14ac:dyDescent="0.2">
      <c r="A33" s="125"/>
      <c r="B33" s="450" t="s">
        <v>142</v>
      </c>
      <c r="C33" s="451"/>
      <c r="D33" s="451"/>
      <c r="E33" s="451"/>
      <c r="F33" s="451"/>
      <c r="G33" s="451"/>
      <c r="H33" s="451"/>
      <c r="I33" s="451"/>
      <c r="J33" s="451"/>
      <c r="K33" s="451"/>
      <c r="L33" s="451"/>
      <c r="M33" s="451"/>
      <c r="N33" s="451"/>
      <c r="O33" s="451"/>
      <c r="P33" s="451"/>
      <c r="Q33" s="451"/>
      <c r="R33" s="452"/>
      <c r="S33" s="131"/>
    </row>
    <row r="34" spans="1:19" s="18" customFormat="1" ht="20.100000000000001" customHeight="1" x14ac:dyDescent="0.2">
      <c r="A34" s="125"/>
      <c r="B34" s="451"/>
      <c r="C34" s="451"/>
      <c r="D34" s="451"/>
      <c r="E34" s="451"/>
      <c r="F34" s="451"/>
      <c r="G34" s="451"/>
      <c r="H34" s="451"/>
      <c r="I34" s="451"/>
      <c r="J34" s="451"/>
      <c r="K34" s="451"/>
      <c r="L34" s="451"/>
      <c r="M34" s="451"/>
      <c r="N34" s="451"/>
      <c r="O34" s="451"/>
      <c r="P34" s="451"/>
      <c r="Q34" s="451"/>
      <c r="R34" s="452"/>
      <c r="S34" s="131"/>
    </row>
    <row r="35" spans="1:19" s="18" customFormat="1" ht="20.100000000000001" customHeight="1" x14ac:dyDescent="0.2">
      <c r="A35" s="125"/>
      <c r="B35" s="451"/>
      <c r="C35" s="451"/>
      <c r="D35" s="451"/>
      <c r="E35" s="451"/>
      <c r="F35" s="451"/>
      <c r="G35" s="451"/>
      <c r="H35" s="451"/>
      <c r="I35" s="451"/>
      <c r="J35" s="451"/>
      <c r="K35" s="451"/>
      <c r="L35" s="451"/>
      <c r="M35" s="451"/>
      <c r="N35" s="451"/>
      <c r="O35" s="451"/>
      <c r="P35" s="451"/>
      <c r="Q35" s="451"/>
      <c r="R35" s="452"/>
      <c r="S35" s="131"/>
    </row>
    <row r="36" spans="1:19" s="18" customFormat="1" ht="20.100000000000001" customHeight="1" thickBot="1" x14ac:dyDescent="0.25">
      <c r="A36" s="152"/>
      <c r="B36" s="451"/>
      <c r="C36" s="451"/>
      <c r="D36" s="451"/>
      <c r="E36" s="451"/>
      <c r="F36" s="451"/>
      <c r="G36" s="451"/>
      <c r="H36" s="451"/>
      <c r="I36" s="451"/>
      <c r="J36" s="451"/>
      <c r="K36" s="451"/>
      <c r="L36" s="451"/>
      <c r="M36" s="451"/>
      <c r="N36" s="451"/>
      <c r="O36" s="451"/>
      <c r="P36" s="451"/>
      <c r="Q36" s="451"/>
      <c r="R36" s="452"/>
      <c r="S36" s="131"/>
    </row>
    <row r="37" spans="1:19" s="19" customFormat="1" ht="20.100000000000001" customHeight="1" thickBot="1" x14ac:dyDescent="0.3">
      <c r="A37" s="477" t="s">
        <v>70</v>
      </c>
      <c r="B37" s="478"/>
      <c r="C37" s="478"/>
      <c r="D37" s="478"/>
      <c r="E37" s="478"/>
      <c r="F37" s="478"/>
      <c r="G37" s="478"/>
      <c r="H37" s="479"/>
      <c r="I37" s="477" t="s">
        <v>69</v>
      </c>
      <c r="J37" s="478"/>
      <c r="K37" s="478"/>
      <c r="L37" s="478"/>
      <c r="M37" s="478"/>
      <c r="N37" s="478"/>
      <c r="O37" s="478"/>
      <c r="P37" s="478"/>
      <c r="Q37" s="478"/>
      <c r="R37" s="479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4" t="s">
        <v>16</v>
      </c>
      <c r="K38" s="435"/>
      <c r="L38" s="135" t="s">
        <v>0</v>
      </c>
      <c r="M38" s="136" t="s">
        <v>15</v>
      </c>
      <c r="N38" s="434" t="s">
        <v>16</v>
      </c>
      <c r="O38" s="456"/>
      <c r="P38" s="456"/>
      <c r="Q38" s="435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7"/>
      <c r="K39" s="419"/>
      <c r="L39" s="143"/>
      <c r="M39" s="144"/>
      <c r="N39" s="417"/>
      <c r="O39" s="418"/>
      <c r="P39" s="418"/>
      <c r="Q39" s="419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7"/>
      <c r="K40" s="419"/>
      <c r="L40" s="143"/>
      <c r="M40" s="144"/>
      <c r="N40" s="417"/>
      <c r="O40" s="418"/>
      <c r="P40" s="418"/>
      <c r="Q40" s="419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7"/>
      <c r="K41" s="419"/>
      <c r="L41" s="143"/>
      <c r="M41" s="144"/>
      <c r="N41" s="417"/>
      <c r="O41" s="418"/>
      <c r="P41" s="418"/>
      <c r="Q41" s="419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7"/>
      <c r="K42" s="419"/>
      <c r="L42" s="143"/>
      <c r="M42" s="144"/>
      <c r="N42" s="417"/>
      <c r="O42" s="418"/>
      <c r="P42" s="418"/>
      <c r="Q42" s="419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7"/>
      <c r="K43" s="419"/>
      <c r="L43" s="143"/>
      <c r="M43" s="144"/>
      <c r="N43" s="417"/>
      <c r="O43" s="418"/>
      <c r="P43" s="418"/>
      <c r="Q43" s="419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7"/>
      <c r="K44" s="419"/>
      <c r="L44" s="143"/>
      <c r="M44" s="144"/>
      <c r="N44" s="417"/>
      <c r="O44" s="418"/>
      <c r="P44" s="418"/>
      <c r="Q44" s="419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7"/>
      <c r="K45" s="419"/>
      <c r="L45" s="143"/>
      <c r="M45" s="144"/>
      <c r="N45" s="417"/>
      <c r="O45" s="418"/>
      <c r="P45" s="418"/>
      <c r="Q45" s="419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7"/>
      <c r="K46" s="419"/>
      <c r="L46" s="143"/>
      <c r="M46" s="144"/>
      <c r="N46" s="417"/>
      <c r="O46" s="418"/>
      <c r="P46" s="418"/>
      <c r="Q46" s="419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7"/>
      <c r="K47" s="419"/>
      <c r="L47" s="143"/>
      <c r="M47" s="144"/>
      <c r="N47" s="417"/>
      <c r="O47" s="418"/>
      <c r="P47" s="418"/>
      <c r="Q47" s="419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7"/>
      <c r="K48" s="419"/>
      <c r="L48" s="143"/>
      <c r="M48" s="144"/>
      <c r="N48" s="417"/>
      <c r="O48" s="418"/>
      <c r="P48" s="418"/>
      <c r="Q48" s="419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7"/>
      <c r="K49" s="419"/>
      <c r="L49" s="143"/>
      <c r="M49" s="144"/>
      <c r="N49" s="417"/>
      <c r="O49" s="418"/>
      <c r="P49" s="418"/>
      <c r="Q49" s="419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7"/>
      <c r="K50" s="419"/>
      <c r="L50" s="143"/>
      <c r="M50" s="144"/>
      <c r="N50" s="417"/>
      <c r="O50" s="418"/>
      <c r="P50" s="418"/>
      <c r="Q50" s="419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7"/>
      <c r="K51" s="419"/>
      <c r="L51" s="143"/>
      <c r="M51" s="144"/>
      <c r="N51" s="417"/>
      <c r="O51" s="418"/>
      <c r="P51" s="418"/>
      <c r="Q51" s="419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7"/>
      <c r="K52" s="419"/>
      <c r="L52" s="143"/>
      <c r="M52" s="144"/>
      <c r="N52" s="417"/>
      <c r="O52" s="418"/>
      <c r="P52" s="418"/>
      <c r="Q52" s="419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7"/>
      <c r="K53" s="419"/>
      <c r="L53" s="149"/>
      <c r="M53" s="150"/>
      <c r="N53" s="417"/>
      <c r="O53" s="418"/>
      <c r="P53" s="418"/>
      <c r="Q53" s="419"/>
      <c r="R53" s="36"/>
      <c r="S53" s="131"/>
    </row>
    <row r="54" spans="1:19" s="18" customFormat="1" ht="20.100000000000001" customHeight="1" thickBot="1" x14ac:dyDescent="0.3">
      <c r="A54" s="482" t="s">
        <v>47</v>
      </c>
      <c r="B54" s="483"/>
      <c r="C54" s="480">
        <f ca="1">SUM(INDIRECT("Marks!C:C"))</f>
        <v>0</v>
      </c>
      <c r="D54" s="481"/>
      <c r="E54" s="471" t="s">
        <v>68</v>
      </c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0" t="s">
        <v>84</v>
      </c>
      <c r="N55" s="470"/>
      <c r="O55" s="470"/>
      <c r="P55" s="470"/>
      <c r="Q55" s="470"/>
      <c r="R55" s="470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8" t="s">
        <v>131</v>
      </c>
      <c r="B3" s="488" t="s">
        <v>130</v>
      </c>
      <c r="C3" s="484" t="s">
        <v>0</v>
      </c>
      <c r="D3" s="484" t="s">
        <v>1</v>
      </c>
      <c r="E3" s="495" t="s">
        <v>81</v>
      </c>
      <c r="F3" s="496"/>
      <c r="G3" s="492" t="s">
        <v>2</v>
      </c>
      <c r="H3" s="494"/>
      <c r="I3" s="493"/>
      <c r="J3" s="492" t="s">
        <v>5</v>
      </c>
      <c r="K3" s="494"/>
      <c r="L3" s="493"/>
      <c r="M3" s="492" t="s">
        <v>8</v>
      </c>
      <c r="N3" s="493"/>
      <c r="O3" s="230" t="s">
        <v>6</v>
      </c>
      <c r="P3" s="230" t="s">
        <v>22</v>
      </c>
      <c r="Q3" s="492" t="s">
        <v>79</v>
      </c>
      <c r="R3" s="494"/>
      <c r="S3" s="493"/>
      <c r="T3" s="492" t="s">
        <v>75</v>
      </c>
      <c r="U3" s="494"/>
      <c r="V3" s="493"/>
      <c r="W3" s="492" t="s">
        <v>76</v>
      </c>
      <c r="X3" s="494"/>
      <c r="Y3" s="493"/>
      <c r="Z3" s="488" t="s">
        <v>80</v>
      </c>
      <c r="AA3" s="488" t="s">
        <v>121</v>
      </c>
      <c r="AB3" s="484" t="s">
        <v>122</v>
      </c>
      <c r="AC3" s="486" t="s">
        <v>123</v>
      </c>
      <c r="AD3" s="487"/>
      <c r="AE3" s="488" t="s">
        <v>124</v>
      </c>
      <c r="AF3" s="488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5"/>
      <c r="B4" s="485"/>
      <c r="C4" s="485"/>
      <c r="D4" s="485"/>
      <c r="E4" s="497"/>
      <c r="F4" s="498"/>
      <c r="G4" s="231" t="s">
        <v>3</v>
      </c>
      <c r="H4" s="490" t="s">
        <v>4</v>
      </c>
      <c r="I4" s="491"/>
      <c r="J4" s="231" t="s">
        <v>3</v>
      </c>
      <c r="K4" s="490" t="s">
        <v>4</v>
      </c>
      <c r="L4" s="491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0" t="s">
        <v>77</v>
      </c>
      <c r="V4" s="491"/>
      <c r="W4" s="231" t="s">
        <v>78</v>
      </c>
      <c r="X4" s="490" t="s">
        <v>77</v>
      </c>
      <c r="Y4" s="491"/>
      <c r="Z4" s="489"/>
      <c r="AA4" s="489"/>
      <c r="AB4" s="485"/>
      <c r="AC4" s="233" t="s">
        <v>126</v>
      </c>
      <c r="AD4" s="236" t="s">
        <v>127</v>
      </c>
      <c r="AE4" s="485"/>
      <c r="AF4" s="489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bestFit="1" customWidth="1" collapsed="1"/>
    <col min="37" max="37" width="13.85546875" style="229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7" ht="15.75" customHeight="1" thickBot="1" x14ac:dyDescent="0.3"/>
    <row r="2" spans="1:37" ht="15" customHeight="1" x14ac:dyDescent="0.25">
      <c r="A2" s="484" t="s">
        <v>128</v>
      </c>
      <c r="B2" s="488" t="s">
        <v>130</v>
      </c>
      <c r="C2" s="484" t="s">
        <v>1</v>
      </c>
      <c r="D2" s="495" t="s">
        <v>81</v>
      </c>
      <c r="E2" s="496"/>
      <c r="F2" s="492" t="s">
        <v>2</v>
      </c>
      <c r="G2" s="494"/>
      <c r="H2" s="493"/>
      <c r="I2" s="492" t="s">
        <v>5</v>
      </c>
      <c r="J2" s="494"/>
      <c r="K2" s="493"/>
      <c r="L2" s="492" t="s">
        <v>8</v>
      </c>
      <c r="M2" s="493"/>
      <c r="N2" s="230" t="s">
        <v>6</v>
      </c>
      <c r="O2" s="230" t="s">
        <v>22</v>
      </c>
      <c r="P2" s="492" t="s">
        <v>79</v>
      </c>
      <c r="Q2" s="494"/>
      <c r="R2" s="493"/>
      <c r="S2" s="492" t="s">
        <v>75</v>
      </c>
      <c r="T2" s="494"/>
      <c r="U2" s="493"/>
      <c r="V2" s="492" t="s">
        <v>76</v>
      </c>
      <c r="W2" s="494"/>
      <c r="X2" s="493"/>
      <c r="Y2" s="488" t="s">
        <v>80</v>
      </c>
      <c r="Z2" s="488" t="s">
        <v>129</v>
      </c>
      <c r="AA2" s="484" t="s">
        <v>122</v>
      </c>
      <c r="AB2" s="486" t="s">
        <v>123</v>
      </c>
      <c r="AC2" s="487"/>
      <c r="AD2" s="488" t="s">
        <v>124</v>
      </c>
      <c r="AE2" s="486" t="s">
        <v>11</v>
      </c>
      <c r="AF2" s="505"/>
      <c r="AG2" s="505"/>
      <c r="AH2" s="487"/>
      <c r="AJ2" s="526" t="s">
        <v>223</v>
      </c>
    </row>
    <row r="3" spans="1:37" ht="15.75" thickBot="1" x14ac:dyDescent="0.3">
      <c r="A3" s="485"/>
      <c r="B3" s="485"/>
      <c r="C3" s="485"/>
      <c r="D3" s="497"/>
      <c r="E3" s="498"/>
      <c r="F3" s="231" t="s">
        <v>3</v>
      </c>
      <c r="G3" s="490" t="s">
        <v>4</v>
      </c>
      <c r="H3" s="491"/>
      <c r="I3" s="231" t="s">
        <v>3</v>
      </c>
      <c r="J3" s="490" t="s">
        <v>4</v>
      </c>
      <c r="K3" s="491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0" t="s">
        <v>77</v>
      </c>
      <c r="U3" s="491"/>
      <c r="V3" s="231" t="s">
        <v>78</v>
      </c>
      <c r="W3" s="490" t="s">
        <v>77</v>
      </c>
      <c r="X3" s="491"/>
      <c r="Y3" s="489"/>
      <c r="Z3" s="489"/>
      <c r="AA3" s="485"/>
      <c r="AB3" s="233" t="s">
        <v>126</v>
      </c>
      <c r="AC3" s="236" t="s">
        <v>127</v>
      </c>
      <c r="AD3" s="485"/>
      <c r="AE3" s="506"/>
      <c r="AF3" s="507"/>
      <c r="AG3" s="507"/>
      <c r="AH3" s="508"/>
      <c r="AJ3" s="271"/>
      <c r="AK3" s="271" t="s">
        <v>132</v>
      </c>
    </row>
    <row r="4" spans="1:37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2"/>
      <c r="AF4" s="503"/>
      <c r="AG4" s="503"/>
      <c r="AH4" s="504"/>
      <c r="AJ4" s="229" t="str">
        <f>IF(OR(A4="",AND(ISNUMBER(FIND("[", A4)), ISNUMBER(FIND("ALL", A4)), ISNUMBER(FIND("]", A4)))),"",MAX(AJ$3:AJ3)+1)</f>
        <v/>
      </c>
      <c r="AK4" s="229" t="str">
        <f>IFERROR(INDEX($A$4:$A$1000,MATCH(ROW()-ROW($AK$3),$AJ$4:$AJ$1000,0)),"")</f>
        <v/>
      </c>
    </row>
    <row r="5" spans="1:37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499"/>
      <c r="AF5" s="500"/>
      <c r="AG5" s="500"/>
      <c r="AH5" s="501"/>
      <c r="AJ5" s="229" t="str">
        <f>IF(OR(A5="",AND(ISNUMBER(FIND("[", A5)), ISNUMBER(FIND("ALL", A5)), ISNUMBER(FIND("]", A5)))),"",MAX(AJ$3:AJ4)+1)</f>
        <v/>
      </c>
      <c r="AK5" s="229" t="str">
        <f>IFERROR(INDEX($A$4:$A$1000,MATCH(ROW()-ROW($AK$3),$AJ$4:$AJ$1000,0)),"")</f>
        <v/>
      </c>
    </row>
    <row r="6" spans="1:37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499"/>
      <c r="AF6" s="500"/>
      <c r="AG6" s="500"/>
      <c r="AH6" s="501"/>
      <c r="AJ6" s="229" t="str">
        <f>IF(OR(A6="",AND(ISNUMBER(FIND("[", A6)), ISNUMBER(FIND("ALL", A6)), ISNUMBER(FIND("]", A6)))),"",MAX(AJ$3:AJ5)+1)</f>
        <v/>
      </c>
      <c r="AK6" s="229" t="str">
        <f>IFERROR(INDEX($A$4:$A$1000,MATCH(ROW()-ROW($AK$3),$AJ$4:$AJ$1000,0)),"")</f>
        <v/>
      </c>
    </row>
    <row r="7" spans="1:37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499"/>
      <c r="AF7" s="500"/>
      <c r="AG7" s="500"/>
      <c r="AH7" s="501"/>
      <c r="AJ7" s="229" t="str">
        <f>IF(OR(A7="",AND(ISNUMBER(FIND("[", A7)), ISNUMBER(FIND("ALL", A7)), ISNUMBER(FIND("]", A7)))),"",MAX(AJ$3:AJ6)+1)</f>
        <v/>
      </c>
      <c r="AK7" s="229" t="str">
        <f>IFERROR(INDEX($A$4:$A$1000,MATCH(ROW()-ROW($AK$3),$AJ$4:$AJ$1000,0)),"")</f>
        <v/>
      </c>
    </row>
    <row r="8" spans="1:37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499"/>
      <c r="AF8" s="500"/>
      <c r="AG8" s="500"/>
      <c r="AH8" s="501"/>
      <c r="AJ8" s="229" t="str">
        <f>IF(OR(A8="",AND(ISNUMBER(FIND("[", A8)), ISNUMBER(FIND("ALL", A8)), ISNUMBER(FIND("]", A8)))),"",MAX(AJ$3:AJ7)+1)</f>
        <v/>
      </c>
      <c r="AK8" s="229" t="str">
        <f>IFERROR(INDEX($A$4:$A$1000,MATCH(ROW()-ROW($AK$3),$AJ$4:$AJ$1000,0)),"")</f>
        <v/>
      </c>
    </row>
    <row r="9" spans="1:37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499"/>
      <c r="AF9" s="500"/>
      <c r="AG9" s="500"/>
      <c r="AH9" s="501"/>
      <c r="AJ9" s="229" t="str">
        <f>IF(OR(A9="",AND(ISNUMBER(FIND("[", A9)), ISNUMBER(FIND("ALL", A9)), ISNUMBER(FIND("]", A9)))),"",MAX(AJ$3:AJ8)+1)</f>
        <v/>
      </c>
      <c r="AK9" s="229" t="str">
        <f>IFERROR(INDEX($A$4:$A$1000,MATCH(ROW()-ROW($AK$3),$AJ$4:$AJ$1000,0)),"")</f>
        <v/>
      </c>
    </row>
    <row r="10" spans="1:37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499"/>
      <c r="AF10" s="500"/>
      <c r="AG10" s="500"/>
      <c r="AH10" s="501"/>
      <c r="AJ10" s="229" t="str">
        <f>IF(OR(A10="",AND(ISNUMBER(FIND("[", A10)), ISNUMBER(FIND("ALL", A10)), ISNUMBER(FIND("]", A10)))),"",MAX(AJ$3:AJ9)+1)</f>
        <v/>
      </c>
      <c r="AK10" s="229" t="str">
        <f>IFERROR(INDEX($A$4:$A$1000,MATCH(ROW()-ROW($AK$3),$AJ$4:$AJ$1000,0)),"")</f>
        <v/>
      </c>
    </row>
    <row r="11" spans="1:37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499"/>
      <c r="AF11" s="500"/>
      <c r="AG11" s="500"/>
      <c r="AH11" s="501"/>
      <c r="AJ11" s="229" t="str">
        <f>IF(OR(A11="",AND(ISNUMBER(FIND("[", A11)), ISNUMBER(FIND("ALL", A11)), ISNUMBER(FIND("]", A11)))),"",MAX(AJ$3:AJ10)+1)</f>
        <v/>
      </c>
      <c r="AK11" s="229" t="str">
        <f>IFERROR(INDEX($A$4:$A$1000,MATCH(ROW()-ROW($AK$3),$AJ$4:$AJ$1000,0)),"")</f>
        <v/>
      </c>
    </row>
    <row r="12" spans="1:37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499"/>
      <c r="AF12" s="500"/>
      <c r="AG12" s="500"/>
      <c r="AH12" s="501"/>
      <c r="AJ12" s="229" t="str">
        <f>IF(OR(A12="",AND(ISNUMBER(FIND("[", A12)), ISNUMBER(FIND("ALL", A12)), ISNUMBER(FIND("]", A12)))),"",MAX(AJ$3:AJ11)+1)</f>
        <v/>
      </c>
      <c r="AK12" s="229" t="str">
        <f>IFERROR(INDEX($A$4:$A$1000,MATCH(ROW()-ROW($AK$3),$AJ$4:$AJ$1000,0)),"")</f>
        <v/>
      </c>
    </row>
    <row r="13" spans="1:37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499"/>
      <c r="AF13" s="500"/>
      <c r="AG13" s="500"/>
      <c r="AH13" s="501"/>
      <c r="AJ13" s="229" t="str">
        <f>IF(OR(A13="",AND(ISNUMBER(FIND("[", A13)), ISNUMBER(FIND("ALL", A13)), ISNUMBER(FIND("]", A13)))),"",MAX(AJ$3:AJ12)+1)</f>
        <v/>
      </c>
      <c r="AK13" s="229" t="str">
        <f>IFERROR(INDEX($A$4:$A$1000,MATCH(ROW()-ROW($AK$3),$AJ$4:$AJ$1000,0)),"")</f>
        <v/>
      </c>
    </row>
    <row r="14" spans="1:37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499"/>
      <c r="AF14" s="500"/>
      <c r="AG14" s="500"/>
      <c r="AH14" s="501"/>
      <c r="AJ14" s="229" t="str">
        <f>IF(OR(A14="",AND(ISNUMBER(FIND("[", A14)), ISNUMBER(FIND("ALL", A14)), ISNUMBER(FIND("]", A14)))),"",MAX(AJ$3:AJ13)+1)</f>
        <v/>
      </c>
      <c r="AK14" s="229" t="str">
        <f>IFERROR(INDEX($A$4:$A$1000,MATCH(ROW()-ROW($AK$3),$AJ$4:$AJ$1000,0)),"")</f>
        <v/>
      </c>
    </row>
    <row r="15" spans="1:37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499"/>
      <c r="AF15" s="500"/>
      <c r="AG15" s="500"/>
      <c r="AH15" s="501"/>
      <c r="AJ15" s="229" t="str">
        <f>IF(OR(A15="",AND(ISNUMBER(FIND("[", A15)), ISNUMBER(FIND("ALL", A15)), ISNUMBER(FIND("]", A15)))),"",MAX(AJ$3:AJ14)+1)</f>
        <v/>
      </c>
      <c r="AK15" s="229" t="str">
        <f>IFERROR(INDEX($A$4:$A$1000,MATCH(ROW()-ROW($AK$3),$AJ$4:$AJ$1000,0)),"")</f>
        <v/>
      </c>
    </row>
    <row r="16" spans="1:37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499"/>
      <c r="AF16" s="500"/>
      <c r="AG16" s="500"/>
      <c r="AH16" s="501"/>
      <c r="AJ16" s="229" t="str">
        <f>IF(OR(A16="",AND(ISNUMBER(FIND("[", A16)), ISNUMBER(FIND("ALL", A16)), ISNUMBER(FIND("]", A16)))),"",MAX(AJ$3:AJ15)+1)</f>
        <v/>
      </c>
      <c r="AK16" s="229" t="str">
        <f>IFERROR(INDEX($A$4:$A$1000,MATCH(ROW()-ROW($AK$3),$AJ$4:$AJ$1000,0)),"")</f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499"/>
      <c r="AF17" s="500"/>
      <c r="AG17" s="500"/>
      <c r="AH17" s="501"/>
      <c r="AJ17" s="229" t="str">
        <f>IF(OR(A17="",AND(ISNUMBER(FIND("[", A17)), ISNUMBER(FIND("ALL", A17)), ISNUMBER(FIND("]", A17)))),"",MAX(AJ$3:AJ16)+1)</f>
        <v/>
      </c>
      <c r="AK17" s="229" t="str">
        <f>IFERROR(INDEX($A$4:$A$1000,MATCH(ROW()-ROW($AK$3),$AJ$4:$AJ$1000,0)),"")</f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499"/>
      <c r="AF18" s="500"/>
      <c r="AG18" s="500"/>
      <c r="AH18" s="501"/>
      <c r="AJ18" s="229" t="str">
        <f>IF(OR(A18="",AND(ISNUMBER(FIND("[", A18)), ISNUMBER(FIND("ALL", A18)), ISNUMBER(FIND("]", A18)))),"",MAX(AJ$3:AJ17)+1)</f>
        <v/>
      </c>
      <c r="AK18" s="229" t="str">
        <f>IFERROR(INDEX($A$4:$A$1000,MATCH(ROW()-ROW($AK$3),$AJ$4:$AJ$1000,0)),"")</f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499"/>
      <c r="AF19" s="500"/>
      <c r="AG19" s="500"/>
      <c r="AH19" s="501"/>
      <c r="AJ19" s="229" t="str">
        <f>IF(OR(A19="",AND(ISNUMBER(FIND("[", A19)), ISNUMBER(FIND("ALL", A19)), ISNUMBER(FIND("]", A19)))),"",MAX(AJ$3:AJ18)+1)</f>
        <v/>
      </c>
      <c r="AK19" s="229" t="str">
        <f>IFERROR(INDEX($A$4:$A$1000,MATCH(ROW()-ROW($AK$3),$AJ$4:$AJ$1000,0)),"")</f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499"/>
      <c r="AF20" s="500"/>
      <c r="AG20" s="500"/>
      <c r="AH20" s="501"/>
      <c r="AJ20" s="229" t="str">
        <f>IF(OR(A20="",AND(ISNUMBER(FIND("[", A20)), ISNUMBER(FIND("ALL", A20)), ISNUMBER(FIND("]", A20)))),"",MAX(AJ$3:AJ19)+1)</f>
        <v/>
      </c>
      <c r="AK20" s="229" t="str">
        <f>IFERROR(INDEX($A$4:$A$1000,MATCH(ROW()-ROW($AK$3),$AJ$4:$AJ$1000,0)),"")</f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499"/>
      <c r="AF21" s="500"/>
      <c r="AG21" s="500"/>
      <c r="AH21" s="501"/>
      <c r="AJ21" s="229" t="str">
        <f>IF(OR(A21="",AND(ISNUMBER(FIND("[", A21)), ISNUMBER(FIND("ALL", A21)), ISNUMBER(FIND("]", A21)))),"",MAX(AJ$3:AJ20)+1)</f>
        <v/>
      </c>
      <c r="AK21" s="229" t="str">
        <f>IFERROR(INDEX($A$4:$A$1000,MATCH(ROW()-ROW($AK$3),$AJ$4:$AJ$1000,0)),"")</f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499"/>
      <c r="AF22" s="500"/>
      <c r="AG22" s="500"/>
      <c r="AH22" s="501"/>
      <c r="AJ22" s="229" t="str">
        <f>IF(OR(A22="",AND(ISNUMBER(FIND("[", A22)), ISNUMBER(FIND("ALL", A22)), ISNUMBER(FIND("]", A22)))),"",MAX(AJ$3:AJ21)+1)</f>
        <v/>
      </c>
      <c r="AK22" s="229" t="str">
        <f>IFERROR(INDEX($A$4:$A$1000,MATCH(ROW()-ROW($AK$3),$AJ$4:$AJ$1000,0)),"")</f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499"/>
      <c r="AF23" s="500"/>
      <c r="AG23" s="500"/>
      <c r="AH23" s="501"/>
      <c r="AJ23" s="229" t="str">
        <f>IF(OR(A23="",AND(ISNUMBER(FIND("[", A23)), ISNUMBER(FIND("ALL", A23)), ISNUMBER(FIND("]", A23)))),"",MAX(AJ$3:AJ22)+1)</f>
        <v/>
      </c>
      <c r="AK23" s="229" t="str">
        <f>IFERROR(INDEX($A$4:$A$1000,MATCH(ROW()-ROW($AK$3),$AJ$4:$AJ$1000,0)),"")</f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499"/>
      <c r="AF24" s="500"/>
      <c r="AG24" s="500"/>
      <c r="AH24" s="501"/>
      <c r="AJ24" s="229" t="str">
        <f>IF(OR(A24="",AND(ISNUMBER(FIND("[", A24)), ISNUMBER(FIND("ALL", A24)), ISNUMBER(FIND("]", A24)))),"",MAX(AJ$3:AJ23)+1)</f>
        <v/>
      </c>
      <c r="AK24" s="229" t="str">
        <f>IFERROR(INDEX($A$4:$A$1000,MATCH(ROW()-ROW($AK$3),$AJ$4:$AJ$1000,0)),"")</f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499"/>
      <c r="AF25" s="500"/>
      <c r="AG25" s="500"/>
      <c r="AH25" s="501"/>
      <c r="AJ25" s="229" t="str">
        <f>IF(OR(A25="",AND(ISNUMBER(FIND("[", A25)), ISNUMBER(FIND("ALL", A25)), ISNUMBER(FIND("]", A25)))),"",MAX(AJ$3:AJ24)+1)</f>
        <v/>
      </c>
      <c r="AK25" s="229" t="str">
        <f>IFERROR(INDEX($A$4:$A$1000,MATCH(ROW()-ROW($AK$3),$AJ$4:$AJ$1000,0)),"")</f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499"/>
      <c r="AF26" s="500"/>
      <c r="AG26" s="500"/>
      <c r="AH26" s="501"/>
      <c r="AJ26" s="229" t="str">
        <f>IF(OR(A26="",AND(ISNUMBER(FIND("[", A26)), ISNUMBER(FIND("ALL", A26)), ISNUMBER(FIND("]", A26)))),"",MAX(AJ$3:AJ25)+1)</f>
        <v/>
      </c>
      <c r="AK26" s="229" t="str">
        <f>IFERROR(INDEX($A$4:$A$1000,MATCH(ROW()-ROW($AK$3),$AJ$4:$AJ$1000,0)),"")</f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499"/>
      <c r="AF27" s="500"/>
      <c r="AG27" s="500"/>
      <c r="AH27" s="501"/>
      <c r="AJ27" s="229" t="str">
        <f>IF(OR(A27="",AND(ISNUMBER(FIND("[", A27)), ISNUMBER(FIND("ALL", A27)), ISNUMBER(FIND("]", A27)))),"",MAX(AJ$3:AJ26)+1)</f>
        <v/>
      </c>
      <c r="AK27" s="229" t="str">
        <f>IFERROR(INDEX($A$4:$A$1000,MATCH(ROW()-ROW($AK$3),$AJ$4:$AJ$1000,0)),"")</f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499"/>
      <c r="AF28" s="500"/>
      <c r="AG28" s="500"/>
      <c r="AH28" s="501"/>
      <c r="AJ28" s="229" t="str">
        <f>IF(OR(A28="",AND(ISNUMBER(FIND("[", A28)), ISNUMBER(FIND("ALL", A28)), ISNUMBER(FIND("]", A28)))),"",MAX(AJ$3:AJ27)+1)</f>
        <v/>
      </c>
      <c r="AK28" s="229" t="str">
        <f>IFERROR(INDEX($A$4:$A$1000,MATCH(ROW()-ROW($AK$3),$AJ$4:$AJ$1000,0)),"")</f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499"/>
      <c r="AF29" s="500"/>
      <c r="AG29" s="500"/>
      <c r="AH29" s="501"/>
      <c r="AJ29" s="229" t="str">
        <f>IF(OR(A29="",AND(ISNUMBER(FIND("[", A29)), ISNUMBER(FIND("ALL", A29)), ISNUMBER(FIND("]", A29)))),"",MAX(AJ$3:AJ28)+1)</f>
        <v/>
      </c>
      <c r="AK29" s="229" t="str">
        <f>IFERROR(INDEX($A$4:$A$1000,MATCH(ROW()-ROW($AK$3),$AJ$4:$AJ$1000,0)),"")</f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499"/>
      <c r="AF30" s="500"/>
      <c r="AG30" s="500"/>
      <c r="AH30" s="501"/>
      <c r="AJ30" s="229" t="str">
        <f>IF(OR(A30="",AND(ISNUMBER(FIND("[", A30)), ISNUMBER(FIND("ALL", A30)), ISNUMBER(FIND("]", A30)))),"",MAX(AJ$3:AJ29)+1)</f>
        <v/>
      </c>
      <c r="AK30" s="229" t="str">
        <f>IFERROR(INDEX($A$4:$A$1000,MATCH(ROW()-ROW($AK$3),$AJ$4:$AJ$1000,0)),"")</f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499"/>
      <c r="AF31" s="500"/>
      <c r="AG31" s="500"/>
      <c r="AH31" s="501"/>
      <c r="AJ31" s="229" t="str">
        <f>IF(OR(A31="",AND(ISNUMBER(FIND("[", A31)), ISNUMBER(FIND("ALL", A31)), ISNUMBER(FIND("]", A31)))),"",MAX(AJ$3:AJ30)+1)</f>
        <v/>
      </c>
      <c r="AK31" s="229" t="str">
        <f>IFERROR(INDEX($A$4:$A$1000,MATCH(ROW()-ROW($AK$3),$AJ$4:$AJ$1000,0)),"")</f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499"/>
      <c r="AF32" s="500"/>
      <c r="AG32" s="500"/>
      <c r="AH32" s="501"/>
      <c r="AJ32" s="229" t="str">
        <f>IF(OR(A32="",AND(ISNUMBER(FIND("[", A32)), ISNUMBER(FIND("ALL", A32)), ISNUMBER(FIND("]", A32)))),"",MAX(AJ$3:AJ31)+1)</f>
        <v/>
      </c>
      <c r="AK32" s="229" t="str">
        <f>IFERROR(INDEX($A$4:$A$1000,MATCH(ROW()-ROW($AK$3),$AJ$4:$AJ$1000,0)),"")</f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499"/>
      <c r="AF33" s="500"/>
      <c r="AG33" s="500"/>
      <c r="AH33" s="501"/>
      <c r="AJ33" s="229" t="str">
        <f>IF(OR(A33="",AND(ISNUMBER(FIND("[", A33)), ISNUMBER(FIND("ALL", A33)), ISNUMBER(FIND("]", A33)))),"",MAX(AJ$3:AJ32)+1)</f>
        <v/>
      </c>
      <c r="AK33" s="229" t="str">
        <f>IFERROR(INDEX($A$4:$A$1000,MATCH(ROW()-ROW($AK$3),$AJ$4:$AJ$1000,0)),"")</f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499"/>
      <c r="AF34" s="500"/>
      <c r="AG34" s="500"/>
      <c r="AH34" s="501"/>
      <c r="AJ34" s="229" t="str">
        <f>IF(OR(A34="",AND(ISNUMBER(FIND("[", A34)), ISNUMBER(FIND("ALL", A34)), ISNUMBER(FIND("]", A34)))),"",MAX(AJ$3:AJ33)+1)</f>
        <v/>
      </c>
      <c r="AK34" s="229" t="str">
        <f>IFERROR(INDEX($A$4:$A$1000,MATCH(ROW()-ROW($AK$3),$AJ$4:$AJ$1000,0)),"")</f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499"/>
      <c r="AF35" s="500"/>
      <c r="AG35" s="500"/>
      <c r="AH35" s="501"/>
      <c r="AJ35" s="229" t="str">
        <f>IF(OR(A35="",AND(ISNUMBER(FIND("[", A35)), ISNUMBER(FIND("ALL", A35)), ISNUMBER(FIND("]", A35)))),"",MAX(AJ$3:AJ34)+1)</f>
        <v/>
      </c>
      <c r="AK35" s="229" t="str">
        <f>IFERROR(INDEX($A$4:$A$1000,MATCH(ROW()-ROW($AK$3),$AJ$4:$AJ$1000,0)),"")</f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499"/>
      <c r="AF36" s="500"/>
      <c r="AG36" s="500"/>
      <c r="AH36" s="501"/>
      <c r="AJ36" s="229" t="str">
        <f>IF(OR(A36="",AND(ISNUMBER(FIND("[", A36)), ISNUMBER(FIND("ALL", A36)), ISNUMBER(FIND("]", A36)))),"",MAX(AJ$3:AJ35)+1)</f>
        <v/>
      </c>
      <c r="AK36" s="229" t="str">
        <f>IFERROR(INDEX($A$4:$A$1000,MATCH(ROW()-ROW($AK$3),$AJ$4:$AJ$1000,0)),"")</f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499"/>
      <c r="AF37" s="500"/>
      <c r="AG37" s="500"/>
      <c r="AH37" s="501"/>
      <c r="AJ37" s="229" t="str">
        <f>IF(OR(A37="",AND(ISNUMBER(FIND("[", A37)), ISNUMBER(FIND("ALL", A37)), ISNUMBER(FIND("]", A37)))),"",MAX(AJ$3:AJ36)+1)</f>
        <v/>
      </c>
      <c r="AK37" s="229" t="str">
        <f>IFERROR(INDEX($A$4:$A$1000,MATCH(ROW()-ROW($AK$3),$AJ$4:$AJ$1000,0)),"")</f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499"/>
      <c r="AF38" s="500"/>
      <c r="AG38" s="500"/>
      <c r="AH38" s="501"/>
      <c r="AJ38" s="229" t="str">
        <f>IF(OR(A38="",AND(ISNUMBER(FIND("[", A38)), ISNUMBER(FIND("ALL", A38)), ISNUMBER(FIND("]", A38)))),"",MAX(AJ$3:AJ37)+1)</f>
        <v/>
      </c>
      <c r="AK38" s="229" t="str">
        <f>IFERROR(INDEX($A$4:$A$1000,MATCH(ROW()-ROW($AK$3),$AJ$4:$AJ$1000,0)),"")</f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499"/>
      <c r="AF39" s="500"/>
      <c r="AG39" s="500"/>
      <c r="AH39" s="501"/>
      <c r="AJ39" s="229" t="str">
        <f>IF(OR(A39="",AND(ISNUMBER(FIND("[", A39)), ISNUMBER(FIND("ALL", A39)), ISNUMBER(FIND("]", A39)))),"",MAX(AJ$3:AJ38)+1)</f>
        <v/>
      </c>
      <c r="AK39" s="229" t="str">
        <f>IFERROR(INDEX($A$4:$A$1000,MATCH(ROW()-ROW($AK$3),$AJ$4:$AJ$1000,0)),"")</f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499"/>
      <c r="AF40" s="500"/>
      <c r="AG40" s="500"/>
      <c r="AH40" s="501"/>
      <c r="AJ40" s="229" t="str">
        <f>IF(OR(A40="",AND(ISNUMBER(FIND("[", A40)), ISNUMBER(FIND("ALL", A40)), ISNUMBER(FIND("]", A40)))),"",MAX(AJ$3:AJ39)+1)</f>
        <v/>
      </c>
      <c r="AK40" s="229" t="str">
        <f>IFERROR(INDEX($A$4:$A$1000,MATCH(ROW()-ROW($AK$3),$AJ$4:$AJ$1000,0)),"")</f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499"/>
      <c r="AF41" s="500"/>
      <c r="AG41" s="500"/>
      <c r="AH41" s="501"/>
      <c r="AJ41" s="229" t="str">
        <f>IF(OR(A41="",AND(ISNUMBER(FIND("[", A41)), ISNUMBER(FIND("ALL", A41)), ISNUMBER(FIND("]", A41)))),"",MAX(AJ$3:AJ40)+1)</f>
        <v/>
      </c>
      <c r="AK41" s="229" t="str">
        <f>IFERROR(INDEX($A$4:$A$1000,MATCH(ROW()-ROW($AK$3),$AJ$4:$AJ$1000,0)),"")</f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499"/>
      <c r="AF42" s="500"/>
      <c r="AG42" s="500"/>
      <c r="AH42" s="501"/>
      <c r="AJ42" s="229" t="str">
        <f>IF(OR(A42="",AND(ISNUMBER(FIND("[", A42)), ISNUMBER(FIND("ALL", A42)), ISNUMBER(FIND("]", A42)))),"",MAX(AJ$3:AJ41)+1)</f>
        <v/>
      </c>
      <c r="AK42" s="229" t="str">
        <f>IFERROR(INDEX($A$4:$A$1000,MATCH(ROW()-ROW($AK$3),$AJ$4:$AJ$1000,0)),"")</f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499"/>
      <c r="AF43" s="500"/>
      <c r="AG43" s="500"/>
      <c r="AH43" s="501"/>
      <c r="AJ43" s="229" t="str">
        <f>IF(OR(A43="",AND(ISNUMBER(FIND("[", A43)), ISNUMBER(FIND("ALL", A43)), ISNUMBER(FIND("]", A43)))),"",MAX(AJ$3:AJ42)+1)</f>
        <v/>
      </c>
      <c r="AK43" s="229" t="str">
        <f>IFERROR(INDEX($A$4:$A$1000,MATCH(ROW()-ROW($AK$3),$AJ$4:$AJ$1000,0)),"")</f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499"/>
      <c r="AF44" s="500"/>
      <c r="AG44" s="500"/>
      <c r="AH44" s="501"/>
      <c r="AJ44" s="229" t="str">
        <f>IF(OR(A44="",AND(ISNUMBER(FIND("[", A44)), ISNUMBER(FIND("ALL", A44)), ISNUMBER(FIND("]", A44)))),"",MAX(AJ$3:AJ43)+1)</f>
        <v/>
      </c>
      <c r="AK44" s="229" t="str">
        <f>IFERROR(INDEX($A$4:$A$1000,MATCH(ROW()-ROW($AK$3),$AJ$4:$AJ$1000,0)),"")</f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499"/>
      <c r="AF45" s="500"/>
      <c r="AG45" s="500"/>
      <c r="AH45" s="501"/>
      <c r="AJ45" s="229" t="str">
        <f>IF(OR(A45="",AND(ISNUMBER(FIND("[", A45)), ISNUMBER(FIND("ALL", A45)), ISNUMBER(FIND("]", A45)))),"",MAX(AJ$3:AJ44)+1)</f>
        <v/>
      </c>
      <c r="AK45" s="229" t="str">
        <f>IFERROR(INDEX($A$4:$A$1000,MATCH(ROW()-ROW($AK$3),$AJ$4:$AJ$1000,0)),"")</f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499"/>
      <c r="AF46" s="500"/>
      <c r="AG46" s="500"/>
      <c r="AH46" s="501"/>
      <c r="AJ46" s="229" t="str">
        <f>IF(OR(A46="",AND(ISNUMBER(FIND("[", A46)), ISNUMBER(FIND("ALL", A46)), ISNUMBER(FIND("]", A46)))),"",MAX(AJ$3:AJ45)+1)</f>
        <v/>
      </c>
      <c r="AK46" s="229" t="str">
        <f>IFERROR(INDEX($A$4:$A$1000,MATCH(ROW()-ROW($AK$3),$AJ$4:$AJ$1000,0)),"")</f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499"/>
      <c r="AF47" s="500"/>
      <c r="AG47" s="500"/>
      <c r="AH47" s="501"/>
      <c r="AJ47" s="229" t="str">
        <f>IF(OR(A47="",AND(ISNUMBER(FIND("[", A47)), ISNUMBER(FIND("ALL", A47)), ISNUMBER(FIND("]", A47)))),"",MAX(AJ$3:AJ46)+1)</f>
        <v/>
      </c>
      <c r="AK47" s="229" t="str">
        <f>IFERROR(INDEX($A$4:$A$1000,MATCH(ROW()-ROW($AK$3),$AJ$4:$AJ$1000,0)),"")</f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499"/>
      <c r="AF48" s="500"/>
      <c r="AG48" s="500"/>
      <c r="AH48" s="501"/>
      <c r="AJ48" s="229" t="str">
        <f>IF(OR(A48="",AND(ISNUMBER(FIND("[", A48)), ISNUMBER(FIND("ALL", A48)), ISNUMBER(FIND("]", A48)))),"",MAX(AJ$3:AJ47)+1)</f>
        <v/>
      </c>
      <c r="AK48" s="229" t="str">
        <f>IFERROR(INDEX($A$4:$A$1000,MATCH(ROW()-ROW($AK$3),$AJ$4:$AJ$1000,0)),"")</f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499"/>
      <c r="AF49" s="500"/>
      <c r="AG49" s="500"/>
      <c r="AH49" s="501"/>
      <c r="AJ49" s="229" t="str">
        <f>IF(OR(A49="",AND(ISNUMBER(FIND("[", A49)), ISNUMBER(FIND("ALL", A49)), ISNUMBER(FIND("]", A49)))),"",MAX(AJ$3:AJ48)+1)</f>
        <v/>
      </c>
      <c r="AK49" s="229" t="str">
        <f>IFERROR(INDEX($A$4:$A$1000,MATCH(ROW()-ROW($AK$3),$AJ$4:$AJ$1000,0)),"")</f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499"/>
      <c r="AF50" s="500"/>
      <c r="AG50" s="500"/>
      <c r="AH50" s="501"/>
      <c r="AJ50" s="229" t="str">
        <f>IF(OR(A50="",AND(ISNUMBER(FIND("[", A50)), ISNUMBER(FIND("ALL", A50)), ISNUMBER(FIND("]", A50)))),"",MAX(AJ$3:AJ49)+1)</f>
        <v/>
      </c>
      <c r="AK50" s="229" t="str">
        <f>IFERROR(INDEX($A$4:$A$1000,MATCH(ROW()-ROW($AK$3),$AJ$4:$AJ$1000,0)),"")</f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499"/>
      <c r="AF51" s="500"/>
      <c r="AG51" s="500"/>
      <c r="AH51" s="501"/>
      <c r="AJ51" s="229" t="str">
        <f>IF(OR(A51="",AND(ISNUMBER(FIND("[", A51)), ISNUMBER(FIND("ALL", A51)), ISNUMBER(FIND("]", A51)))),"",MAX(AJ$3:AJ50)+1)</f>
        <v/>
      </c>
      <c r="AK51" s="229" t="str">
        <f>IFERROR(INDEX($A$4:$A$1000,MATCH(ROW()-ROW($AK$3),$AJ$4:$AJ$1000,0)),"")</f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499"/>
      <c r="AF52" s="500"/>
      <c r="AG52" s="500"/>
      <c r="AH52" s="501"/>
      <c r="AJ52" s="229" t="str">
        <f>IF(OR(A52="",AND(ISNUMBER(FIND("[", A52)), ISNUMBER(FIND("ALL", A52)), ISNUMBER(FIND("]", A52)))),"",MAX(AJ$3:AJ51)+1)</f>
        <v/>
      </c>
      <c r="AK52" s="229" t="str">
        <f>IFERROR(INDEX($A$4:$A$1000,MATCH(ROW()-ROW($AK$3),$AJ$4:$AJ$1000,0)),"")</f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499"/>
      <c r="AF53" s="500"/>
      <c r="AG53" s="500"/>
      <c r="AH53" s="501"/>
      <c r="AJ53" s="229" t="str">
        <f>IF(OR(A53="",AND(ISNUMBER(FIND("[", A53)), ISNUMBER(FIND("ALL", A53)), ISNUMBER(FIND("]", A53)))),"",MAX(AJ$3:AJ52)+1)</f>
        <v/>
      </c>
      <c r="AK53" s="229" t="str">
        <f>IFERROR(INDEX($A$4:$A$1000,MATCH(ROW()-ROW($AK$3),$AJ$4:$AJ$1000,0)),"")</f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499"/>
      <c r="AF54" s="500"/>
      <c r="AG54" s="500"/>
      <c r="AH54" s="501"/>
      <c r="AJ54" s="229" t="str">
        <f>IF(OR(A54="",AND(ISNUMBER(FIND("[", A54)), ISNUMBER(FIND("ALL", A54)), ISNUMBER(FIND("]", A54)))),"",MAX(AJ$3:AJ53)+1)</f>
        <v/>
      </c>
      <c r="AK54" s="229" t="str">
        <f>IFERROR(INDEX($A$4:$A$1000,MATCH(ROW()-ROW($AK$3),$AJ$4:$AJ$1000,0)),"")</f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499"/>
      <c r="AF55" s="500"/>
      <c r="AG55" s="500"/>
      <c r="AH55" s="501"/>
      <c r="AJ55" s="229" t="str">
        <f>IF(OR(A55="",AND(ISNUMBER(FIND("[", A55)), ISNUMBER(FIND("ALL", A55)), ISNUMBER(FIND("]", A55)))),"",MAX(AJ$3:AJ54)+1)</f>
        <v/>
      </c>
      <c r="AK55" s="229" t="str">
        <f>IFERROR(INDEX($A$4:$A$1000,MATCH(ROW()-ROW($AK$3),$AJ$4:$AJ$1000,0)),"")</f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499"/>
      <c r="AF56" s="500"/>
      <c r="AG56" s="500"/>
      <c r="AH56" s="501"/>
      <c r="AJ56" s="229" t="str">
        <f>IF(OR(A56="",AND(ISNUMBER(FIND("[", A56)), ISNUMBER(FIND("ALL", A56)), ISNUMBER(FIND("]", A56)))),"",MAX(AJ$3:AJ55)+1)</f>
        <v/>
      </c>
      <c r="AK56" s="229" t="str">
        <f>IFERROR(INDEX($A$4:$A$1000,MATCH(ROW()-ROW($AK$3),$AJ$4:$AJ$1000,0)),"")</f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499"/>
      <c r="AF57" s="500"/>
      <c r="AG57" s="500"/>
      <c r="AH57" s="501"/>
      <c r="AJ57" s="229" t="str">
        <f>IF(OR(A57="",AND(ISNUMBER(FIND("[", A57)), ISNUMBER(FIND("ALL", A57)), ISNUMBER(FIND("]", A57)))),"",MAX(AJ$3:AJ56)+1)</f>
        <v/>
      </c>
      <c r="AK57" s="229" t="str">
        <f>IFERROR(INDEX($A$4:$A$1000,MATCH(ROW()-ROW($AK$3),$AJ$4:$AJ$1000,0)),"")</f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499"/>
      <c r="AF58" s="500"/>
      <c r="AG58" s="500"/>
      <c r="AH58" s="501"/>
      <c r="AJ58" s="229" t="str">
        <f>IF(OR(A58="",AND(ISNUMBER(FIND("[", A58)), ISNUMBER(FIND("ALL", A58)), ISNUMBER(FIND("]", A58)))),"",MAX(AJ$3:AJ57)+1)</f>
        <v/>
      </c>
      <c r="AK58" s="229" t="str">
        <f>IFERROR(INDEX($A$4:$A$1000,MATCH(ROW()-ROW($AK$3),$AJ$4:$AJ$1000,0)),"")</f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499"/>
      <c r="AF59" s="500"/>
      <c r="AG59" s="500"/>
      <c r="AH59" s="501"/>
      <c r="AJ59" s="229" t="str">
        <f>IF(OR(A59="",AND(ISNUMBER(FIND("[", A59)), ISNUMBER(FIND("ALL", A59)), ISNUMBER(FIND("]", A59)))),"",MAX(AJ$3:AJ58)+1)</f>
        <v/>
      </c>
      <c r="AK59" s="229" t="str">
        <f>IFERROR(INDEX($A$4:$A$1000,MATCH(ROW()-ROW($AK$3),$AJ$4:$AJ$1000,0)),"")</f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499"/>
      <c r="AF60" s="500"/>
      <c r="AG60" s="500"/>
      <c r="AH60" s="501"/>
      <c r="AJ60" s="229" t="str">
        <f>IF(OR(A60="",AND(ISNUMBER(FIND("[", A60)), ISNUMBER(FIND("ALL", A60)), ISNUMBER(FIND("]", A60)))),"",MAX(AJ$3:AJ59)+1)</f>
        <v/>
      </c>
      <c r="AK60" s="229" t="str">
        <f>IFERROR(INDEX($A$4:$A$1000,MATCH(ROW()-ROW($AK$3),$AJ$4:$AJ$1000,0)),"")</f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499"/>
      <c r="AF61" s="500"/>
      <c r="AG61" s="500"/>
      <c r="AH61" s="501"/>
      <c r="AJ61" s="229" t="str">
        <f>IF(OR(A61="",AND(ISNUMBER(FIND("[", A61)), ISNUMBER(FIND("ALL", A61)), ISNUMBER(FIND("]", A61)))),"",MAX(AJ$3:AJ60)+1)</f>
        <v/>
      </c>
      <c r="AK61" s="229" t="str">
        <f>IFERROR(INDEX($A$4:$A$1000,MATCH(ROW()-ROW($AK$3),$AJ$4:$AJ$1000,0)),"")</f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499"/>
      <c r="AF62" s="500"/>
      <c r="AG62" s="500"/>
      <c r="AH62" s="501"/>
      <c r="AJ62" s="229" t="str">
        <f>IF(OR(A62="",AND(ISNUMBER(FIND("[", A62)), ISNUMBER(FIND("ALL", A62)), ISNUMBER(FIND("]", A62)))),"",MAX(AJ$3:AJ61)+1)</f>
        <v/>
      </c>
      <c r="AK62" s="229" t="str">
        <f>IFERROR(INDEX($A$4:$A$1000,MATCH(ROW()-ROW($AK$3),$AJ$4:$AJ$1000,0)),"")</f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499"/>
      <c r="AF63" s="500"/>
      <c r="AG63" s="500"/>
      <c r="AH63" s="501"/>
      <c r="AJ63" s="229" t="str">
        <f>IF(OR(A63="",AND(ISNUMBER(FIND("[", A63)), ISNUMBER(FIND("ALL", A63)), ISNUMBER(FIND("]", A63)))),"",MAX(AJ$3:AJ62)+1)</f>
        <v/>
      </c>
      <c r="AK63" s="229" t="str">
        <f>IFERROR(INDEX($A$4:$A$1000,MATCH(ROW()-ROW($AK$3),$AJ$4:$AJ$1000,0)),"")</f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499"/>
      <c r="AF64" s="500"/>
      <c r="AG64" s="500"/>
      <c r="AH64" s="501"/>
      <c r="AJ64" s="229" t="str">
        <f>IF(OR(A64="",AND(ISNUMBER(FIND("[", A64)), ISNUMBER(FIND("ALL", A64)), ISNUMBER(FIND("]", A64)))),"",MAX(AJ$3:AJ63)+1)</f>
        <v/>
      </c>
      <c r="AK64" s="229" t="str">
        <f>IFERROR(INDEX($A$4:$A$1000,MATCH(ROW()-ROW($AK$3),$AJ$4:$AJ$1000,0)),"")</f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499"/>
      <c r="AF65" s="500"/>
      <c r="AG65" s="500"/>
      <c r="AH65" s="501"/>
      <c r="AJ65" s="229" t="str">
        <f>IF(OR(A65="",AND(ISNUMBER(FIND("[", A65)), ISNUMBER(FIND("ALL", A65)), ISNUMBER(FIND("]", A65)))),"",MAX(AJ$3:AJ64)+1)</f>
        <v/>
      </c>
      <c r="AK65" s="229" t="str">
        <f>IFERROR(INDEX($A$4:$A$1000,MATCH(ROW()-ROW($AK$3),$AJ$4:$AJ$1000,0)),"")</f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499"/>
      <c r="AF66" s="500"/>
      <c r="AG66" s="500"/>
      <c r="AH66" s="501"/>
      <c r="AJ66" s="229" t="str">
        <f>IF(OR(A66="",AND(ISNUMBER(FIND("[", A66)), ISNUMBER(FIND("ALL", A66)), ISNUMBER(FIND("]", A66)))),"",MAX(AJ$3:AJ65)+1)</f>
        <v/>
      </c>
      <c r="AK66" s="229" t="str">
        <f>IFERROR(INDEX($A$4:$A$1000,MATCH(ROW()-ROW($AK$3),$AJ$4:$AJ$1000,0)),"")</f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499"/>
      <c r="AF67" s="500"/>
      <c r="AG67" s="500"/>
      <c r="AH67" s="501"/>
      <c r="AJ67" s="229" t="str">
        <f>IF(OR(A67="",AND(ISNUMBER(FIND("[", A67)), ISNUMBER(FIND("ALL", A67)), ISNUMBER(FIND("]", A67)))),"",MAX(AJ$3:AJ66)+1)</f>
        <v/>
      </c>
      <c r="AK67" s="229" t="str">
        <f>IFERROR(INDEX($A$4:$A$1000,MATCH(ROW()-ROW($AK$3),$AJ$4:$AJ$1000,0)),"")</f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499"/>
      <c r="AF68" s="500"/>
      <c r="AG68" s="500"/>
      <c r="AH68" s="501"/>
      <c r="AJ68" s="229" t="str">
        <f>IF(OR(A68="",AND(ISNUMBER(FIND("[", A68)), ISNUMBER(FIND("ALL", A68)), ISNUMBER(FIND("]", A68)))),"",MAX(AJ$3:AJ67)+1)</f>
        <v/>
      </c>
      <c r="AK68" s="229" t="str">
        <f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499"/>
      <c r="AF69" s="500"/>
      <c r="AG69" s="500"/>
      <c r="AH69" s="501"/>
      <c r="AJ69" s="229" t="str">
        <f>IF(OR(A69="",AND(ISNUMBER(FIND("[", A69)), ISNUMBER(FIND("ALL", A69)), ISNUMBER(FIND("]", A69)))),"",MAX(AJ$3:AJ68)+1)</f>
        <v/>
      </c>
      <c r="AK69" s="229" t="str">
        <f>IFERROR(INDEX($A$4:$A$1000,MATCH(ROW()-ROW($AK$3),$AJ$4:$AJ$1000,0)),"")</f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499"/>
      <c r="AF70" s="500"/>
      <c r="AG70" s="500"/>
      <c r="AH70" s="501"/>
      <c r="AJ70" s="229" t="str">
        <f>IF(OR(A70="",AND(ISNUMBER(FIND("[", A70)), ISNUMBER(FIND("ALL", A70)), ISNUMBER(FIND("]", A70)))),"",MAX(AJ$3:AJ69)+1)</f>
        <v/>
      </c>
      <c r="AK70" s="229" t="str">
        <f>IFERROR(INDEX($A$4:$A$1000,MATCH(ROW()-ROW($AK$3),$AJ$4:$AJ$1000,0)),"")</f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499"/>
      <c r="AF71" s="500"/>
      <c r="AG71" s="500"/>
      <c r="AH71" s="501"/>
      <c r="AJ71" s="229" t="str">
        <f>IF(OR(A71="",AND(ISNUMBER(FIND("[", A71)), ISNUMBER(FIND("ALL", A71)), ISNUMBER(FIND("]", A71)))),"",MAX(AJ$3:AJ70)+1)</f>
        <v/>
      </c>
      <c r="AK71" s="229" t="str">
        <f>IFERROR(INDEX($A$4:$A$1000,MATCH(ROW()-ROW($AK$3),$AJ$4:$AJ$1000,0)),"")</f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499"/>
      <c r="AF72" s="500"/>
      <c r="AG72" s="500"/>
      <c r="AH72" s="501"/>
      <c r="AJ72" s="229" t="str">
        <f>IF(OR(A72="",AND(ISNUMBER(FIND("[", A72)), ISNUMBER(FIND("ALL", A72)), ISNUMBER(FIND("]", A72)))),"",MAX(AJ$3:AJ71)+1)</f>
        <v/>
      </c>
      <c r="AK72" s="229" t="str">
        <f>IFERROR(INDEX($A$4:$A$1000,MATCH(ROW()-ROW($AK$3),$AJ$4:$AJ$1000,0)),"")</f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499"/>
      <c r="AF73" s="500"/>
      <c r="AG73" s="500"/>
      <c r="AH73" s="501"/>
      <c r="AJ73" s="229" t="str">
        <f>IF(OR(A73="",AND(ISNUMBER(FIND("[", A73)), ISNUMBER(FIND("ALL", A73)), ISNUMBER(FIND("]", A73)))),"",MAX(AJ$3:AJ72)+1)</f>
        <v/>
      </c>
      <c r="AK73" s="229" t="str">
        <f>IFERROR(INDEX($A$4:$A$1000,MATCH(ROW()-ROW($AK$3),$AJ$4:$AJ$1000,0)),"")</f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499"/>
      <c r="AF74" s="500"/>
      <c r="AG74" s="500"/>
      <c r="AH74" s="501"/>
      <c r="AJ74" s="229" t="str">
        <f>IF(OR(A74="",AND(ISNUMBER(FIND("[", A74)), ISNUMBER(FIND("ALL", A74)), ISNUMBER(FIND("]", A74)))),"",MAX(AJ$3:AJ73)+1)</f>
        <v/>
      </c>
      <c r="AK74" s="229" t="str">
        <f>IFERROR(INDEX($A$4:$A$1000,MATCH(ROW()-ROW($AK$3),$AJ$4:$AJ$1000,0)),"")</f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499"/>
      <c r="AF75" s="500"/>
      <c r="AG75" s="500"/>
      <c r="AH75" s="501"/>
      <c r="AJ75" s="229" t="str">
        <f>IF(OR(A75="",AND(ISNUMBER(FIND("[", A75)), ISNUMBER(FIND("ALL", A75)), ISNUMBER(FIND("]", A75)))),"",MAX(AJ$3:AJ74)+1)</f>
        <v/>
      </c>
      <c r="AK75" s="229" t="str">
        <f>IFERROR(INDEX($A$4:$A$1000,MATCH(ROW()-ROW($AK$3),$AJ$4:$AJ$1000,0)),"")</f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499"/>
      <c r="AF76" s="500"/>
      <c r="AG76" s="500"/>
      <c r="AH76" s="501"/>
      <c r="AJ76" s="229" t="str">
        <f>IF(OR(A76="",AND(ISNUMBER(FIND("[", A76)), ISNUMBER(FIND("ALL", A76)), ISNUMBER(FIND("]", A76)))),"",MAX(AJ$3:AJ75)+1)</f>
        <v/>
      </c>
      <c r="AK76" s="229" t="str">
        <f>IFERROR(INDEX($A$4:$A$1000,MATCH(ROW()-ROW($AK$3),$AJ$4:$AJ$1000,0)),"")</f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499"/>
      <c r="AF77" s="500"/>
      <c r="AG77" s="500"/>
      <c r="AH77" s="501"/>
      <c r="AJ77" s="229" t="str">
        <f>IF(OR(A77="",AND(ISNUMBER(FIND("[", A77)), ISNUMBER(FIND("ALL", A77)), ISNUMBER(FIND("]", A77)))),"",MAX(AJ$3:AJ76)+1)</f>
        <v/>
      </c>
      <c r="AK77" s="229" t="str">
        <f>IFERROR(INDEX($A$4:$A$1000,MATCH(ROW()-ROW($AK$3),$AJ$4:$AJ$1000,0)),"")</f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499"/>
      <c r="AF78" s="500"/>
      <c r="AG78" s="500"/>
      <c r="AH78" s="501"/>
      <c r="AJ78" s="229" t="str">
        <f>IF(OR(A78="",AND(ISNUMBER(FIND("[", A78)), ISNUMBER(FIND("ALL", A78)), ISNUMBER(FIND("]", A78)))),"",MAX(AJ$3:AJ77)+1)</f>
        <v/>
      </c>
      <c r="AK78" s="229" t="str">
        <f>IFERROR(INDEX($A$4:$A$1000,MATCH(ROW()-ROW($AK$3),$AJ$4:$AJ$1000,0)),"")</f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499"/>
      <c r="AF79" s="500"/>
      <c r="AG79" s="500"/>
      <c r="AH79" s="501"/>
      <c r="AJ79" s="229" t="str">
        <f>IF(OR(A79="",AND(ISNUMBER(FIND("[", A79)), ISNUMBER(FIND("ALL", A79)), ISNUMBER(FIND("]", A79)))),"",MAX(AJ$3:AJ78)+1)</f>
        <v/>
      </c>
      <c r="AK79" s="229" t="str">
        <f>IFERROR(INDEX($A$4:$A$1000,MATCH(ROW()-ROW($AK$3),$AJ$4:$AJ$1000,0)),"")</f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499"/>
      <c r="AF80" s="500"/>
      <c r="AG80" s="500"/>
      <c r="AH80" s="501"/>
      <c r="AJ80" s="229" t="str">
        <f>IF(OR(A80="",AND(ISNUMBER(FIND("[", A80)), ISNUMBER(FIND("ALL", A80)), ISNUMBER(FIND("]", A80)))),"",MAX(AJ$3:AJ79)+1)</f>
        <v/>
      </c>
      <c r="AK80" s="229" t="str">
        <f>IFERROR(INDEX($A$4:$A$1000,MATCH(ROW()-ROW($AK$3),$AJ$4:$AJ$1000,0)),"")</f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499"/>
      <c r="AF81" s="500"/>
      <c r="AG81" s="500"/>
      <c r="AH81" s="501"/>
      <c r="AJ81" s="229" t="str">
        <f>IF(OR(A81="",AND(ISNUMBER(FIND("[", A81)), ISNUMBER(FIND("ALL", A81)), ISNUMBER(FIND("]", A81)))),"",MAX(AJ$3:AJ80)+1)</f>
        <v/>
      </c>
      <c r="AK81" s="229" t="str">
        <f>IFERROR(INDEX($A$4:$A$1000,MATCH(ROW()-ROW($AK$3),$AJ$4:$AJ$1000,0)),"")</f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499"/>
      <c r="AF82" s="500"/>
      <c r="AG82" s="500"/>
      <c r="AH82" s="501"/>
      <c r="AJ82" s="229" t="str">
        <f>IF(OR(A82="",AND(ISNUMBER(FIND("[", A82)), ISNUMBER(FIND("ALL", A82)), ISNUMBER(FIND("]", A82)))),"",MAX(AJ$3:AJ81)+1)</f>
        <v/>
      </c>
      <c r="AK82" s="229" t="str">
        <f>IFERROR(INDEX($A$4:$A$1000,MATCH(ROW()-ROW($AK$3),$AJ$4:$AJ$1000,0)),"")</f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499"/>
      <c r="AF83" s="500"/>
      <c r="AG83" s="500"/>
      <c r="AH83" s="501"/>
      <c r="AJ83" s="229" t="str">
        <f>IF(OR(A83="",AND(ISNUMBER(FIND("[", A83)), ISNUMBER(FIND("ALL", A83)), ISNUMBER(FIND("]", A83)))),"",MAX(AJ$3:AJ82)+1)</f>
        <v/>
      </c>
      <c r="AK83" s="229" t="str">
        <f>IFERROR(INDEX($A$4:$A$1000,MATCH(ROW()-ROW($AK$3),$AJ$4:$AJ$1000,0)),"")</f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499"/>
      <c r="AF84" s="500"/>
      <c r="AG84" s="500"/>
      <c r="AH84" s="501"/>
      <c r="AJ84" s="229" t="str">
        <f>IF(OR(A84="",AND(ISNUMBER(FIND("[", A84)), ISNUMBER(FIND("ALL", A84)), ISNUMBER(FIND("]", A84)))),"",MAX(AJ$3:AJ83)+1)</f>
        <v/>
      </c>
      <c r="AK84" s="229" t="str">
        <f>IFERROR(INDEX($A$4:$A$1000,MATCH(ROW()-ROW($AK$3),$AJ$4:$AJ$1000,0)),"")</f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499"/>
      <c r="AF85" s="500"/>
      <c r="AG85" s="500"/>
      <c r="AH85" s="501"/>
      <c r="AJ85" s="229" t="str">
        <f>IF(OR(A85="",AND(ISNUMBER(FIND("[", A85)), ISNUMBER(FIND("ALL", A85)), ISNUMBER(FIND("]", A85)))),"",MAX(AJ$3:AJ84)+1)</f>
        <v/>
      </c>
      <c r="AK85" s="229" t="str">
        <f>IFERROR(INDEX($A$4:$A$1000,MATCH(ROW()-ROW($AK$3),$AJ$4:$AJ$1000,0)),"")</f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499"/>
      <c r="AF86" s="500"/>
      <c r="AG86" s="500"/>
      <c r="AH86" s="501"/>
      <c r="AJ86" s="229" t="str">
        <f>IF(OR(A86="",AND(ISNUMBER(FIND("[", A86)), ISNUMBER(FIND("ALL", A86)), ISNUMBER(FIND("]", A86)))),"",MAX(AJ$3:AJ85)+1)</f>
        <v/>
      </c>
      <c r="AK86" s="229" t="str">
        <f>IFERROR(INDEX($A$4:$A$1000,MATCH(ROW()-ROW($AK$3),$AJ$4:$AJ$1000,0)),"")</f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499"/>
      <c r="AF87" s="500"/>
      <c r="AG87" s="500"/>
      <c r="AH87" s="501"/>
      <c r="AJ87" s="229" t="str">
        <f>IF(OR(A87="",AND(ISNUMBER(FIND("[", A87)), ISNUMBER(FIND("ALL", A87)), ISNUMBER(FIND("]", A87)))),"",MAX(AJ$3:AJ86)+1)</f>
        <v/>
      </c>
      <c r="AK87" s="229" t="str">
        <f>IFERROR(INDEX($A$4:$A$1000,MATCH(ROW()-ROW($AK$3),$AJ$4:$AJ$1000,0)),"")</f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499"/>
      <c r="AF88" s="500"/>
      <c r="AG88" s="500"/>
      <c r="AH88" s="501"/>
      <c r="AJ88" s="229" t="str">
        <f>IF(OR(A88="",AND(ISNUMBER(FIND("[", A88)), ISNUMBER(FIND("ALL", A88)), ISNUMBER(FIND("]", A88)))),"",MAX(AJ$3:AJ87)+1)</f>
        <v/>
      </c>
      <c r="AK88" s="229" t="str">
        <f>IFERROR(INDEX($A$4:$A$1000,MATCH(ROW()-ROW($AK$3),$AJ$4:$AJ$1000,0)),"")</f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499"/>
      <c r="AF89" s="500"/>
      <c r="AG89" s="500"/>
      <c r="AH89" s="501"/>
      <c r="AJ89" s="229" t="str">
        <f>IF(OR(A89="",AND(ISNUMBER(FIND("[", A89)), ISNUMBER(FIND("ALL", A89)), ISNUMBER(FIND("]", A89)))),"",MAX(AJ$3:AJ88)+1)</f>
        <v/>
      </c>
      <c r="AK89" s="229" t="str">
        <f>IFERROR(INDEX($A$4:$A$1000,MATCH(ROW()-ROW($AK$3),$AJ$4:$AJ$1000,0)),"")</f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499"/>
      <c r="AF90" s="500"/>
      <c r="AG90" s="500"/>
      <c r="AH90" s="501"/>
      <c r="AJ90" s="229" t="str">
        <f>IF(OR(A90="",AND(ISNUMBER(FIND("[", A90)), ISNUMBER(FIND("ALL", A90)), ISNUMBER(FIND("]", A90)))),"",MAX(AJ$3:AJ89)+1)</f>
        <v/>
      </c>
      <c r="AK90" s="229" t="str">
        <f>IFERROR(INDEX($A$4:$A$1000,MATCH(ROW()-ROW($AK$3),$AJ$4:$AJ$1000,0)),"")</f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499"/>
      <c r="AF91" s="500"/>
      <c r="AG91" s="500"/>
      <c r="AH91" s="501"/>
      <c r="AJ91" s="229" t="str">
        <f>IF(OR(A91="",AND(ISNUMBER(FIND("[", A91)), ISNUMBER(FIND("ALL", A91)), ISNUMBER(FIND("]", A91)))),"",MAX(AJ$3:AJ90)+1)</f>
        <v/>
      </c>
      <c r="AK91" s="229" t="str">
        <f>IFERROR(INDEX($A$4:$A$1000,MATCH(ROW()-ROW($AK$3),$AJ$4:$AJ$1000,0)),"")</f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499"/>
      <c r="AF92" s="500"/>
      <c r="AG92" s="500"/>
      <c r="AH92" s="501"/>
      <c r="AJ92" s="229" t="str">
        <f>IF(OR(A92="",AND(ISNUMBER(FIND("[", A92)), ISNUMBER(FIND("ALL", A92)), ISNUMBER(FIND("]", A92)))),"",MAX(AJ$3:AJ91)+1)</f>
        <v/>
      </c>
      <c r="AK92" s="229" t="str">
        <f>IFERROR(INDEX($A$4:$A$1000,MATCH(ROW()-ROW($AK$3),$AJ$4:$AJ$1000,0)),"")</f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499"/>
      <c r="AF93" s="500"/>
      <c r="AG93" s="500"/>
      <c r="AH93" s="501"/>
      <c r="AJ93" s="229" t="str">
        <f>IF(OR(A93="",AND(ISNUMBER(FIND("[", A93)), ISNUMBER(FIND("ALL", A93)), ISNUMBER(FIND("]", A93)))),"",MAX(AJ$3:AJ92)+1)</f>
        <v/>
      </c>
      <c r="AK93" s="229" t="str">
        <f>IFERROR(INDEX($A$4:$A$1000,MATCH(ROW()-ROW($AK$3),$AJ$4:$AJ$1000,0)),"")</f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499"/>
      <c r="AF94" s="500"/>
      <c r="AG94" s="500"/>
      <c r="AH94" s="501"/>
      <c r="AJ94" s="229" t="str">
        <f>IF(OR(A94="",AND(ISNUMBER(FIND("[", A94)), ISNUMBER(FIND("ALL", A94)), ISNUMBER(FIND("]", A94)))),"",MAX(AJ$3:AJ93)+1)</f>
        <v/>
      </c>
      <c r="AK94" s="229" t="str">
        <f>IFERROR(INDEX($A$4:$A$1000,MATCH(ROW()-ROW($AK$3),$AJ$4:$AJ$1000,0)),"")</f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499"/>
      <c r="AF95" s="500"/>
      <c r="AG95" s="500"/>
      <c r="AH95" s="501"/>
      <c r="AJ95" s="229" t="str">
        <f>IF(OR(A95="",AND(ISNUMBER(FIND("[", A95)), ISNUMBER(FIND("ALL", A95)), ISNUMBER(FIND("]", A95)))),"",MAX(AJ$3:AJ94)+1)</f>
        <v/>
      </c>
      <c r="AK95" s="229" t="str">
        <f>IFERROR(INDEX($A$4:$A$1000,MATCH(ROW()-ROW($AK$3),$AJ$4:$AJ$1000,0)),"")</f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499"/>
      <c r="AF96" s="500"/>
      <c r="AG96" s="500"/>
      <c r="AH96" s="501"/>
      <c r="AJ96" s="229" t="str">
        <f>IF(OR(A96="",AND(ISNUMBER(FIND("[", A96)), ISNUMBER(FIND("ALL", A96)), ISNUMBER(FIND("]", A96)))),"",MAX(AJ$3:AJ95)+1)</f>
        <v/>
      </c>
      <c r="AK96" s="229" t="str">
        <f>IFERROR(INDEX($A$4:$A$1000,MATCH(ROW()-ROW($AK$3),$AJ$4:$AJ$1000,0)),"")</f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499"/>
      <c r="AF97" s="500"/>
      <c r="AG97" s="500"/>
      <c r="AH97" s="501"/>
      <c r="AJ97" s="229" t="str">
        <f>IF(OR(A97="",AND(ISNUMBER(FIND("[", A97)), ISNUMBER(FIND("ALL", A97)), ISNUMBER(FIND("]", A97)))),"",MAX(AJ$3:AJ96)+1)</f>
        <v/>
      </c>
      <c r="AK97" s="229" t="str">
        <f>IFERROR(INDEX($A$4:$A$1000,MATCH(ROW()-ROW($AK$3),$AJ$4:$AJ$1000,0)),"")</f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499"/>
      <c r="AF98" s="500"/>
      <c r="AG98" s="500"/>
      <c r="AH98" s="501"/>
      <c r="AJ98" s="229" t="str">
        <f>IF(OR(A98="",AND(ISNUMBER(FIND("[", A98)), ISNUMBER(FIND("ALL", A98)), ISNUMBER(FIND("]", A98)))),"",MAX(AJ$3:AJ97)+1)</f>
        <v/>
      </c>
      <c r="AK98" s="229" t="str">
        <f>IFERROR(INDEX($A$4:$A$1000,MATCH(ROW()-ROW($AK$3),$AJ$4:$AJ$1000,0)),"")</f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499"/>
      <c r="AF99" s="500"/>
      <c r="AG99" s="500"/>
      <c r="AH99" s="501"/>
      <c r="AJ99" s="229" t="str">
        <f>IF(OR(A99="",AND(ISNUMBER(FIND("[", A99)), ISNUMBER(FIND("ALL", A99)), ISNUMBER(FIND("]", A99)))),"",MAX(AJ$3:AJ98)+1)</f>
        <v/>
      </c>
      <c r="AK99" s="229" t="str">
        <f>IFERROR(INDEX($A$4:$A$1000,MATCH(ROW()-ROW($AK$3),$AJ$4:$AJ$1000,0)),"")</f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499"/>
      <c r="AF100" s="500"/>
      <c r="AG100" s="500"/>
      <c r="AH100" s="501"/>
      <c r="AJ100" s="229" t="str">
        <f>IF(OR(A100="",AND(ISNUMBER(FIND("[", A100)), ISNUMBER(FIND("ALL", A100)), ISNUMBER(FIND("]", A100)))),"",MAX(AJ$3:AJ99)+1)</f>
        <v/>
      </c>
      <c r="AK100" s="229" t="str">
        <f>IFERROR(INDEX($A$4:$A$1000,MATCH(ROW()-ROW($AK$3),$AJ$4:$AJ$1000,0)),"")</f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499"/>
      <c r="AF101" s="500"/>
      <c r="AG101" s="500"/>
      <c r="AH101" s="501"/>
      <c r="AJ101" s="229" t="str">
        <f>IF(OR(A101="",AND(ISNUMBER(FIND("[", A101)), ISNUMBER(FIND("ALL", A101)), ISNUMBER(FIND("]", A101)))),"",MAX(AJ$3:AJ100)+1)</f>
        <v/>
      </c>
      <c r="AK101" s="229" t="str">
        <f>IFERROR(INDEX($A$4:$A$1000,MATCH(ROW()-ROW($AK$3),$AJ$4:$AJ$1000,0)),"")</f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499"/>
      <c r="AF102" s="500"/>
      <c r="AG102" s="500"/>
      <c r="AH102" s="501"/>
      <c r="AJ102" s="229" t="str">
        <f>IF(OR(A102="",AND(ISNUMBER(FIND("[", A102)), ISNUMBER(FIND("ALL", A102)), ISNUMBER(FIND("]", A102)))),"",MAX(AJ$3:AJ101)+1)</f>
        <v/>
      </c>
      <c r="AK102" s="229" t="str">
        <f>IFERROR(INDEX($A$4:$A$1000,MATCH(ROW()-ROW($AK$3),$AJ$4:$AJ$1000,0)),"")</f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499"/>
      <c r="AF103" s="500"/>
      <c r="AG103" s="500"/>
      <c r="AH103" s="501"/>
      <c r="AJ103" s="229" t="str">
        <f>IF(OR(A103="",AND(ISNUMBER(FIND("[", A103)), ISNUMBER(FIND("ALL", A103)), ISNUMBER(FIND("]", A103)))),"",MAX(AJ$3:AJ102)+1)</f>
        <v/>
      </c>
      <c r="AK103" s="229" t="str">
        <f>IFERROR(INDEX($A$4:$A$1000,MATCH(ROW()-ROW($AK$3),$AJ$4:$AJ$1000,0)),"")</f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499"/>
      <c r="AF104" s="500"/>
      <c r="AG104" s="500"/>
      <c r="AH104" s="501"/>
      <c r="AJ104" s="229" t="str">
        <f>IF(OR(A104="",AND(ISNUMBER(FIND("[", A104)), ISNUMBER(FIND("ALL", A104)), ISNUMBER(FIND("]", A104)))),"",MAX(AJ$3:AJ103)+1)</f>
        <v/>
      </c>
      <c r="AK104" s="229" t="str">
        <f>IFERROR(INDEX($A$4:$A$1000,MATCH(ROW()-ROW($AK$3),$AJ$4:$AJ$1000,0)),"")</f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499"/>
      <c r="AF105" s="500"/>
      <c r="AG105" s="500"/>
      <c r="AH105" s="501"/>
      <c r="AJ105" s="229" t="str">
        <f>IF(OR(A105="",AND(ISNUMBER(FIND("[", A105)), ISNUMBER(FIND("ALL", A105)), ISNUMBER(FIND("]", A105)))),"",MAX(AJ$3:AJ104)+1)</f>
        <v/>
      </c>
      <c r="AK105" s="229" t="str">
        <f>IFERROR(INDEX($A$4:$A$1000,MATCH(ROW()-ROW($AK$3),$AJ$4:$AJ$1000,0)),"")</f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499"/>
      <c r="AF106" s="500"/>
      <c r="AG106" s="500"/>
      <c r="AH106" s="501"/>
      <c r="AJ106" s="229" t="str">
        <f>IF(OR(A106="",AND(ISNUMBER(FIND("[", A106)), ISNUMBER(FIND("ALL", A106)), ISNUMBER(FIND("]", A106)))),"",MAX(AJ$3:AJ105)+1)</f>
        <v/>
      </c>
      <c r="AK106" s="229" t="str">
        <f>IFERROR(INDEX($A$4:$A$1000,MATCH(ROW()-ROW($AK$3),$AJ$4:$AJ$1000,0)),"")</f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499"/>
      <c r="AF107" s="500"/>
      <c r="AG107" s="500"/>
      <c r="AH107" s="501"/>
      <c r="AJ107" s="229" t="str">
        <f>IF(OR(A107="",AND(ISNUMBER(FIND("[", A107)), ISNUMBER(FIND("ALL", A107)), ISNUMBER(FIND("]", A107)))),"",MAX(AJ$3:AJ106)+1)</f>
        <v/>
      </c>
      <c r="AK107" s="229" t="str">
        <f>IFERROR(INDEX($A$4:$A$1000,MATCH(ROW()-ROW($AK$3),$AJ$4:$AJ$1000,0)),"")</f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499"/>
      <c r="AF108" s="500"/>
      <c r="AG108" s="500"/>
      <c r="AH108" s="501"/>
      <c r="AJ108" s="229" t="str">
        <f>IF(OR(A108="",AND(ISNUMBER(FIND("[", A108)), ISNUMBER(FIND("ALL", A108)), ISNUMBER(FIND("]", A108)))),"",MAX(AJ$3:AJ107)+1)</f>
        <v/>
      </c>
      <c r="AK108" s="229" t="str">
        <f>IFERROR(INDEX($A$4:$A$1000,MATCH(ROW()-ROW($AK$3),$AJ$4:$AJ$1000,0)),"")</f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499"/>
      <c r="AF109" s="500"/>
      <c r="AG109" s="500"/>
      <c r="AH109" s="501"/>
      <c r="AJ109" s="229" t="str">
        <f>IF(OR(A109="",AND(ISNUMBER(FIND("[", A109)), ISNUMBER(FIND("ALL", A109)), ISNUMBER(FIND("]", A109)))),"",MAX(AJ$3:AJ108)+1)</f>
        <v/>
      </c>
      <c r="AK109" s="229" t="str">
        <f>IFERROR(INDEX($A$4:$A$1000,MATCH(ROW()-ROW($AK$3),$AJ$4:$AJ$1000,0)),"")</f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499"/>
      <c r="AF110" s="500"/>
      <c r="AG110" s="500"/>
      <c r="AH110" s="501"/>
      <c r="AJ110" s="229" t="str">
        <f>IF(OR(A110="",AND(ISNUMBER(FIND("[", A110)), ISNUMBER(FIND("ALL", A110)), ISNUMBER(FIND("]", A110)))),"",MAX(AJ$3:AJ109)+1)</f>
        <v/>
      </c>
      <c r="AK110" s="229" t="str">
        <f>IFERROR(INDEX($A$4:$A$1000,MATCH(ROW()-ROW($AK$3),$AJ$4:$AJ$1000,0)),"")</f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499"/>
      <c r="AF111" s="500"/>
      <c r="AG111" s="500"/>
      <c r="AH111" s="501"/>
      <c r="AJ111" s="229" t="str">
        <f>IF(OR(A111="",AND(ISNUMBER(FIND("[", A111)), ISNUMBER(FIND("ALL", A111)), ISNUMBER(FIND("]", A111)))),"",MAX(AJ$3:AJ110)+1)</f>
        <v/>
      </c>
      <c r="AK111" s="229" t="str">
        <f>IFERROR(INDEX($A$4:$A$1000,MATCH(ROW()-ROW($AK$3),$AJ$4:$AJ$1000,0)),"")</f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499"/>
      <c r="AF112" s="500"/>
      <c r="AG112" s="500"/>
      <c r="AH112" s="501"/>
      <c r="AJ112" s="229" t="str">
        <f>IF(OR(A112="",AND(ISNUMBER(FIND("[", A112)), ISNUMBER(FIND("ALL", A112)), ISNUMBER(FIND("]", A112)))),"",MAX(AJ$3:AJ111)+1)</f>
        <v/>
      </c>
      <c r="AK112" s="229" t="str">
        <f>IFERROR(INDEX($A$4:$A$1000,MATCH(ROW()-ROW($AK$3),$AJ$4:$AJ$1000,0)),"")</f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499"/>
      <c r="AF113" s="500"/>
      <c r="AG113" s="500"/>
      <c r="AH113" s="501"/>
      <c r="AJ113" s="229" t="str">
        <f>IF(OR(A113="",AND(ISNUMBER(FIND("[", A113)), ISNUMBER(FIND("ALL", A113)), ISNUMBER(FIND("]", A113)))),"",MAX(AJ$3:AJ112)+1)</f>
        <v/>
      </c>
      <c r="AK113" s="229" t="str">
        <f>IFERROR(INDEX($A$4:$A$1000,MATCH(ROW()-ROW($AK$3),$AJ$4:$AJ$1000,0)),"")</f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499"/>
      <c r="AF114" s="500"/>
      <c r="AG114" s="500"/>
      <c r="AH114" s="501"/>
      <c r="AJ114" s="229" t="str">
        <f>IF(OR(A114="",AND(ISNUMBER(FIND("[", A114)), ISNUMBER(FIND("ALL", A114)), ISNUMBER(FIND("]", A114)))),"",MAX(AJ$3:AJ113)+1)</f>
        <v/>
      </c>
      <c r="AK114" s="229" t="str">
        <f>IFERROR(INDEX($A$4:$A$1000,MATCH(ROW()-ROW($AK$3),$AJ$4:$AJ$1000,0)),"")</f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499"/>
      <c r="AF115" s="500"/>
      <c r="AG115" s="500"/>
      <c r="AH115" s="501"/>
      <c r="AJ115" s="229" t="str">
        <f>IF(OR(A115="",AND(ISNUMBER(FIND("[", A115)), ISNUMBER(FIND("ALL", A115)), ISNUMBER(FIND("]", A115)))),"",MAX(AJ$3:AJ114)+1)</f>
        <v/>
      </c>
      <c r="AK115" s="229" t="str">
        <f>IFERROR(INDEX($A$4:$A$1000,MATCH(ROW()-ROW($AK$3),$AJ$4:$AJ$1000,0)),"")</f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499"/>
      <c r="AF116" s="500"/>
      <c r="AG116" s="500"/>
      <c r="AH116" s="501"/>
      <c r="AJ116" s="229" t="str">
        <f>IF(OR(A116="",AND(ISNUMBER(FIND("[", A116)), ISNUMBER(FIND("ALL", A116)), ISNUMBER(FIND("]", A116)))),"",MAX(AJ$3:AJ115)+1)</f>
        <v/>
      </c>
      <c r="AK116" s="229" t="str">
        <f>IFERROR(INDEX($A$4:$A$1000,MATCH(ROW()-ROW($AK$3),$AJ$4:$AJ$1000,0)),"")</f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499"/>
      <c r="AF117" s="500"/>
      <c r="AG117" s="500"/>
      <c r="AH117" s="501"/>
      <c r="AJ117" s="229" t="str">
        <f>IF(OR(A117="",AND(ISNUMBER(FIND("[", A117)), ISNUMBER(FIND("ALL", A117)), ISNUMBER(FIND("]", A117)))),"",MAX(AJ$3:AJ116)+1)</f>
        <v/>
      </c>
      <c r="AK117" s="229" t="str">
        <f>IFERROR(INDEX($A$4:$A$1000,MATCH(ROW()-ROW($AK$3),$AJ$4:$AJ$1000,0)),"")</f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499"/>
      <c r="AF118" s="500"/>
      <c r="AG118" s="500"/>
      <c r="AH118" s="501"/>
      <c r="AJ118" s="229" t="str">
        <f>IF(OR(A118="",AND(ISNUMBER(FIND("[", A118)), ISNUMBER(FIND("ALL", A118)), ISNUMBER(FIND("]", A118)))),"",MAX(AJ$3:AJ117)+1)</f>
        <v/>
      </c>
      <c r="AK118" s="229" t="str">
        <f>IFERROR(INDEX($A$4:$A$1000,MATCH(ROW()-ROW($AK$3),$AJ$4:$AJ$1000,0)),"")</f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499"/>
      <c r="AF119" s="500"/>
      <c r="AG119" s="500"/>
      <c r="AH119" s="501"/>
      <c r="AJ119" s="229" t="str">
        <f>IF(OR(A119="",AND(ISNUMBER(FIND("[", A119)), ISNUMBER(FIND("ALL", A119)), ISNUMBER(FIND("]", A119)))),"",MAX(AJ$3:AJ118)+1)</f>
        <v/>
      </c>
      <c r="AK119" s="229" t="str">
        <f>IFERROR(INDEX($A$4:$A$1000,MATCH(ROW()-ROW($AK$3),$AJ$4:$AJ$1000,0)),"")</f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499"/>
      <c r="AF120" s="500"/>
      <c r="AG120" s="500"/>
      <c r="AH120" s="501"/>
      <c r="AJ120" s="229" t="str">
        <f>IF(OR(A120="",AND(ISNUMBER(FIND("[", A120)), ISNUMBER(FIND("ALL", A120)), ISNUMBER(FIND("]", A120)))),"",MAX(AJ$3:AJ119)+1)</f>
        <v/>
      </c>
      <c r="AK120" s="229" t="str">
        <f>IFERROR(INDEX($A$4:$A$1000,MATCH(ROW()-ROW($AK$3),$AJ$4:$AJ$1000,0)),"")</f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499"/>
      <c r="AF121" s="500"/>
      <c r="AG121" s="500"/>
      <c r="AH121" s="501"/>
      <c r="AJ121" s="229" t="str">
        <f>IF(OR(A121="",AND(ISNUMBER(FIND("[", A121)), ISNUMBER(FIND("ALL", A121)), ISNUMBER(FIND("]", A121)))),"",MAX(AJ$3:AJ120)+1)</f>
        <v/>
      </c>
      <c r="AK121" s="229" t="str">
        <f>IFERROR(INDEX($A$4:$A$1000,MATCH(ROW()-ROW($AK$3),$AJ$4:$AJ$1000,0)),"")</f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499"/>
      <c r="AF122" s="500"/>
      <c r="AG122" s="500"/>
      <c r="AH122" s="501"/>
      <c r="AJ122" s="229" t="str">
        <f>IF(OR(A122="",AND(ISNUMBER(FIND("[", A122)), ISNUMBER(FIND("ALL", A122)), ISNUMBER(FIND("]", A122)))),"",MAX(AJ$3:AJ121)+1)</f>
        <v/>
      </c>
      <c r="AK122" s="229" t="str">
        <f>IFERROR(INDEX($A$4:$A$1000,MATCH(ROW()-ROW($AK$3),$AJ$4:$AJ$1000,0)),"")</f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499"/>
      <c r="AF123" s="500"/>
      <c r="AG123" s="500"/>
      <c r="AH123" s="501"/>
      <c r="AJ123" s="229" t="str">
        <f>IF(OR(A123="",AND(ISNUMBER(FIND("[", A123)), ISNUMBER(FIND("ALL", A123)), ISNUMBER(FIND("]", A123)))),"",MAX(AJ$3:AJ122)+1)</f>
        <v/>
      </c>
      <c r="AK123" s="229" t="str">
        <f>IFERROR(INDEX($A$4:$A$1000,MATCH(ROW()-ROW($AK$3),$AJ$4:$AJ$1000,0)),"")</f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499"/>
      <c r="AF124" s="500"/>
      <c r="AG124" s="500"/>
      <c r="AH124" s="501"/>
      <c r="AJ124" s="229" t="str">
        <f>IF(OR(A124="",AND(ISNUMBER(FIND("[", A124)), ISNUMBER(FIND("ALL", A124)), ISNUMBER(FIND("]", A124)))),"",MAX(AJ$3:AJ123)+1)</f>
        <v/>
      </c>
      <c r="AK124" s="229" t="str">
        <f>IFERROR(INDEX($A$4:$A$1000,MATCH(ROW()-ROW($AK$3),$AJ$4:$AJ$1000,0)),"")</f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499"/>
      <c r="AF125" s="500"/>
      <c r="AG125" s="500"/>
      <c r="AH125" s="501"/>
      <c r="AJ125" s="229" t="str">
        <f>IF(OR(A125="",AND(ISNUMBER(FIND("[", A125)), ISNUMBER(FIND("ALL", A125)), ISNUMBER(FIND("]", A125)))),"",MAX(AJ$3:AJ124)+1)</f>
        <v/>
      </c>
      <c r="AK125" s="229" t="str">
        <f>IFERROR(INDEX($A$4:$A$1000,MATCH(ROW()-ROW($AK$3),$AJ$4:$AJ$1000,0)),"")</f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499"/>
      <c r="AF126" s="500"/>
      <c r="AG126" s="500"/>
      <c r="AH126" s="501"/>
      <c r="AJ126" s="229" t="str">
        <f>IF(OR(A126="",AND(ISNUMBER(FIND("[", A126)), ISNUMBER(FIND("ALL", A126)), ISNUMBER(FIND("]", A126)))),"",MAX(AJ$3:AJ125)+1)</f>
        <v/>
      </c>
      <c r="AK126" s="229" t="str">
        <f>IFERROR(INDEX($A$4:$A$1000,MATCH(ROW()-ROW($AK$3),$AJ$4:$AJ$1000,0)),"")</f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499"/>
      <c r="AF127" s="500"/>
      <c r="AG127" s="500"/>
      <c r="AH127" s="501"/>
      <c r="AJ127" s="229" t="str">
        <f>IF(OR(A127="",AND(ISNUMBER(FIND("[", A127)), ISNUMBER(FIND("ALL", A127)), ISNUMBER(FIND("]", A127)))),"",MAX(AJ$3:AJ126)+1)</f>
        <v/>
      </c>
      <c r="AK127" s="229" t="str">
        <f>IFERROR(INDEX($A$4:$A$1000,MATCH(ROW()-ROW($AK$3),$AJ$4:$AJ$1000,0)),"")</f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499"/>
      <c r="AF128" s="500"/>
      <c r="AG128" s="500"/>
      <c r="AH128" s="501"/>
      <c r="AJ128" s="229" t="str">
        <f>IF(OR(A128="",AND(ISNUMBER(FIND("[", A128)), ISNUMBER(FIND("ALL", A128)), ISNUMBER(FIND("]", A128)))),"",MAX(AJ$3:AJ127)+1)</f>
        <v/>
      </c>
      <c r="AK128" s="229" t="str">
        <f>IFERROR(INDEX($A$4:$A$1000,MATCH(ROW()-ROW($AK$3),$AJ$4:$AJ$1000,0)),"")</f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499"/>
      <c r="AF129" s="500"/>
      <c r="AG129" s="500"/>
      <c r="AH129" s="501"/>
      <c r="AJ129" s="229" t="str">
        <f>IF(OR(A129="",AND(ISNUMBER(FIND("[", A129)), ISNUMBER(FIND("ALL", A129)), ISNUMBER(FIND("]", A129)))),"",MAX(AJ$3:AJ128)+1)</f>
        <v/>
      </c>
      <c r="AK129" s="229" t="str">
        <f>IFERROR(INDEX($A$4:$A$1000,MATCH(ROW()-ROW($AK$3),$AJ$4:$AJ$1000,0)),"")</f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499"/>
      <c r="AF130" s="500"/>
      <c r="AG130" s="500"/>
      <c r="AH130" s="501"/>
      <c r="AJ130" s="229" t="str">
        <f>IF(OR(A130="",AND(ISNUMBER(FIND("[", A130)), ISNUMBER(FIND("ALL", A130)), ISNUMBER(FIND("]", A130)))),"",MAX(AJ$3:AJ129)+1)</f>
        <v/>
      </c>
      <c r="AK130" s="229" t="str">
        <f>IFERROR(INDEX($A$4:$A$1000,MATCH(ROW()-ROW($AK$3),$AJ$4:$AJ$1000,0)),"")</f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499"/>
      <c r="AF131" s="500"/>
      <c r="AG131" s="500"/>
      <c r="AH131" s="501"/>
      <c r="AJ131" s="229" t="str">
        <f>IF(OR(A131="",AND(ISNUMBER(FIND("[", A131)), ISNUMBER(FIND("ALL", A131)), ISNUMBER(FIND("]", A131)))),"",MAX(AJ$3:AJ130)+1)</f>
        <v/>
      </c>
      <c r="AK131" s="229" t="str">
        <f>IFERROR(INDEX($A$4:$A$1000,MATCH(ROW()-ROW($AK$3),$AJ$4:$AJ$1000,0)),"")</f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499"/>
      <c r="AF132" s="500"/>
      <c r="AG132" s="500"/>
      <c r="AH132" s="501"/>
      <c r="AJ132" s="229" t="str">
        <f>IF(OR(A132="",AND(ISNUMBER(FIND("[", A132)), ISNUMBER(FIND("ALL", A132)), ISNUMBER(FIND("]", A132)))),"",MAX(AJ$3:AJ131)+1)</f>
        <v/>
      </c>
      <c r="AK132" s="229" t="str">
        <f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499"/>
      <c r="AF133" s="500"/>
      <c r="AG133" s="500"/>
      <c r="AH133" s="501"/>
      <c r="AJ133" s="229" t="str">
        <f>IF(OR(A133="",AND(ISNUMBER(FIND("[", A133)), ISNUMBER(FIND("ALL", A133)), ISNUMBER(FIND("]", A133)))),"",MAX(AJ$3:AJ132)+1)</f>
        <v/>
      </c>
      <c r="AK133" s="229" t="str">
        <f>IFERROR(INDEX($A$4:$A$1000,MATCH(ROW()-ROW($AK$3),$AJ$4:$AJ$1000,0)),"")</f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499"/>
      <c r="AF134" s="500"/>
      <c r="AG134" s="500"/>
      <c r="AH134" s="501"/>
      <c r="AJ134" s="229" t="str">
        <f>IF(OR(A134="",AND(ISNUMBER(FIND("[", A134)), ISNUMBER(FIND("ALL", A134)), ISNUMBER(FIND("]", A134)))),"",MAX(AJ$3:AJ133)+1)</f>
        <v/>
      </c>
      <c r="AK134" s="229" t="str">
        <f>IFERROR(INDEX($A$4:$A$1000,MATCH(ROW()-ROW($AK$3),$AJ$4:$AJ$1000,0)),"")</f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499"/>
      <c r="AF135" s="500"/>
      <c r="AG135" s="500"/>
      <c r="AH135" s="501"/>
      <c r="AJ135" s="229" t="str">
        <f>IF(OR(A135="",AND(ISNUMBER(FIND("[", A135)), ISNUMBER(FIND("ALL", A135)), ISNUMBER(FIND("]", A135)))),"",MAX(AJ$3:AJ134)+1)</f>
        <v/>
      </c>
      <c r="AK135" s="229" t="str">
        <f>IFERROR(INDEX($A$4:$A$1000,MATCH(ROW()-ROW($AK$3),$AJ$4:$AJ$1000,0)),"")</f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499"/>
      <c r="AF136" s="500"/>
      <c r="AG136" s="500"/>
      <c r="AH136" s="501"/>
      <c r="AJ136" s="229" t="str">
        <f>IF(OR(A136="",AND(ISNUMBER(FIND("[", A136)), ISNUMBER(FIND("ALL", A136)), ISNUMBER(FIND("]", A136)))),"",MAX(AJ$3:AJ135)+1)</f>
        <v/>
      </c>
      <c r="AK136" s="229" t="str">
        <f>IFERROR(INDEX($A$4:$A$1000,MATCH(ROW()-ROW($AK$3),$AJ$4:$AJ$1000,0)),"")</f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499"/>
      <c r="AF137" s="500"/>
      <c r="AG137" s="500"/>
      <c r="AH137" s="501"/>
      <c r="AJ137" s="229" t="str">
        <f>IF(OR(A137="",AND(ISNUMBER(FIND("[", A137)), ISNUMBER(FIND("ALL", A137)), ISNUMBER(FIND("]", A137)))),"",MAX(AJ$3:AJ136)+1)</f>
        <v/>
      </c>
      <c r="AK137" s="229" t="str">
        <f>IFERROR(INDEX($A$4:$A$1000,MATCH(ROW()-ROW($AK$3),$AJ$4:$AJ$1000,0)),"")</f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499"/>
      <c r="AF138" s="500"/>
      <c r="AG138" s="500"/>
      <c r="AH138" s="501"/>
      <c r="AJ138" s="229" t="str">
        <f>IF(OR(A138="",AND(ISNUMBER(FIND("[", A138)), ISNUMBER(FIND("ALL", A138)), ISNUMBER(FIND("]", A138)))),"",MAX(AJ$3:AJ137)+1)</f>
        <v/>
      </c>
      <c r="AK138" s="229" t="str">
        <f>IFERROR(INDEX($A$4:$A$1000,MATCH(ROW()-ROW($AK$3),$AJ$4:$AJ$1000,0)),"")</f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499"/>
      <c r="AF139" s="500"/>
      <c r="AG139" s="500"/>
      <c r="AH139" s="501"/>
      <c r="AJ139" s="229" t="str">
        <f>IF(OR(A139="",AND(ISNUMBER(FIND("[", A139)), ISNUMBER(FIND("ALL", A139)), ISNUMBER(FIND("]", A139)))),"",MAX(AJ$3:AJ138)+1)</f>
        <v/>
      </c>
      <c r="AK139" s="229" t="str">
        <f>IFERROR(INDEX($A$4:$A$1000,MATCH(ROW()-ROW($AK$3),$AJ$4:$AJ$1000,0)),"")</f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499"/>
      <c r="AF140" s="500"/>
      <c r="AG140" s="500"/>
      <c r="AH140" s="501"/>
      <c r="AJ140" s="229" t="str">
        <f>IF(OR(A140="",AND(ISNUMBER(FIND("[", A140)), ISNUMBER(FIND("ALL", A140)), ISNUMBER(FIND("]", A140)))),"",MAX(AJ$3:AJ139)+1)</f>
        <v/>
      </c>
      <c r="AK140" s="229" t="str">
        <f>IFERROR(INDEX($A$4:$A$1000,MATCH(ROW()-ROW($AK$3),$AJ$4:$AJ$1000,0)),"")</f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499"/>
      <c r="AF141" s="500"/>
      <c r="AG141" s="500"/>
      <c r="AH141" s="501"/>
      <c r="AJ141" s="229" t="str">
        <f>IF(OR(A141="",AND(ISNUMBER(FIND("[", A141)), ISNUMBER(FIND("ALL", A141)), ISNUMBER(FIND("]", A141)))),"",MAX(AJ$3:AJ140)+1)</f>
        <v/>
      </c>
      <c r="AK141" s="229" t="str">
        <f>IFERROR(INDEX($A$4:$A$1000,MATCH(ROW()-ROW($AK$3),$AJ$4:$AJ$1000,0)),"")</f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499"/>
      <c r="AF142" s="500"/>
      <c r="AG142" s="500"/>
      <c r="AH142" s="501"/>
      <c r="AJ142" s="229" t="str">
        <f>IF(OR(A142="",AND(ISNUMBER(FIND("[", A142)), ISNUMBER(FIND("ALL", A142)), ISNUMBER(FIND("]", A142)))),"",MAX(AJ$3:AJ141)+1)</f>
        <v/>
      </c>
      <c r="AK142" s="229" t="str">
        <f>IFERROR(INDEX($A$4:$A$1000,MATCH(ROW()-ROW($AK$3),$AJ$4:$AJ$1000,0)),"")</f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499"/>
      <c r="AF143" s="500"/>
      <c r="AG143" s="500"/>
      <c r="AH143" s="501"/>
      <c r="AJ143" s="229" t="str">
        <f>IF(OR(A143="",AND(ISNUMBER(FIND("[", A143)), ISNUMBER(FIND("ALL", A143)), ISNUMBER(FIND("]", A143)))),"",MAX(AJ$3:AJ142)+1)</f>
        <v/>
      </c>
      <c r="AK143" s="229" t="str">
        <f>IFERROR(INDEX($A$4:$A$1000,MATCH(ROW()-ROW($AK$3),$AJ$4:$AJ$1000,0)),"")</f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499"/>
      <c r="AF144" s="500"/>
      <c r="AG144" s="500"/>
      <c r="AH144" s="501"/>
      <c r="AJ144" s="229" t="str">
        <f>IF(OR(A144="",AND(ISNUMBER(FIND("[", A144)), ISNUMBER(FIND("ALL", A144)), ISNUMBER(FIND("]", A144)))),"",MAX(AJ$3:AJ143)+1)</f>
        <v/>
      </c>
      <c r="AK144" s="229" t="str">
        <f>IFERROR(INDEX($A$4:$A$1000,MATCH(ROW()-ROW($AK$3),$AJ$4:$AJ$1000,0)),"")</f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499"/>
      <c r="AF145" s="500"/>
      <c r="AG145" s="500"/>
      <c r="AH145" s="501"/>
      <c r="AJ145" s="229" t="str">
        <f>IF(OR(A145="",AND(ISNUMBER(FIND("[", A145)), ISNUMBER(FIND("ALL", A145)), ISNUMBER(FIND("]", A145)))),"",MAX(AJ$3:AJ144)+1)</f>
        <v/>
      </c>
      <c r="AK145" s="229" t="str">
        <f>IFERROR(INDEX($A$4:$A$1000,MATCH(ROW()-ROW($AK$3),$AJ$4:$AJ$1000,0)),"")</f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499"/>
      <c r="AF146" s="500"/>
      <c r="AG146" s="500"/>
      <c r="AH146" s="501"/>
      <c r="AJ146" s="229" t="str">
        <f>IF(OR(A146="",AND(ISNUMBER(FIND("[", A146)), ISNUMBER(FIND("ALL", A146)), ISNUMBER(FIND("]", A146)))),"",MAX(AJ$3:AJ145)+1)</f>
        <v/>
      </c>
      <c r="AK146" s="229" t="str">
        <f>IFERROR(INDEX($A$4:$A$1000,MATCH(ROW()-ROW($AK$3),$AJ$4:$AJ$1000,0)),"")</f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499"/>
      <c r="AF147" s="500"/>
      <c r="AG147" s="500"/>
      <c r="AH147" s="501"/>
      <c r="AJ147" s="229" t="str">
        <f>IF(OR(A147="",AND(ISNUMBER(FIND("[", A147)), ISNUMBER(FIND("ALL", A147)), ISNUMBER(FIND("]", A147)))),"",MAX(AJ$3:AJ146)+1)</f>
        <v/>
      </c>
      <c r="AK147" s="229" t="str">
        <f>IFERROR(INDEX($A$4:$A$1000,MATCH(ROW()-ROW($AK$3),$AJ$4:$AJ$1000,0)),"")</f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499"/>
      <c r="AF148" s="500"/>
      <c r="AG148" s="500"/>
      <c r="AH148" s="501"/>
      <c r="AJ148" s="229" t="str">
        <f>IF(OR(A148="",AND(ISNUMBER(FIND("[", A148)), ISNUMBER(FIND("ALL", A148)), ISNUMBER(FIND("]", A148)))),"",MAX(AJ$3:AJ147)+1)</f>
        <v/>
      </c>
      <c r="AK148" s="229" t="str">
        <f>IFERROR(INDEX($A$4:$A$1000,MATCH(ROW()-ROW($AK$3),$AJ$4:$AJ$1000,0)),"")</f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499"/>
      <c r="AF149" s="500"/>
      <c r="AG149" s="500"/>
      <c r="AH149" s="501"/>
      <c r="AJ149" s="229" t="str">
        <f>IF(OR(A149="",AND(ISNUMBER(FIND("[", A149)), ISNUMBER(FIND("ALL", A149)), ISNUMBER(FIND("]", A149)))),"",MAX(AJ$3:AJ148)+1)</f>
        <v/>
      </c>
      <c r="AK149" s="229" t="str">
        <f>IFERROR(INDEX($A$4:$A$1000,MATCH(ROW()-ROW($AK$3),$AJ$4:$AJ$1000,0)),"")</f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499"/>
      <c r="AF150" s="500"/>
      <c r="AG150" s="500"/>
      <c r="AH150" s="501"/>
      <c r="AJ150" s="229" t="str">
        <f>IF(OR(A150="",AND(ISNUMBER(FIND("[", A150)), ISNUMBER(FIND("ALL", A150)), ISNUMBER(FIND("]", A150)))),"",MAX(AJ$3:AJ149)+1)</f>
        <v/>
      </c>
      <c r="AK150" s="229" t="str">
        <f>IFERROR(INDEX($A$4:$A$1000,MATCH(ROW()-ROW($AK$3),$AJ$4:$AJ$1000,0)),"")</f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499"/>
      <c r="AF151" s="500"/>
      <c r="AG151" s="500"/>
      <c r="AH151" s="501"/>
      <c r="AJ151" s="229" t="str">
        <f>IF(OR(A151="",AND(ISNUMBER(FIND("[", A151)), ISNUMBER(FIND("ALL", A151)), ISNUMBER(FIND("]", A151)))),"",MAX(AJ$3:AJ150)+1)</f>
        <v/>
      </c>
      <c r="AK151" s="229" t="str">
        <f>IFERROR(INDEX($A$4:$A$1000,MATCH(ROW()-ROW($AK$3),$AJ$4:$AJ$1000,0)),"")</f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499"/>
      <c r="AF152" s="500"/>
      <c r="AG152" s="500"/>
      <c r="AH152" s="501"/>
      <c r="AJ152" s="229" t="str">
        <f>IF(OR(A152="",AND(ISNUMBER(FIND("[", A152)), ISNUMBER(FIND("ALL", A152)), ISNUMBER(FIND("]", A152)))),"",MAX(AJ$3:AJ151)+1)</f>
        <v/>
      </c>
      <c r="AK152" s="229" t="str">
        <f>IFERROR(INDEX($A$4:$A$1000,MATCH(ROW()-ROW($AK$3),$AJ$4:$AJ$1000,0)),"")</f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499"/>
      <c r="AF153" s="500"/>
      <c r="AG153" s="500"/>
      <c r="AH153" s="501"/>
      <c r="AJ153" s="229" t="str">
        <f>IF(OR(A153="",AND(ISNUMBER(FIND("[", A153)), ISNUMBER(FIND("ALL", A153)), ISNUMBER(FIND("]", A153)))),"",MAX(AJ$3:AJ152)+1)</f>
        <v/>
      </c>
      <c r="AK153" s="229" t="str">
        <f>IFERROR(INDEX($A$4:$A$1000,MATCH(ROW()-ROW($AK$3),$AJ$4:$AJ$1000,0)),"")</f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499"/>
      <c r="AF154" s="500"/>
      <c r="AG154" s="500"/>
      <c r="AH154" s="501"/>
      <c r="AJ154" s="229" t="str">
        <f>IF(OR(A154="",AND(ISNUMBER(FIND("[", A154)), ISNUMBER(FIND("ALL", A154)), ISNUMBER(FIND("]", A154)))),"",MAX(AJ$3:AJ153)+1)</f>
        <v/>
      </c>
      <c r="AK154" s="229" t="str">
        <f>IFERROR(INDEX($A$4:$A$1000,MATCH(ROW()-ROW($AK$3),$AJ$4:$AJ$1000,0)),"")</f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499"/>
      <c r="AF155" s="500"/>
      <c r="AG155" s="500"/>
      <c r="AH155" s="501"/>
      <c r="AJ155" s="229" t="str">
        <f>IF(OR(A155="",AND(ISNUMBER(FIND("[", A155)), ISNUMBER(FIND("ALL", A155)), ISNUMBER(FIND("]", A155)))),"",MAX(AJ$3:AJ154)+1)</f>
        <v/>
      </c>
      <c r="AK155" s="229" t="str">
        <f>IFERROR(INDEX($A$4:$A$1000,MATCH(ROW()-ROW($AK$3),$AJ$4:$AJ$1000,0)),"")</f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499"/>
      <c r="AF156" s="500"/>
      <c r="AG156" s="500"/>
      <c r="AH156" s="501"/>
      <c r="AJ156" s="229" t="str">
        <f>IF(OR(A156="",AND(ISNUMBER(FIND("[", A156)), ISNUMBER(FIND("ALL", A156)), ISNUMBER(FIND("]", A156)))),"",MAX(AJ$3:AJ155)+1)</f>
        <v/>
      </c>
      <c r="AK156" s="229" t="str">
        <f>IFERROR(INDEX($A$4:$A$1000,MATCH(ROW()-ROW($AK$3),$AJ$4:$AJ$1000,0)),"")</f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499"/>
      <c r="AF157" s="500"/>
      <c r="AG157" s="500"/>
      <c r="AH157" s="501"/>
      <c r="AJ157" s="229" t="str">
        <f>IF(OR(A157="",AND(ISNUMBER(FIND("[", A157)), ISNUMBER(FIND("ALL", A157)), ISNUMBER(FIND("]", A157)))),"",MAX(AJ$3:AJ156)+1)</f>
        <v/>
      </c>
      <c r="AK157" s="229" t="str">
        <f>IFERROR(INDEX($A$4:$A$1000,MATCH(ROW()-ROW($AK$3),$AJ$4:$AJ$1000,0)),"")</f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499"/>
      <c r="AF158" s="500"/>
      <c r="AG158" s="500"/>
      <c r="AH158" s="501"/>
      <c r="AJ158" s="229" t="str">
        <f>IF(OR(A158="",AND(ISNUMBER(FIND("[", A158)), ISNUMBER(FIND("ALL", A158)), ISNUMBER(FIND("]", A158)))),"",MAX(AJ$3:AJ157)+1)</f>
        <v/>
      </c>
      <c r="AK158" s="229" t="str">
        <f>IFERROR(INDEX($A$4:$A$1000,MATCH(ROW()-ROW($AK$3),$AJ$4:$AJ$1000,0)),"")</f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499"/>
      <c r="AF159" s="500"/>
      <c r="AG159" s="500"/>
      <c r="AH159" s="501"/>
      <c r="AJ159" s="229" t="str">
        <f>IF(OR(A159="",AND(ISNUMBER(FIND("[", A159)), ISNUMBER(FIND("ALL", A159)), ISNUMBER(FIND("]", A159)))),"",MAX(AJ$3:AJ158)+1)</f>
        <v/>
      </c>
      <c r="AK159" s="229" t="str">
        <f>IFERROR(INDEX($A$4:$A$1000,MATCH(ROW()-ROW($AK$3),$AJ$4:$AJ$1000,0)),"")</f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499"/>
      <c r="AF160" s="500"/>
      <c r="AG160" s="500"/>
      <c r="AH160" s="501"/>
      <c r="AJ160" s="229" t="str">
        <f>IF(OR(A160="",AND(ISNUMBER(FIND("[", A160)), ISNUMBER(FIND("ALL", A160)), ISNUMBER(FIND("]", A160)))),"",MAX(AJ$3:AJ159)+1)</f>
        <v/>
      </c>
      <c r="AK160" s="229" t="str">
        <f>IFERROR(INDEX($A$4:$A$1000,MATCH(ROW()-ROW($AK$3),$AJ$4:$AJ$1000,0)),"")</f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499"/>
      <c r="AF161" s="500"/>
      <c r="AG161" s="500"/>
      <c r="AH161" s="501"/>
      <c r="AJ161" s="229" t="str">
        <f>IF(OR(A161="",AND(ISNUMBER(FIND("[", A161)), ISNUMBER(FIND("ALL", A161)), ISNUMBER(FIND("]", A161)))),"",MAX(AJ$3:AJ160)+1)</f>
        <v/>
      </c>
      <c r="AK161" s="229" t="str">
        <f>IFERROR(INDEX($A$4:$A$1000,MATCH(ROW()-ROW($AK$3),$AJ$4:$AJ$1000,0)),"")</f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499"/>
      <c r="AF162" s="500"/>
      <c r="AG162" s="500"/>
      <c r="AH162" s="501"/>
      <c r="AJ162" s="229" t="str">
        <f>IF(OR(A162="",AND(ISNUMBER(FIND("[", A162)), ISNUMBER(FIND("ALL", A162)), ISNUMBER(FIND("]", A162)))),"",MAX(AJ$3:AJ161)+1)</f>
        <v/>
      </c>
      <c r="AK162" s="229" t="str">
        <f>IFERROR(INDEX($A$4:$A$1000,MATCH(ROW()-ROW($AK$3),$AJ$4:$AJ$1000,0)),"")</f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499"/>
      <c r="AF163" s="500"/>
      <c r="AG163" s="500"/>
      <c r="AH163" s="501"/>
      <c r="AJ163" s="229" t="str">
        <f>IF(OR(A163="",AND(ISNUMBER(FIND("[", A163)), ISNUMBER(FIND("ALL", A163)), ISNUMBER(FIND("]", A163)))),"",MAX(AJ$3:AJ162)+1)</f>
        <v/>
      </c>
      <c r="AK163" s="229" t="str">
        <f>IFERROR(INDEX($A$4:$A$1000,MATCH(ROW()-ROW($AK$3),$AJ$4:$AJ$1000,0)),"")</f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499"/>
      <c r="AF164" s="500"/>
      <c r="AG164" s="500"/>
      <c r="AH164" s="501"/>
      <c r="AJ164" s="229" t="str">
        <f>IF(OR(A164="",AND(ISNUMBER(FIND("[", A164)), ISNUMBER(FIND("ALL", A164)), ISNUMBER(FIND("]", A164)))),"",MAX(AJ$3:AJ163)+1)</f>
        <v/>
      </c>
      <c r="AK164" s="229" t="str">
        <f>IFERROR(INDEX($A$4:$A$1000,MATCH(ROW()-ROW($AK$3),$AJ$4:$AJ$1000,0)),"")</f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499"/>
      <c r="AF165" s="500"/>
      <c r="AG165" s="500"/>
      <c r="AH165" s="501"/>
      <c r="AJ165" s="229" t="str">
        <f>IF(OR(A165="",AND(ISNUMBER(FIND("[", A165)), ISNUMBER(FIND("ALL", A165)), ISNUMBER(FIND("]", A165)))),"",MAX(AJ$3:AJ164)+1)</f>
        <v/>
      </c>
      <c r="AK165" s="229" t="str">
        <f>IFERROR(INDEX($A$4:$A$1000,MATCH(ROW()-ROW($AK$3),$AJ$4:$AJ$1000,0)),"")</f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499"/>
      <c r="AF166" s="500"/>
      <c r="AG166" s="500"/>
      <c r="AH166" s="501"/>
      <c r="AJ166" s="229" t="str">
        <f>IF(OR(A166="",AND(ISNUMBER(FIND("[", A166)), ISNUMBER(FIND("ALL", A166)), ISNUMBER(FIND("]", A166)))),"",MAX(AJ$3:AJ165)+1)</f>
        <v/>
      </c>
      <c r="AK166" s="229" t="str">
        <f>IFERROR(INDEX($A$4:$A$1000,MATCH(ROW()-ROW($AK$3),$AJ$4:$AJ$1000,0)),"")</f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499"/>
      <c r="AF167" s="500"/>
      <c r="AG167" s="500"/>
      <c r="AH167" s="501"/>
      <c r="AJ167" s="229" t="str">
        <f>IF(OR(A167="",AND(ISNUMBER(FIND("[", A167)), ISNUMBER(FIND("ALL", A167)), ISNUMBER(FIND("]", A167)))),"",MAX(AJ$3:AJ166)+1)</f>
        <v/>
      </c>
      <c r="AK167" s="229" t="str">
        <f>IFERROR(INDEX($A$4:$A$1000,MATCH(ROW()-ROW($AK$3),$AJ$4:$AJ$1000,0)),"")</f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499"/>
      <c r="AF168" s="500"/>
      <c r="AG168" s="500"/>
      <c r="AH168" s="501"/>
      <c r="AJ168" s="229" t="str">
        <f>IF(OR(A168="",AND(ISNUMBER(FIND("[", A168)), ISNUMBER(FIND("ALL", A168)), ISNUMBER(FIND("]", A168)))),"",MAX(AJ$3:AJ167)+1)</f>
        <v/>
      </c>
      <c r="AK168" s="229" t="str">
        <f>IFERROR(INDEX($A$4:$A$1000,MATCH(ROW()-ROW($AK$3),$AJ$4:$AJ$1000,0)),"")</f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499"/>
      <c r="AF169" s="500"/>
      <c r="AG169" s="500"/>
      <c r="AH169" s="501"/>
      <c r="AJ169" s="229" t="str">
        <f>IF(OR(A169="",AND(ISNUMBER(FIND("[", A169)), ISNUMBER(FIND("ALL", A169)), ISNUMBER(FIND("]", A169)))),"",MAX(AJ$3:AJ168)+1)</f>
        <v/>
      </c>
      <c r="AK169" s="229" t="str">
        <f>IFERROR(INDEX($A$4:$A$1000,MATCH(ROW()-ROW($AK$3),$AJ$4:$AJ$1000,0)),"")</f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499"/>
      <c r="AF170" s="500"/>
      <c r="AG170" s="500"/>
      <c r="AH170" s="501"/>
      <c r="AJ170" s="229" t="str">
        <f>IF(OR(A170="",AND(ISNUMBER(FIND("[", A170)), ISNUMBER(FIND("ALL", A170)), ISNUMBER(FIND("]", A170)))),"",MAX(AJ$3:AJ169)+1)</f>
        <v/>
      </c>
      <c r="AK170" s="229" t="str">
        <f>IFERROR(INDEX($A$4:$A$1000,MATCH(ROW()-ROW($AK$3),$AJ$4:$AJ$1000,0)),"")</f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499"/>
      <c r="AF171" s="500"/>
      <c r="AG171" s="500"/>
      <c r="AH171" s="501"/>
      <c r="AJ171" s="229" t="str">
        <f>IF(OR(A171="",AND(ISNUMBER(FIND("[", A171)), ISNUMBER(FIND("ALL", A171)), ISNUMBER(FIND("]", A171)))),"",MAX(AJ$3:AJ170)+1)</f>
        <v/>
      </c>
      <c r="AK171" s="229" t="str">
        <f>IFERROR(INDEX($A$4:$A$1000,MATCH(ROW()-ROW($AK$3),$AJ$4:$AJ$1000,0)),"")</f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499"/>
      <c r="AF172" s="500"/>
      <c r="AG172" s="500"/>
      <c r="AH172" s="501"/>
      <c r="AJ172" s="229" t="str">
        <f>IF(OR(A172="",AND(ISNUMBER(FIND("[", A172)), ISNUMBER(FIND("ALL", A172)), ISNUMBER(FIND("]", A172)))),"",MAX(AJ$3:AJ171)+1)</f>
        <v/>
      </c>
      <c r="AK172" s="229" t="str">
        <f>IFERROR(INDEX($A$4:$A$1000,MATCH(ROW()-ROW($AK$3),$AJ$4:$AJ$1000,0)),"")</f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499"/>
      <c r="AF173" s="500"/>
      <c r="AG173" s="500"/>
      <c r="AH173" s="501"/>
      <c r="AJ173" s="229" t="str">
        <f>IF(OR(A173="",AND(ISNUMBER(FIND("[", A173)), ISNUMBER(FIND("ALL", A173)), ISNUMBER(FIND("]", A173)))),"",MAX(AJ$3:AJ172)+1)</f>
        <v/>
      </c>
      <c r="AK173" s="229" t="str">
        <f>IFERROR(INDEX($A$4:$A$1000,MATCH(ROW()-ROW($AK$3),$AJ$4:$AJ$1000,0)),"")</f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499"/>
      <c r="AF174" s="500"/>
      <c r="AG174" s="500"/>
      <c r="AH174" s="501"/>
      <c r="AJ174" s="229" t="str">
        <f>IF(OR(A174="",AND(ISNUMBER(FIND("[", A174)), ISNUMBER(FIND("ALL", A174)), ISNUMBER(FIND("]", A174)))),"",MAX(AJ$3:AJ173)+1)</f>
        <v/>
      </c>
      <c r="AK174" s="229" t="str">
        <f>IFERROR(INDEX($A$4:$A$1000,MATCH(ROW()-ROW($AK$3),$AJ$4:$AJ$1000,0)),"")</f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499"/>
      <c r="AF175" s="500"/>
      <c r="AG175" s="500"/>
      <c r="AH175" s="501"/>
      <c r="AJ175" s="229" t="str">
        <f>IF(OR(A175="",AND(ISNUMBER(FIND("[", A175)), ISNUMBER(FIND("ALL", A175)), ISNUMBER(FIND("]", A175)))),"",MAX(AJ$3:AJ174)+1)</f>
        <v/>
      </c>
      <c r="AK175" s="229" t="str">
        <f>IFERROR(INDEX($A$4:$A$1000,MATCH(ROW()-ROW($AK$3),$AJ$4:$AJ$1000,0)),"")</f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499"/>
      <c r="AF176" s="500"/>
      <c r="AG176" s="500"/>
      <c r="AH176" s="501"/>
      <c r="AJ176" s="229" t="str">
        <f>IF(OR(A176="",AND(ISNUMBER(FIND("[", A176)), ISNUMBER(FIND("ALL", A176)), ISNUMBER(FIND("]", A176)))),"",MAX(AJ$3:AJ175)+1)</f>
        <v/>
      </c>
      <c r="AK176" s="229" t="str">
        <f>IFERROR(INDEX($A$4:$A$1000,MATCH(ROW()-ROW($AK$3),$AJ$4:$AJ$1000,0)),"")</f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499"/>
      <c r="AF177" s="500"/>
      <c r="AG177" s="500"/>
      <c r="AH177" s="501"/>
      <c r="AJ177" s="229" t="str">
        <f>IF(OR(A177="",AND(ISNUMBER(FIND("[", A177)), ISNUMBER(FIND("ALL", A177)), ISNUMBER(FIND("]", A177)))),"",MAX(AJ$3:AJ176)+1)</f>
        <v/>
      </c>
      <c r="AK177" s="229" t="str">
        <f>IFERROR(INDEX($A$4:$A$1000,MATCH(ROW()-ROW($AK$3),$AJ$4:$AJ$1000,0)),"")</f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499"/>
      <c r="AF178" s="500"/>
      <c r="AG178" s="500"/>
      <c r="AH178" s="501"/>
      <c r="AJ178" s="229" t="str">
        <f>IF(OR(A178="",AND(ISNUMBER(FIND("[", A178)), ISNUMBER(FIND("ALL", A178)), ISNUMBER(FIND("]", A178)))),"",MAX(AJ$3:AJ177)+1)</f>
        <v/>
      </c>
      <c r="AK178" s="229" t="str">
        <f>IFERROR(INDEX($A$4:$A$1000,MATCH(ROW()-ROW($AK$3),$AJ$4:$AJ$1000,0)),"")</f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499"/>
      <c r="AF179" s="500"/>
      <c r="AG179" s="500"/>
      <c r="AH179" s="501"/>
      <c r="AJ179" s="229" t="str">
        <f>IF(OR(A179="",AND(ISNUMBER(FIND("[", A179)), ISNUMBER(FIND("ALL", A179)), ISNUMBER(FIND("]", A179)))),"",MAX(AJ$3:AJ178)+1)</f>
        <v/>
      </c>
      <c r="AK179" s="229" t="str">
        <f>IFERROR(INDEX($A$4:$A$1000,MATCH(ROW()-ROW($AK$3),$AJ$4:$AJ$1000,0)),"")</f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499"/>
      <c r="AF180" s="500"/>
      <c r="AG180" s="500"/>
      <c r="AH180" s="501"/>
      <c r="AJ180" s="229" t="str">
        <f>IF(OR(A180="",AND(ISNUMBER(FIND("[", A180)), ISNUMBER(FIND("ALL", A180)), ISNUMBER(FIND("]", A180)))),"",MAX(AJ$3:AJ179)+1)</f>
        <v/>
      </c>
      <c r="AK180" s="229" t="str">
        <f>IFERROR(INDEX($A$4:$A$1000,MATCH(ROW()-ROW($AK$3),$AJ$4:$AJ$1000,0)),"")</f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499"/>
      <c r="AF181" s="500"/>
      <c r="AG181" s="500"/>
      <c r="AH181" s="501"/>
      <c r="AJ181" s="229" t="str">
        <f>IF(OR(A181="",AND(ISNUMBER(FIND("[", A181)), ISNUMBER(FIND("ALL", A181)), ISNUMBER(FIND("]", A181)))),"",MAX(AJ$3:AJ180)+1)</f>
        <v/>
      </c>
      <c r="AK181" s="229" t="str">
        <f>IFERROR(INDEX($A$4:$A$1000,MATCH(ROW()-ROW($AK$3),$AJ$4:$AJ$1000,0)),"")</f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499"/>
      <c r="AF182" s="500"/>
      <c r="AG182" s="500"/>
      <c r="AH182" s="501"/>
      <c r="AJ182" s="229" t="str">
        <f>IF(OR(A182="",AND(ISNUMBER(FIND("[", A182)), ISNUMBER(FIND("ALL", A182)), ISNUMBER(FIND("]", A182)))),"",MAX(AJ$3:AJ181)+1)</f>
        <v/>
      </c>
      <c r="AK182" s="229" t="str">
        <f>IFERROR(INDEX($A$4:$A$1000,MATCH(ROW()-ROW($AK$3),$AJ$4:$AJ$1000,0)),"")</f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499"/>
      <c r="AF183" s="500"/>
      <c r="AG183" s="500"/>
      <c r="AH183" s="501"/>
      <c r="AJ183" s="229" t="str">
        <f>IF(OR(A183="",AND(ISNUMBER(FIND("[", A183)), ISNUMBER(FIND("ALL", A183)), ISNUMBER(FIND("]", A183)))),"",MAX(AJ$3:AJ182)+1)</f>
        <v/>
      </c>
      <c r="AK183" s="229" t="str">
        <f>IFERROR(INDEX($A$4:$A$1000,MATCH(ROW()-ROW($AK$3),$AJ$4:$AJ$1000,0)),"")</f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499"/>
      <c r="AF184" s="500"/>
      <c r="AG184" s="500"/>
      <c r="AH184" s="501"/>
      <c r="AJ184" s="229" t="str">
        <f>IF(OR(A184="",AND(ISNUMBER(FIND("[", A184)), ISNUMBER(FIND("ALL", A184)), ISNUMBER(FIND("]", A184)))),"",MAX(AJ$3:AJ183)+1)</f>
        <v/>
      </c>
      <c r="AK184" s="229" t="str">
        <f>IFERROR(INDEX($A$4:$A$1000,MATCH(ROW()-ROW($AK$3),$AJ$4:$AJ$1000,0)),"")</f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499"/>
      <c r="AF185" s="500"/>
      <c r="AG185" s="500"/>
      <c r="AH185" s="501"/>
      <c r="AJ185" s="229" t="str">
        <f>IF(OR(A185="",AND(ISNUMBER(FIND("[", A185)), ISNUMBER(FIND("ALL", A185)), ISNUMBER(FIND("]", A185)))),"",MAX(AJ$3:AJ184)+1)</f>
        <v/>
      </c>
      <c r="AK185" s="229" t="str">
        <f>IFERROR(INDEX($A$4:$A$1000,MATCH(ROW()-ROW($AK$3),$AJ$4:$AJ$1000,0)),"")</f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499"/>
      <c r="AF186" s="500"/>
      <c r="AG186" s="500"/>
      <c r="AH186" s="501"/>
      <c r="AJ186" s="229" t="str">
        <f>IF(OR(A186="",AND(ISNUMBER(FIND("[", A186)), ISNUMBER(FIND("ALL", A186)), ISNUMBER(FIND("]", A186)))),"",MAX(AJ$3:AJ185)+1)</f>
        <v/>
      </c>
      <c r="AK186" s="229" t="str">
        <f>IFERROR(INDEX($A$4:$A$1000,MATCH(ROW()-ROW($AK$3),$AJ$4:$AJ$1000,0)),"")</f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499"/>
      <c r="AF187" s="500"/>
      <c r="AG187" s="500"/>
      <c r="AH187" s="501"/>
      <c r="AJ187" s="229" t="str">
        <f>IF(OR(A187="",AND(ISNUMBER(FIND("[", A187)), ISNUMBER(FIND("ALL", A187)), ISNUMBER(FIND("]", A187)))),"",MAX(AJ$3:AJ186)+1)</f>
        <v/>
      </c>
      <c r="AK187" s="229" t="str">
        <f>IFERROR(INDEX($A$4:$A$1000,MATCH(ROW()-ROW($AK$3),$AJ$4:$AJ$1000,0)),"")</f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499"/>
      <c r="AF188" s="500"/>
      <c r="AG188" s="500"/>
      <c r="AH188" s="501"/>
      <c r="AJ188" s="229" t="str">
        <f>IF(OR(A188="",AND(ISNUMBER(FIND("[", A188)), ISNUMBER(FIND("ALL", A188)), ISNUMBER(FIND("]", A188)))),"",MAX(AJ$3:AJ187)+1)</f>
        <v/>
      </c>
      <c r="AK188" s="229" t="str">
        <f>IFERROR(INDEX($A$4:$A$1000,MATCH(ROW()-ROW($AK$3),$AJ$4:$AJ$1000,0)),"")</f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499"/>
      <c r="AF189" s="500"/>
      <c r="AG189" s="500"/>
      <c r="AH189" s="501"/>
      <c r="AJ189" s="229" t="str">
        <f>IF(OR(A189="",AND(ISNUMBER(FIND("[", A189)), ISNUMBER(FIND("ALL", A189)), ISNUMBER(FIND("]", A189)))),"",MAX(AJ$3:AJ188)+1)</f>
        <v/>
      </c>
      <c r="AK189" s="229" t="str">
        <f>IFERROR(INDEX($A$4:$A$1000,MATCH(ROW()-ROW($AK$3),$AJ$4:$AJ$1000,0)),"")</f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499"/>
      <c r="AF190" s="500"/>
      <c r="AG190" s="500"/>
      <c r="AH190" s="501"/>
      <c r="AJ190" s="229" t="str">
        <f>IF(OR(A190="",AND(ISNUMBER(FIND("[", A190)), ISNUMBER(FIND("ALL", A190)), ISNUMBER(FIND("]", A190)))),"",MAX(AJ$3:AJ189)+1)</f>
        <v/>
      </c>
      <c r="AK190" s="229" t="str">
        <f>IFERROR(INDEX($A$4:$A$1000,MATCH(ROW()-ROW($AK$3),$AJ$4:$AJ$1000,0)),"")</f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499"/>
      <c r="AF191" s="500"/>
      <c r="AG191" s="500"/>
      <c r="AH191" s="501"/>
      <c r="AJ191" s="229" t="str">
        <f>IF(OR(A191="",AND(ISNUMBER(FIND("[", A191)), ISNUMBER(FIND("ALL", A191)), ISNUMBER(FIND("]", A191)))),"",MAX(AJ$3:AJ190)+1)</f>
        <v/>
      </c>
      <c r="AK191" s="229" t="str">
        <f>IFERROR(INDEX($A$4:$A$1000,MATCH(ROW()-ROW($AK$3),$AJ$4:$AJ$1000,0)),"")</f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499"/>
      <c r="AF192" s="500"/>
      <c r="AG192" s="500"/>
      <c r="AH192" s="501"/>
      <c r="AJ192" s="229" t="str">
        <f>IF(OR(A192="",AND(ISNUMBER(FIND("[", A192)), ISNUMBER(FIND("ALL", A192)), ISNUMBER(FIND("]", A192)))),"",MAX(AJ$3:AJ191)+1)</f>
        <v/>
      </c>
      <c r="AK192" s="229" t="str">
        <f>IFERROR(INDEX($A$4:$A$1000,MATCH(ROW()-ROW($AK$3),$AJ$4:$AJ$1000,0)),"")</f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499"/>
      <c r="AF193" s="500"/>
      <c r="AG193" s="500"/>
      <c r="AH193" s="501"/>
      <c r="AJ193" s="229" t="str">
        <f>IF(OR(A193="",AND(ISNUMBER(FIND("[", A193)), ISNUMBER(FIND("ALL", A193)), ISNUMBER(FIND("]", A193)))),"",MAX(AJ$3:AJ192)+1)</f>
        <v/>
      </c>
      <c r="AK193" s="229" t="str">
        <f>IFERROR(INDEX($A$4:$A$1000,MATCH(ROW()-ROW($AK$3),$AJ$4:$AJ$1000,0)),"")</f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499"/>
      <c r="AF194" s="500"/>
      <c r="AG194" s="500"/>
      <c r="AH194" s="501"/>
      <c r="AJ194" s="229" t="str">
        <f>IF(OR(A194="",AND(ISNUMBER(FIND("[", A194)), ISNUMBER(FIND("ALL", A194)), ISNUMBER(FIND("]", A194)))),"",MAX(AJ$3:AJ193)+1)</f>
        <v/>
      </c>
      <c r="AK194" s="229" t="str">
        <f>IFERROR(INDEX($A$4:$A$1000,MATCH(ROW()-ROW($AK$3),$AJ$4:$AJ$1000,0)),"")</f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499"/>
      <c r="AF195" s="500"/>
      <c r="AG195" s="500"/>
      <c r="AH195" s="501"/>
      <c r="AJ195" s="229" t="str">
        <f>IF(OR(A195="",AND(ISNUMBER(FIND("[", A195)), ISNUMBER(FIND("ALL", A195)), ISNUMBER(FIND("]", A195)))),"",MAX(AJ$3:AJ194)+1)</f>
        <v/>
      </c>
      <c r="AK195" s="229" t="str">
        <f>IFERROR(INDEX($A$4:$A$1000,MATCH(ROW()-ROW($AK$3),$AJ$4:$AJ$1000,0)),"")</f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499"/>
      <c r="AF196" s="500"/>
      <c r="AG196" s="500"/>
      <c r="AH196" s="501"/>
      <c r="AJ196" s="229" t="str">
        <f>IF(OR(A196="",AND(ISNUMBER(FIND("[", A196)), ISNUMBER(FIND("ALL", A196)), ISNUMBER(FIND("]", A196)))),"",MAX(AJ$3:AJ195)+1)</f>
        <v/>
      </c>
      <c r="AK196" s="229" t="str">
        <f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499"/>
      <c r="AF197" s="500"/>
      <c r="AG197" s="500"/>
      <c r="AH197" s="501"/>
      <c r="AJ197" s="229" t="str">
        <f>IF(OR(A197="",AND(ISNUMBER(FIND("[", A197)), ISNUMBER(FIND("ALL", A197)), ISNUMBER(FIND("]", A197)))),"",MAX(AJ$3:AJ196)+1)</f>
        <v/>
      </c>
      <c r="AK197" s="229" t="str">
        <f>IFERROR(INDEX($A$4:$A$1000,MATCH(ROW()-ROW($AK$3),$AJ$4:$AJ$1000,0)),"")</f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499"/>
      <c r="AF198" s="500"/>
      <c r="AG198" s="500"/>
      <c r="AH198" s="501"/>
      <c r="AJ198" s="229" t="str">
        <f>IF(OR(A198="",AND(ISNUMBER(FIND("[", A198)), ISNUMBER(FIND("ALL", A198)), ISNUMBER(FIND("]", A198)))),"",MAX(AJ$3:AJ197)+1)</f>
        <v/>
      </c>
      <c r="AK198" s="229" t="str">
        <f>IFERROR(INDEX($A$4:$A$1000,MATCH(ROW()-ROW($AK$3),$AJ$4:$AJ$1000,0)),"")</f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499"/>
      <c r="AF199" s="500"/>
      <c r="AG199" s="500"/>
      <c r="AH199" s="501"/>
      <c r="AJ199" s="229" t="str">
        <f>IF(OR(A199="",AND(ISNUMBER(FIND("[", A199)), ISNUMBER(FIND("ALL", A199)), ISNUMBER(FIND("]", A199)))),"",MAX(AJ$3:AJ198)+1)</f>
        <v/>
      </c>
      <c r="AK199" s="229" t="str">
        <f>IFERROR(INDEX($A$4:$A$1000,MATCH(ROW()-ROW($AK$3),$AJ$4:$AJ$1000,0)),"")</f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499"/>
      <c r="AF200" s="500"/>
      <c r="AG200" s="500"/>
      <c r="AH200" s="501"/>
      <c r="AJ200" s="229" t="str">
        <f>IF(OR(A200="",AND(ISNUMBER(FIND("[", A200)), ISNUMBER(FIND("ALL", A200)), ISNUMBER(FIND("]", A200)))),"",MAX(AJ$3:AJ199)+1)</f>
        <v/>
      </c>
      <c r="AK200" s="229" t="str">
        <f>IFERROR(INDEX($A$4:$A$1000,MATCH(ROW()-ROW($AK$3),$AJ$4:$AJ$1000,0)),"")</f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499"/>
      <c r="AF201" s="500"/>
      <c r="AG201" s="500"/>
      <c r="AH201" s="501"/>
      <c r="AJ201" s="229" t="str">
        <f>IF(OR(A201="",AND(ISNUMBER(FIND("[", A201)), ISNUMBER(FIND("ALL", A201)), ISNUMBER(FIND("]", A201)))),"",MAX(AJ$3:AJ200)+1)</f>
        <v/>
      </c>
      <c r="AK201" s="229" t="str">
        <f>IFERROR(INDEX($A$4:$A$1000,MATCH(ROW()-ROW($AK$3),$AJ$4:$AJ$1000,0)),"")</f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499"/>
      <c r="AF202" s="500"/>
      <c r="AG202" s="500"/>
      <c r="AH202" s="501"/>
      <c r="AJ202" s="229" t="str">
        <f>IF(OR(A202="",AND(ISNUMBER(FIND("[", A202)), ISNUMBER(FIND("ALL", A202)), ISNUMBER(FIND("]", A202)))),"",MAX(AJ$3:AJ201)+1)</f>
        <v/>
      </c>
      <c r="AK202" s="229" t="str">
        <f>IFERROR(INDEX($A$4:$A$1000,MATCH(ROW()-ROW($AK$3),$AJ$4:$AJ$1000,0)),"")</f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499"/>
      <c r="AF203" s="500"/>
      <c r="AG203" s="500"/>
      <c r="AH203" s="501"/>
      <c r="AJ203" s="229" t="str">
        <f>IF(OR(A203="",AND(ISNUMBER(FIND("[", A203)), ISNUMBER(FIND("ALL", A203)), ISNUMBER(FIND("]", A203)))),"",MAX(AJ$3:AJ202)+1)</f>
        <v/>
      </c>
      <c r="AK203" s="229" t="str">
        <f>IFERROR(INDEX($A$4:$A$1000,MATCH(ROW()-ROW($AK$3),$AJ$4:$AJ$1000,0)),"")</f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499"/>
      <c r="AF204" s="500"/>
      <c r="AG204" s="500"/>
      <c r="AH204" s="501"/>
      <c r="AJ204" s="229" t="str">
        <f>IF(OR(A204="",AND(ISNUMBER(FIND("[", A204)), ISNUMBER(FIND("ALL", A204)), ISNUMBER(FIND("]", A204)))),"",MAX(AJ$3:AJ203)+1)</f>
        <v/>
      </c>
      <c r="AK204" s="229" t="str">
        <f>IFERROR(INDEX($A$4:$A$1000,MATCH(ROW()-ROW($AK$3),$AJ$4:$AJ$1000,0)),"")</f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499"/>
      <c r="AF205" s="500"/>
      <c r="AG205" s="500"/>
      <c r="AH205" s="501"/>
      <c r="AJ205" s="229" t="str">
        <f>IF(OR(A205="",AND(ISNUMBER(FIND("[", A205)), ISNUMBER(FIND("ALL", A205)), ISNUMBER(FIND("]", A205)))),"",MAX(AJ$3:AJ204)+1)</f>
        <v/>
      </c>
      <c r="AK205" s="229" t="str">
        <f>IFERROR(INDEX($A$4:$A$1000,MATCH(ROW()-ROW($AK$3),$AJ$4:$AJ$1000,0)),"")</f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499"/>
      <c r="AF206" s="500"/>
      <c r="AG206" s="500"/>
      <c r="AH206" s="501"/>
      <c r="AJ206" s="229" t="str">
        <f>IF(OR(A206="",AND(ISNUMBER(FIND("[", A206)), ISNUMBER(FIND("ALL", A206)), ISNUMBER(FIND("]", A206)))),"",MAX(AJ$3:AJ205)+1)</f>
        <v/>
      </c>
      <c r="AK206" s="229" t="str">
        <f>IFERROR(INDEX($A$4:$A$1000,MATCH(ROW()-ROW($AK$3),$AJ$4:$AJ$1000,0)),"")</f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499"/>
      <c r="AF207" s="500"/>
      <c r="AG207" s="500"/>
      <c r="AH207" s="501"/>
      <c r="AJ207" s="229" t="str">
        <f>IF(OR(A207="",AND(ISNUMBER(FIND("[", A207)), ISNUMBER(FIND("ALL", A207)), ISNUMBER(FIND("]", A207)))),"",MAX(AJ$3:AJ206)+1)</f>
        <v/>
      </c>
      <c r="AK207" s="229" t="str">
        <f>IFERROR(INDEX($A$4:$A$1000,MATCH(ROW()-ROW($AK$3),$AJ$4:$AJ$1000,0)),"")</f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499"/>
      <c r="AF208" s="500"/>
      <c r="AG208" s="500"/>
      <c r="AH208" s="501"/>
      <c r="AJ208" s="229" t="str">
        <f>IF(OR(A208="",AND(ISNUMBER(FIND("[", A208)), ISNUMBER(FIND("ALL", A208)), ISNUMBER(FIND("]", A208)))),"",MAX(AJ$3:AJ207)+1)</f>
        <v/>
      </c>
      <c r="AK208" s="229" t="str">
        <f>IFERROR(INDEX($A$4:$A$1000,MATCH(ROW()-ROW($AK$3),$AJ$4:$AJ$1000,0)),"")</f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499"/>
      <c r="AF209" s="500"/>
      <c r="AG209" s="500"/>
      <c r="AH209" s="501"/>
      <c r="AJ209" s="229" t="str">
        <f>IF(OR(A209="",AND(ISNUMBER(FIND("[", A209)), ISNUMBER(FIND("ALL", A209)), ISNUMBER(FIND("]", A209)))),"",MAX(AJ$3:AJ208)+1)</f>
        <v/>
      </c>
      <c r="AK209" s="229" t="str">
        <f>IFERROR(INDEX($A$4:$A$1000,MATCH(ROW()-ROW($AK$3),$AJ$4:$AJ$1000,0)),"")</f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499"/>
      <c r="AF210" s="500"/>
      <c r="AG210" s="500"/>
      <c r="AH210" s="501"/>
      <c r="AJ210" s="229" t="str">
        <f>IF(OR(A210="",AND(ISNUMBER(FIND("[", A210)), ISNUMBER(FIND("ALL", A210)), ISNUMBER(FIND("]", A210)))),"",MAX(AJ$3:AJ209)+1)</f>
        <v/>
      </c>
      <c r="AK210" s="229" t="str">
        <f>IFERROR(INDEX($A$4:$A$1000,MATCH(ROW()-ROW($AK$3),$AJ$4:$AJ$1000,0)),"")</f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499"/>
      <c r="AF211" s="500"/>
      <c r="AG211" s="500"/>
      <c r="AH211" s="501"/>
      <c r="AJ211" s="229" t="str">
        <f>IF(OR(A211="",AND(ISNUMBER(FIND("[", A211)), ISNUMBER(FIND("ALL", A211)), ISNUMBER(FIND("]", A211)))),"",MAX(AJ$3:AJ210)+1)</f>
        <v/>
      </c>
      <c r="AK211" s="229" t="str">
        <f>IFERROR(INDEX($A$4:$A$1000,MATCH(ROW()-ROW($AK$3),$AJ$4:$AJ$1000,0)),"")</f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499"/>
      <c r="AF212" s="500"/>
      <c r="AG212" s="500"/>
      <c r="AH212" s="501"/>
      <c r="AJ212" s="229" t="str">
        <f>IF(OR(A212="",AND(ISNUMBER(FIND("[", A212)), ISNUMBER(FIND("ALL", A212)), ISNUMBER(FIND("]", A212)))),"",MAX(AJ$3:AJ211)+1)</f>
        <v/>
      </c>
      <c r="AK212" s="229" t="str">
        <f>IFERROR(INDEX($A$4:$A$1000,MATCH(ROW()-ROW($AK$3),$AJ$4:$AJ$1000,0)),"")</f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499"/>
      <c r="AF213" s="500"/>
      <c r="AG213" s="500"/>
      <c r="AH213" s="501"/>
      <c r="AJ213" s="229" t="str">
        <f>IF(OR(A213="",AND(ISNUMBER(FIND("[", A213)), ISNUMBER(FIND("ALL", A213)), ISNUMBER(FIND("]", A213)))),"",MAX(AJ$3:AJ212)+1)</f>
        <v/>
      </c>
      <c r="AK213" s="229" t="str">
        <f>IFERROR(INDEX($A$4:$A$1000,MATCH(ROW()-ROW($AK$3),$AJ$4:$AJ$1000,0)),"")</f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499"/>
      <c r="AF214" s="500"/>
      <c r="AG214" s="500"/>
      <c r="AH214" s="501"/>
      <c r="AJ214" s="229" t="str">
        <f>IF(OR(A214="",AND(ISNUMBER(FIND("[", A214)), ISNUMBER(FIND("ALL", A214)), ISNUMBER(FIND("]", A214)))),"",MAX(AJ$3:AJ213)+1)</f>
        <v/>
      </c>
      <c r="AK214" s="229" t="str">
        <f>IFERROR(INDEX($A$4:$A$1000,MATCH(ROW()-ROW($AK$3),$AJ$4:$AJ$1000,0)),"")</f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499"/>
      <c r="AF215" s="500"/>
      <c r="AG215" s="500"/>
      <c r="AH215" s="501"/>
      <c r="AJ215" s="229" t="str">
        <f>IF(OR(A215="",AND(ISNUMBER(FIND("[", A215)), ISNUMBER(FIND("ALL", A215)), ISNUMBER(FIND("]", A215)))),"",MAX(AJ$3:AJ214)+1)</f>
        <v/>
      </c>
      <c r="AK215" s="229" t="str">
        <f>IFERROR(INDEX($A$4:$A$1000,MATCH(ROW()-ROW($AK$3),$AJ$4:$AJ$1000,0)),"")</f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499"/>
      <c r="AF216" s="500"/>
      <c r="AG216" s="500"/>
      <c r="AH216" s="501"/>
      <c r="AJ216" s="229" t="str">
        <f>IF(OR(A216="",AND(ISNUMBER(FIND("[", A216)), ISNUMBER(FIND("ALL", A216)), ISNUMBER(FIND("]", A216)))),"",MAX(AJ$3:AJ215)+1)</f>
        <v/>
      </c>
      <c r="AK216" s="229" t="str">
        <f>IFERROR(INDEX($A$4:$A$1000,MATCH(ROW()-ROW($AK$3),$AJ$4:$AJ$1000,0)),"")</f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499"/>
      <c r="AF217" s="500"/>
      <c r="AG217" s="500"/>
      <c r="AH217" s="501"/>
      <c r="AJ217" s="229" t="str">
        <f>IF(OR(A217="",AND(ISNUMBER(FIND("[", A217)), ISNUMBER(FIND("ALL", A217)), ISNUMBER(FIND("]", A217)))),"",MAX(AJ$3:AJ216)+1)</f>
        <v/>
      </c>
      <c r="AK217" s="229" t="str">
        <f>IFERROR(INDEX($A$4:$A$1000,MATCH(ROW()-ROW($AK$3),$AJ$4:$AJ$1000,0)),"")</f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499"/>
      <c r="AF218" s="500"/>
      <c r="AG218" s="500"/>
      <c r="AH218" s="501"/>
      <c r="AJ218" s="229" t="str">
        <f>IF(OR(A218="",AND(ISNUMBER(FIND("[", A218)), ISNUMBER(FIND("ALL", A218)), ISNUMBER(FIND("]", A218)))),"",MAX(AJ$3:AJ217)+1)</f>
        <v/>
      </c>
      <c r="AK218" s="229" t="str">
        <f>IFERROR(INDEX($A$4:$A$1000,MATCH(ROW()-ROW($AK$3),$AJ$4:$AJ$1000,0)),"")</f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499"/>
      <c r="AF219" s="500"/>
      <c r="AG219" s="500"/>
      <c r="AH219" s="501"/>
      <c r="AJ219" s="229" t="str">
        <f>IF(OR(A219="",AND(ISNUMBER(FIND("[", A219)), ISNUMBER(FIND("ALL", A219)), ISNUMBER(FIND("]", A219)))),"",MAX(AJ$3:AJ218)+1)</f>
        <v/>
      </c>
      <c r="AK219" s="229" t="str">
        <f>IFERROR(INDEX($A$4:$A$1000,MATCH(ROW()-ROW($AK$3),$AJ$4:$AJ$1000,0)),"")</f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499"/>
      <c r="AF220" s="500"/>
      <c r="AG220" s="500"/>
      <c r="AH220" s="501"/>
      <c r="AJ220" s="229" t="str">
        <f>IF(OR(A220="",AND(ISNUMBER(FIND("[", A220)), ISNUMBER(FIND("ALL", A220)), ISNUMBER(FIND("]", A220)))),"",MAX(AJ$3:AJ219)+1)</f>
        <v/>
      </c>
      <c r="AK220" s="229" t="str">
        <f>IFERROR(INDEX($A$4:$A$1000,MATCH(ROW()-ROW($AK$3),$AJ$4:$AJ$1000,0)),"")</f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499"/>
      <c r="AF221" s="500"/>
      <c r="AG221" s="500"/>
      <c r="AH221" s="501"/>
      <c r="AJ221" s="229" t="str">
        <f>IF(OR(A221="",AND(ISNUMBER(FIND("[", A221)), ISNUMBER(FIND("ALL", A221)), ISNUMBER(FIND("]", A221)))),"",MAX(AJ$3:AJ220)+1)</f>
        <v/>
      </c>
      <c r="AK221" s="229" t="str">
        <f>IFERROR(INDEX($A$4:$A$1000,MATCH(ROW()-ROW($AK$3),$AJ$4:$AJ$1000,0)),"")</f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499"/>
      <c r="AF222" s="500"/>
      <c r="AG222" s="500"/>
      <c r="AH222" s="501"/>
      <c r="AJ222" s="229" t="str">
        <f>IF(OR(A222="",AND(ISNUMBER(FIND("[", A222)), ISNUMBER(FIND("ALL", A222)), ISNUMBER(FIND("]", A222)))),"",MAX(AJ$3:AJ221)+1)</f>
        <v/>
      </c>
      <c r="AK222" s="229" t="str">
        <f>IFERROR(INDEX($A$4:$A$1000,MATCH(ROW()-ROW($AK$3),$AJ$4:$AJ$1000,0)),"")</f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499"/>
      <c r="AF223" s="500"/>
      <c r="AG223" s="500"/>
      <c r="AH223" s="501"/>
      <c r="AJ223" s="229" t="str">
        <f>IF(OR(A223="",AND(ISNUMBER(FIND("[", A223)), ISNUMBER(FIND("ALL", A223)), ISNUMBER(FIND("]", A223)))),"",MAX(AJ$3:AJ222)+1)</f>
        <v/>
      </c>
      <c r="AK223" s="229" t="str">
        <f>IFERROR(INDEX($A$4:$A$1000,MATCH(ROW()-ROW($AK$3),$AJ$4:$AJ$1000,0)),"")</f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499"/>
      <c r="AF224" s="500"/>
      <c r="AG224" s="500"/>
      <c r="AH224" s="501"/>
      <c r="AJ224" s="229" t="str">
        <f>IF(OR(A224="",AND(ISNUMBER(FIND("[", A224)), ISNUMBER(FIND("ALL", A224)), ISNUMBER(FIND("]", A224)))),"",MAX(AJ$3:AJ223)+1)</f>
        <v/>
      </c>
      <c r="AK224" s="229" t="str">
        <f>IFERROR(INDEX($A$4:$A$1000,MATCH(ROW()-ROW($AK$3),$AJ$4:$AJ$1000,0)),"")</f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499"/>
      <c r="AF225" s="500"/>
      <c r="AG225" s="500"/>
      <c r="AH225" s="501"/>
      <c r="AJ225" s="229" t="str">
        <f>IF(OR(A225="",AND(ISNUMBER(FIND("[", A225)), ISNUMBER(FIND("ALL", A225)), ISNUMBER(FIND("]", A225)))),"",MAX(AJ$3:AJ224)+1)</f>
        <v/>
      </c>
      <c r="AK225" s="229" t="str">
        <f>IFERROR(INDEX($A$4:$A$1000,MATCH(ROW()-ROW($AK$3),$AJ$4:$AJ$1000,0)),"")</f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499"/>
      <c r="AF226" s="500"/>
      <c r="AG226" s="500"/>
      <c r="AH226" s="501"/>
      <c r="AJ226" s="229" t="str">
        <f>IF(OR(A226="",AND(ISNUMBER(FIND("[", A226)), ISNUMBER(FIND("ALL", A226)), ISNUMBER(FIND("]", A226)))),"",MAX(AJ$3:AJ225)+1)</f>
        <v/>
      </c>
      <c r="AK226" s="229" t="str">
        <f>IFERROR(INDEX($A$4:$A$1000,MATCH(ROW()-ROW($AK$3),$AJ$4:$AJ$1000,0)),"")</f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499"/>
      <c r="AF227" s="500"/>
      <c r="AG227" s="500"/>
      <c r="AH227" s="501"/>
      <c r="AJ227" s="229" t="str">
        <f>IF(OR(A227="",AND(ISNUMBER(FIND("[", A227)), ISNUMBER(FIND("ALL", A227)), ISNUMBER(FIND("]", A227)))),"",MAX(AJ$3:AJ226)+1)</f>
        <v/>
      </c>
      <c r="AK227" s="229" t="str">
        <f>IFERROR(INDEX($A$4:$A$1000,MATCH(ROW()-ROW($AK$3),$AJ$4:$AJ$1000,0)),"")</f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499"/>
      <c r="AF228" s="500"/>
      <c r="AG228" s="500"/>
      <c r="AH228" s="501"/>
      <c r="AJ228" s="229" t="str">
        <f>IF(OR(A228="",AND(ISNUMBER(FIND("[", A228)), ISNUMBER(FIND("ALL", A228)), ISNUMBER(FIND("]", A228)))),"",MAX(AJ$3:AJ227)+1)</f>
        <v/>
      </c>
      <c r="AK228" s="229" t="str">
        <f>IFERROR(INDEX($A$4:$A$1000,MATCH(ROW()-ROW($AK$3),$AJ$4:$AJ$1000,0)),"")</f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499"/>
      <c r="AF229" s="500"/>
      <c r="AG229" s="500"/>
      <c r="AH229" s="501"/>
      <c r="AJ229" s="229" t="str">
        <f>IF(OR(A229="",AND(ISNUMBER(FIND("[", A229)), ISNUMBER(FIND("ALL", A229)), ISNUMBER(FIND("]", A229)))),"",MAX(AJ$3:AJ228)+1)</f>
        <v/>
      </c>
      <c r="AK229" s="229" t="str">
        <f>IFERROR(INDEX($A$4:$A$1000,MATCH(ROW()-ROW($AK$3),$AJ$4:$AJ$1000,0)),"")</f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499"/>
      <c r="AF230" s="500"/>
      <c r="AG230" s="500"/>
      <c r="AH230" s="501"/>
      <c r="AJ230" s="229" t="str">
        <f>IF(OR(A230="",AND(ISNUMBER(FIND("[", A230)), ISNUMBER(FIND("ALL", A230)), ISNUMBER(FIND("]", A230)))),"",MAX(AJ$3:AJ229)+1)</f>
        <v/>
      </c>
      <c r="AK230" s="229" t="str">
        <f>IFERROR(INDEX($A$4:$A$1000,MATCH(ROW()-ROW($AK$3),$AJ$4:$AJ$1000,0)),"")</f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499"/>
      <c r="AF231" s="500"/>
      <c r="AG231" s="500"/>
      <c r="AH231" s="501"/>
      <c r="AJ231" s="229" t="str">
        <f>IF(OR(A231="",AND(ISNUMBER(FIND("[", A231)), ISNUMBER(FIND("ALL", A231)), ISNUMBER(FIND("]", A231)))),"",MAX(AJ$3:AJ230)+1)</f>
        <v/>
      </c>
      <c r="AK231" s="229" t="str">
        <f>IFERROR(INDEX($A$4:$A$1000,MATCH(ROW()-ROW($AK$3),$AJ$4:$AJ$1000,0)),"")</f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499"/>
      <c r="AF232" s="500"/>
      <c r="AG232" s="500"/>
      <c r="AH232" s="501"/>
      <c r="AJ232" s="229" t="str">
        <f>IF(OR(A232="",AND(ISNUMBER(FIND("[", A232)), ISNUMBER(FIND("ALL", A232)), ISNUMBER(FIND("]", A232)))),"",MAX(AJ$3:AJ231)+1)</f>
        <v/>
      </c>
      <c r="AK232" s="229" t="str">
        <f>IFERROR(INDEX($A$4:$A$1000,MATCH(ROW()-ROW($AK$3),$AJ$4:$AJ$1000,0)),"")</f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499"/>
      <c r="AF233" s="500"/>
      <c r="AG233" s="500"/>
      <c r="AH233" s="501"/>
      <c r="AJ233" s="229" t="str">
        <f>IF(OR(A233="",AND(ISNUMBER(FIND("[", A233)), ISNUMBER(FIND("ALL", A233)), ISNUMBER(FIND("]", A233)))),"",MAX(AJ$3:AJ232)+1)</f>
        <v/>
      </c>
      <c r="AK233" s="229" t="str">
        <f>IFERROR(INDEX($A$4:$A$1000,MATCH(ROW()-ROW($AK$3),$AJ$4:$AJ$1000,0)),"")</f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499"/>
      <c r="AF234" s="500"/>
      <c r="AG234" s="500"/>
      <c r="AH234" s="501"/>
      <c r="AJ234" s="229" t="str">
        <f>IF(OR(A234="",AND(ISNUMBER(FIND("[", A234)), ISNUMBER(FIND("ALL", A234)), ISNUMBER(FIND("]", A234)))),"",MAX(AJ$3:AJ233)+1)</f>
        <v/>
      </c>
      <c r="AK234" s="229" t="str">
        <f>IFERROR(INDEX($A$4:$A$1000,MATCH(ROW()-ROW($AK$3),$AJ$4:$AJ$1000,0)),"")</f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499"/>
      <c r="AF235" s="500"/>
      <c r="AG235" s="500"/>
      <c r="AH235" s="501"/>
      <c r="AJ235" s="229" t="str">
        <f>IF(OR(A235="",AND(ISNUMBER(FIND("[", A235)), ISNUMBER(FIND("ALL", A235)), ISNUMBER(FIND("]", A235)))),"",MAX(AJ$3:AJ234)+1)</f>
        <v/>
      </c>
      <c r="AK235" s="229" t="str">
        <f>IFERROR(INDEX($A$4:$A$1000,MATCH(ROW()-ROW($AK$3),$AJ$4:$AJ$1000,0)),"")</f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499"/>
      <c r="AF236" s="500"/>
      <c r="AG236" s="500"/>
      <c r="AH236" s="501"/>
      <c r="AJ236" s="229" t="str">
        <f>IF(OR(A236="",AND(ISNUMBER(FIND("[", A236)), ISNUMBER(FIND("ALL", A236)), ISNUMBER(FIND("]", A236)))),"",MAX(AJ$3:AJ235)+1)</f>
        <v/>
      </c>
      <c r="AK236" s="229" t="str">
        <f>IFERROR(INDEX($A$4:$A$1000,MATCH(ROW()-ROW($AK$3),$AJ$4:$AJ$1000,0)),"")</f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499"/>
      <c r="AF237" s="500"/>
      <c r="AG237" s="500"/>
      <c r="AH237" s="501"/>
      <c r="AJ237" s="229" t="str">
        <f>IF(OR(A237="",AND(ISNUMBER(FIND("[", A237)), ISNUMBER(FIND("ALL", A237)), ISNUMBER(FIND("]", A237)))),"",MAX(AJ$3:AJ236)+1)</f>
        <v/>
      </c>
      <c r="AK237" s="229" t="str">
        <f>IFERROR(INDEX($A$4:$A$1000,MATCH(ROW()-ROW($AK$3),$AJ$4:$AJ$1000,0)),"")</f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499"/>
      <c r="AF238" s="500"/>
      <c r="AG238" s="500"/>
      <c r="AH238" s="501"/>
      <c r="AJ238" s="229" t="str">
        <f>IF(OR(A238="",AND(ISNUMBER(FIND("[", A238)), ISNUMBER(FIND("ALL", A238)), ISNUMBER(FIND("]", A238)))),"",MAX(AJ$3:AJ237)+1)</f>
        <v/>
      </c>
      <c r="AK238" s="229" t="str">
        <f>IFERROR(INDEX($A$4:$A$1000,MATCH(ROW()-ROW($AK$3),$AJ$4:$AJ$1000,0)),"")</f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499"/>
      <c r="AF239" s="500"/>
      <c r="AG239" s="500"/>
      <c r="AH239" s="501"/>
      <c r="AJ239" s="229" t="str">
        <f>IF(OR(A239="",AND(ISNUMBER(FIND("[", A239)), ISNUMBER(FIND("ALL", A239)), ISNUMBER(FIND("]", A239)))),"",MAX(AJ$3:AJ238)+1)</f>
        <v/>
      </c>
      <c r="AK239" s="229" t="str">
        <f>IFERROR(INDEX($A$4:$A$1000,MATCH(ROW()-ROW($AK$3),$AJ$4:$AJ$1000,0)),"")</f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499"/>
      <c r="AF240" s="500"/>
      <c r="AG240" s="500"/>
      <c r="AH240" s="501"/>
      <c r="AJ240" s="229" t="str">
        <f>IF(OR(A240="",AND(ISNUMBER(FIND("[", A240)), ISNUMBER(FIND("ALL", A240)), ISNUMBER(FIND("]", A240)))),"",MAX(AJ$3:AJ239)+1)</f>
        <v/>
      </c>
      <c r="AK240" s="229" t="str">
        <f>IFERROR(INDEX($A$4:$A$1000,MATCH(ROW()-ROW($AK$3),$AJ$4:$AJ$1000,0)),"")</f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499"/>
      <c r="AF241" s="500"/>
      <c r="AG241" s="500"/>
      <c r="AH241" s="501"/>
      <c r="AJ241" s="229" t="str">
        <f>IF(OR(A241="",AND(ISNUMBER(FIND("[", A241)), ISNUMBER(FIND("ALL", A241)), ISNUMBER(FIND("]", A241)))),"",MAX(AJ$3:AJ240)+1)</f>
        <v/>
      </c>
      <c r="AK241" s="229" t="str">
        <f>IFERROR(INDEX($A$4:$A$1000,MATCH(ROW()-ROW($AK$3),$AJ$4:$AJ$1000,0)),"")</f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499"/>
      <c r="AF242" s="500"/>
      <c r="AG242" s="500"/>
      <c r="AH242" s="501"/>
      <c r="AJ242" s="229" t="str">
        <f>IF(OR(A242="",AND(ISNUMBER(FIND("[", A242)), ISNUMBER(FIND("ALL", A242)), ISNUMBER(FIND("]", A242)))),"",MAX(AJ$3:AJ241)+1)</f>
        <v/>
      </c>
      <c r="AK242" s="229" t="str">
        <f>IFERROR(INDEX($A$4:$A$1000,MATCH(ROW()-ROW($AK$3),$AJ$4:$AJ$1000,0)),"")</f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499"/>
      <c r="AF243" s="500"/>
      <c r="AG243" s="500"/>
      <c r="AH243" s="501"/>
      <c r="AJ243" s="229" t="str">
        <f>IF(OR(A243="",AND(ISNUMBER(FIND("[", A243)), ISNUMBER(FIND("ALL", A243)), ISNUMBER(FIND("]", A243)))),"",MAX(AJ$3:AJ242)+1)</f>
        <v/>
      </c>
      <c r="AK243" s="229" t="str">
        <f>IFERROR(INDEX($A$4:$A$1000,MATCH(ROW()-ROW($AK$3),$AJ$4:$AJ$1000,0)),"")</f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499"/>
      <c r="AF244" s="500"/>
      <c r="AG244" s="500"/>
      <c r="AH244" s="501"/>
      <c r="AJ244" s="229" t="str">
        <f>IF(OR(A244="",AND(ISNUMBER(FIND("[", A244)), ISNUMBER(FIND("ALL", A244)), ISNUMBER(FIND("]", A244)))),"",MAX(AJ$3:AJ243)+1)</f>
        <v/>
      </c>
      <c r="AK244" s="229" t="str">
        <f>IFERROR(INDEX($A$4:$A$1000,MATCH(ROW()-ROW($AK$3),$AJ$4:$AJ$1000,0)),"")</f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499"/>
      <c r="AF245" s="500"/>
      <c r="AG245" s="500"/>
      <c r="AH245" s="501"/>
      <c r="AJ245" s="229" t="str">
        <f>IF(OR(A245="",AND(ISNUMBER(FIND("[", A245)), ISNUMBER(FIND("ALL", A245)), ISNUMBER(FIND("]", A245)))),"",MAX(AJ$3:AJ244)+1)</f>
        <v/>
      </c>
      <c r="AK245" s="229" t="str">
        <f>IFERROR(INDEX($A$4:$A$1000,MATCH(ROW()-ROW($AK$3),$AJ$4:$AJ$1000,0)),"")</f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499"/>
      <c r="AF246" s="500"/>
      <c r="AG246" s="500"/>
      <c r="AH246" s="501"/>
      <c r="AJ246" s="229" t="str">
        <f>IF(OR(A246="",AND(ISNUMBER(FIND("[", A246)), ISNUMBER(FIND("ALL", A246)), ISNUMBER(FIND("]", A246)))),"",MAX(AJ$3:AJ245)+1)</f>
        <v/>
      </c>
      <c r="AK246" s="229" t="str">
        <f>IFERROR(INDEX($A$4:$A$1000,MATCH(ROW()-ROW($AK$3),$AJ$4:$AJ$1000,0)),"")</f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499"/>
      <c r="AF247" s="500"/>
      <c r="AG247" s="500"/>
      <c r="AH247" s="501"/>
      <c r="AJ247" s="229" t="str">
        <f>IF(OR(A247="",AND(ISNUMBER(FIND("[", A247)), ISNUMBER(FIND("ALL", A247)), ISNUMBER(FIND("]", A247)))),"",MAX(AJ$3:AJ246)+1)</f>
        <v/>
      </c>
      <c r="AK247" s="229" t="str">
        <f>IFERROR(INDEX($A$4:$A$1000,MATCH(ROW()-ROW($AK$3),$AJ$4:$AJ$1000,0)),"")</f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499"/>
      <c r="AF248" s="500"/>
      <c r="AG248" s="500"/>
      <c r="AH248" s="501"/>
      <c r="AJ248" s="229" t="str">
        <f>IF(OR(A248="",AND(ISNUMBER(FIND("[", A248)), ISNUMBER(FIND("ALL", A248)), ISNUMBER(FIND("]", A248)))),"",MAX(AJ$3:AJ247)+1)</f>
        <v/>
      </c>
      <c r="AK248" s="229" t="str">
        <f>IFERROR(INDEX($A$4:$A$1000,MATCH(ROW()-ROW($AK$3),$AJ$4:$AJ$1000,0)),"")</f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499"/>
      <c r="AF249" s="500"/>
      <c r="AG249" s="500"/>
      <c r="AH249" s="501"/>
      <c r="AJ249" s="229" t="str">
        <f>IF(OR(A249="",AND(ISNUMBER(FIND("[", A249)), ISNUMBER(FIND("ALL", A249)), ISNUMBER(FIND("]", A249)))),"",MAX(AJ$3:AJ248)+1)</f>
        <v/>
      </c>
      <c r="AK249" s="229" t="str">
        <f>IFERROR(INDEX($A$4:$A$1000,MATCH(ROW()-ROW($AK$3),$AJ$4:$AJ$1000,0)),"")</f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499"/>
      <c r="AF250" s="500"/>
      <c r="AG250" s="500"/>
      <c r="AH250" s="501"/>
      <c r="AJ250" s="229" t="str">
        <f>IF(OR(A250="",AND(ISNUMBER(FIND("[", A250)), ISNUMBER(FIND("ALL", A250)), ISNUMBER(FIND("]", A250)))),"",MAX(AJ$3:AJ249)+1)</f>
        <v/>
      </c>
      <c r="AK250" s="229" t="str">
        <f>IFERROR(INDEX($A$4:$A$1000,MATCH(ROW()-ROW($AK$3),$AJ$4:$AJ$1000,0)),"")</f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499"/>
      <c r="AF251" s="500"/>
      <c r="AG251" s="500"/>
      <c r="AH251" s="501"/>
      <c r="AJ251" s="229" t="str">
        <f>IF(OR(A251="",AND(ISNUMBER(FIND("[", A251)), ISNUMBER(FIND("ALL", A251)), ISNUMBER(FIND("]", A251)))),"",MAX(AJ$3:AJ250)+1)</f>
        <v/>
      </c>
      <c r="AK251" s="229" t="str">
        <f>IFERROR(INDEX($A$4:$A$1000,MATCH(ROW()-ROW($AK$3),$AJ$4:$AJ$1000,0)),"")</f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499"/>
      <c r="AF252" s="500"/>
      <c r="AG252" s="500"/>
      <c r="AH252" s="501"/>
      <c r="AJ252" s="229" t="str">
        <f>IF(OR(A252="",AND(ISNUMBER(FIND("[", A252)), ISNUMBER(FIND("ALL", A252)), ISNUMBER(FIND("]", A252)))),"",MAX(AJ$3:AJ251)+1)</f>
        <v/>
      </c>
      <c r="AK252" s="229" t="str">
        <f>IFERROR(INDEX($A$4:$A$1000,MATCH(ROW()-ROW($AK$3),$AJ$4:$AJ$1000,0)),"")</f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499"/>
      <c r="AF253" s="500"/>
      <c r="AG253" s="500"/>
      <c r="AH253" s="501"/>
      <c r="AJ253" s="229" t="str">
        <f>IF(OR(A253="",AND(ISNUMBER(FIND("[", A253)), ISNUMBER(FIND("ALL", A253)), ISNUMBER(FIND("]", A253)))),"",MAX(AJ$3:AJ252)+1)</f>
        <v/>
      </c>
      <c r="AK253" s="229" t="str">
        <f>IFERROR(INDEX($A$4:$A$1000,MATCH(ROW()-ROW($AK$3),$AJ$4:$AJ$1000,0)),"")</f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499"/>
      <c r="AF254" s="500"/>
      <c r="AG254" s="500"/>
      <c r="AH254" s="501"/>
      <c r="AJ254" s="229" t="str">
        <f>IF(OR(A254="",AND(ISNUMBER(FIND("[", A254)), ISNUMBER(FIND("ALL", A254)), ISNUMBER(FIND("]", A254)))),"",MAX(AJ$3:AJ253)+1)</f>
        <v/>
      </c>
      <c r="AK254" s="229" t="str">
        <f>IFERROR(INDEX($A$4:$A$1000,MATCH(ROW()-ROW($AK$3),$AJ$4:$AJ$1000,0)),"")</f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499"/>
      <c r="AF255" s="500"/>
      <c r="AG255" s="500"/>
      <c r="AH255" s="501"/>
      <c r="AJ255" s="229" t="str">
        <f>IF(OR(A255="",AND(ISNUMBER(FIND("[", A255)), ISNUMBER(FIND("ALL", A255)), ISNUMBER(FIND("]", A255)))),"",MAX(AJ$3:AJ254)+1)</f>
        <v/>
      </c>
      <c r="AK255" s="229" t="str">
        <f>IFERROR(INDEX($A$4:$A$1000,MATCH(ROW()-ROW($AK$3),$AJ$4:$AJ$1000,0)),"")</f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499"/>
      <c r="AF256" s="500"/>
      <c r="AG256" s="500"/>
      <c r="AH256" s="501"/>
      <c r="AJ256" s="229" t="str">
        <f>IF(OR(A256="",AND(ISNUMBER(FIND("[", A256)), ISNUMBER(FIND("ALL", A256)), ISNUMBER(FIND("]", A256)))),"",MAX(AJ$3:AJ255)+1)</f>
        <v/>
      </c>
      <c r="AK256" s="229" t="str">
        <f>IFERROR(INDEX($A$4:$A$1000,MATCH(ROW()-ROW($AK$3),$AJ$4:$AJ$1000,0)),"")</f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499"/>
      <c r="AF257" s="500"/>
      <c r="AG257" s="500"/>
      <c r="AH257" s="501"/>
      <c r="AJ257" s="229" t="str">
        <f>IF(OR(A257="",AND(ISNUMBER(FIND("[", A257)), ISNUMBER(FIND("ALL", A257)), ISNUMBER(FIND("]", A257)))),"",MAX(AJ$3:AJ256)+1)</f>
        <v/>
      </c>
      <c r="AK257" s="229" t="str">
        <f>IFERROR(INDEX($A$4:$A$1000,MATCH(ROW()-ROW($AK$3),$AJ$4:$AJ$1000,0)),"")</f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499"/>
      <c r="AF258" s="500"/>
      <c r="AG258" s="500"/>
      <c r="AH258" s="501"/>
      <c r="AJ258" s="229" t="str">
        <f>IF(OR(A258="",AND(ISNUMBER(FIND("[", A258)), ISNUMBER(FIND("ALL", A258)), ISNUMBER(FIND("]", A258)))),"",MAX(AJ$3:AJ257)+1)</f>
        <v/>
      </c>
      <c r="AK258" s="229" t="str">
        <f>IFERROR(INDEX($A$4:$A$1000,MATCH(ROW()-ROW($AK$3),$AJ$4:$AJ$1000,0)),"")</f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499"/>
      <c r="AF259" s="500"/>
      <c r="AG259" s="500"/>
      <c r="AH259" s="501"/>
      <c r="AJ259" s="229" t="str">
        <f>IF(OR(A259="",AND(ISNUMBER(FIND("[", A259)), ISNUMBER(FIND("ALL", A259)), ISNUMBER(FIND("]", A259)))),"",MAX(AJ$3:AJ258)+1)</f>
        <v/>
      </c>
      <c r="AK259" s="229" t="str">
        <f>IFERROR(INDEX($A$4:$A$1000,MATCH(ROW()-ROW($AK$3),$AJ$4:$AJ$1000,0)),"")</f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499"/>
      <c r="AF260" s="500"/>
      <c r="AG260" s="500"/>
      <c r="AH260" s="501"/>
      <c r="AJ260" s="229" t="str">
        <f>IF(OR(A260="",AND(ISNUMBER(FIND("[", A260)), ISNUMBER(FIND("ALL", A260)), ISNUMBER(FIND("]", A260)))),"",MAX(AJ$3:AJ259)+1)</f>
        <v/>
      </c>
      <c r="AK260" s="229" t="str">
        <f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499"/>
      <c r="AF261" s="500"/>
      <c r="AG261" s="500"/>
      <c r="AH261" s="501"/>
      <c r="AJ261" s="229" t="str">
        <f>IF(OR(A261="",AND(ISNUMBER(FIND("[", A261)), ISNUMBER(FIND("ALL", A261)), ISNUMBER(FIND("]", A261)))),"",MAX(AJ$3:AJ260)+1)</f>
        <v/>
      </c>
      <c r="AK261" s="229" t="str">
        <f>IFERROR(INDEX($A$4:$A$1000,MATCH(ROW()-ROW($AK$3),$AJ$4:$AJ$1000,0)),"")</f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499"/>
      <c r="AF262" s="500"/>
      <c r="AG262" s="500"/>
      <c r="AH262" s="501"/>
      <c r="AJ262" s="229" t="str">
        <f>IF(OR(A262="",AND(ISNUMBER(FIND("[", A262)), ISNUMBER(FIND("ALL", A262)), ISNUMBER(FIND("]", A262)))),"",MAX(AJ$3:AJ261)+1)</f>
        <v/>
      </c>
      <c r="AK262" s="229" t="str">
        <f>IFERROR(INDEX($A$4:$A$1000,MATCH(ROW()-ROW($AK$3),$AJ$4:$AJ$1000,0)),"")</f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499"/>
      <c r="AF263" s="500"/>
      <c r="AG263" s="500"/>
      <c r="AH263" s="501"/>
      <c r="AJ263" s="229" t="str">
        <f>IF(OR(A263="",AND(ISNUMBER(FIND("[", A263)), ISNUMBER(FIND("ALL", A263)), ISNUMBER(FIND("]", A263)))),"",MAX(AJ$3:AJ262)+1)</f>
        <v/>
      </c>
      <c r="AK263" s="229" t="str">
        <f>IFERROR(INDEX($A$4:$A$1000,MATCH(ROW()-ROW($AK$3),$AJ$4:$AJ$1000,0)),"")</f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499"/>
      <c r="AF264" s="500"/>
      <c r="AG264" s="500"/>
      <c r="AH264" s="501"/>
      <c r="AJ264" s="229" t="str">
        <f>IF(OR(A264="",AND(ISNUMBER(FIND("[", A264)), ISNUMBER(FIND("ALL", A264)), ISNUMBER(FIND("]", A264)))),"",MAX(AJ$3:AJ263)+1)</f>
        <v/>
      </c>
      <c r="AK264" s="229" t="str">
        <f>IFERROR(INDEX($A$4:$A$1000,MATCH(ROW()-ROW($AK$3),$AJ$4:$AJ$1000,0)),"")</f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499"/>
      <c r="AF265" s="500"/>
      <c r="AG265" s="500"/>
      <c r="AH265" s="501"/>
      <c r="AJ265" s="229" t="str">
        <f>IF(OR(A265="",AND(ISNUMBER(FIND("[", A265)), ISNUMBER(FIND("ALL", A265)), ISNUMBER(FIND("]", A265)))),"",MAX(AJ$3:AJ264)+1)</f>
        <v/>
      </c>
      <c r="AK265" s="229" t="str">
        <f>IFERROR(INDEX($A$4:$A$1000,MATCH(ROW()-ROW($AK$3),$AJ$4:$AJ$1000,0)),"")</f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499"/>
      <c r="AF266" s="500"/>
      <c r="AG266" s="500"/>
      <c r="AH266" s="501"/>
      <c r="AJ266" s="229" t="str">
        <f>IF(OR(A266="",AND(ISNUMBER(FIND("[", A266)), ISNUMBER(FIND("ALL", A266)), ISNUMBER(FIND("]", A266)))),"",MAX(AJ$3:AJ265)+1)</f>
        <v/>
      </c>
      <c r="AK266" s="229" t="str">
        <f>IFERROR(INDEX($A$4:$A$1000,MATCH(ROW()-ROW($AK$3),$AJ$4:$AJ$1000,0)),"")</f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499"/>
      <c r="AF267" s="500"/>
      <c r="AG267" s="500"/>
      <c r="AH267" s="501"/>
      <c r="AJ267" s="229" t="str">
        <f>IF(OR(A267="",AND(ISNUMBER(FIND("[", A267)), ISNUMBER(FIND("ALL", A267)), ISNUMBER(FIND("]", A267)))),"",MAX(AJ$3:AJ266)+1)</f>
        <v/>
      </c>
      <c r="AK267" s="229" t="str">
        <f>IFERROR(INDEX($A$4:$A$1000,MATCH(ROW()-ROW($AK$3),$AJ$4:$AJ$1000,0)),"")</f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499"/>
      <c r="AF268" s="500"/>
      <c r="AG268" s="500"/>
      <c r="AH268" s="501"/>
      <c r="AJ268" s="229" t="str">
        <f>IF(OR(A268="",AND(ISNUMBER(FIND("[", A268)), ISNUMBER(FIND("ALL", A268)), ISNUMBER(FIND("]", A268)))),"",MAX(AJ$3:AJ267)+1)</f>
        <v/>
      </c>
      <c r="AK268" s="229" t="str">
        <f>IFERROR(INDEX($A$4:$A$1000,MATCH(ROW()-ROW($AK$3),$AJ$4:$AJ$1000,0)),"")</f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499"/>
      <c r="AF269" s="500"/>
      <c r="AG269" s="500"/>
      <c r="AH269" s="501"/>
      <c r="AJ269" s="229" t="str">
        <f>IF(OR(A269="",AND(ISNUMBER(FIND("[", A269)), ISNUMBER(FIND("ALL", A269)), ISNUMBER(FIND("]", A269)))),"",MAX(AJ$3:AJ268)+1)</f>
        <v/>
      </c>
      <c r="AK269" s="229" t="str">
        <f>IFERROR(INDEX($A$4:$A$1000,MATCH(ROW()-ROW($AK$3),$AJ$4:$AJ$1000,0)),"")</f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499"/>
      <c r="AF270" s="500"/>
      <c r="AG270" s="500"/>
      <c r="AH270" s="501"/>
      <c r="AJ270" s="229" t="str">
        <f>IF(OR(A270="",AND(ISNUMBER(FIND("[", A270)), ISNUMBER(FIND("ALL", A270)), ISNUMBER(FIND("]", A270)))),"",MAX(AJ$3:AJ269)+1)</f>
        <v/>
      </c>
      <c r="AK270" s="229" t="str">
        <f>IFERROR(INDEX($A$4:$A$1000,MATCH(ROW()-ROW($AK$3),$AJ$4:$AJ$1000,0)),"")</f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499"/>
      <c r="AF271" s="500"/>
      <c r="AG271" s="500"/>
      <c r="AH271" s="501"/>
      <c r="AJ271" s="229" t="str">
        <f>IF(OR(A271="",AND(ISNUMBER(FIND("[", A271)), ISNUMBER(FIND("ALL", A271)), ISNUMBER(FIND("]", A271)))),"",MAX(AJ$3:AJ270)+1)</f>
        <v/>
      </c>
      <c r="AK271" s="229" t="str">
        <f>IFERROR(INDEX($A$4:$A$1000,MATCH(ROW()-ROW($AK$3),$AJ$4:$AJ$1000,0)),"")</f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499"/>
      <c r="AF272" s="500"/>
      <c r="AG272" s="500"/>
      <c r="AH272" s="501"/>
      <c r="AJ272" s="229" t="str">
        <f>IF(OR(A272="",AND(ISNUMBER(FIND("[", A272)), ISNUMBER(FIND("ALL", A272)), ISNUMBER(FIND("]", A272)))),"",MAX(AJ$3:AJ271)+1)</f>
        <v/>
      </c>
      <c r="AK272" s="229" t="str">
        <f>IFERROR(INDEX($A$4:$A$1000,MATCH(ROW()-ROW($AK$3),$AJ$4:$AJ$1000,0)),"")</f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499"/>
      <c r="AF273" s="500"/>
      <c r="AG273" s="500"/>
      <c r="AH273" s="501"/>
      <c r="AJ273" s="229" t="str">
        <f>IF(OR(A273="",AND(ISNUMBER(FIND("[", A273)), ISNUMBER(FIND("ALL", A273)), ISNUMBER(FIND("]", A273)))),"",MAX(AJ$3:AJ272)+1)</f>
        <v/>
      </c>
      <c r="AK273" s="229" t="str">
        <f>IFERROR(INDEX($A$4:$A$1000,MATCH(ROW()-ROW($AK$3),$AJ$4:$AJ$1000,0)),"")</f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499"/>
      <c r="AF274" s="500"/>
      <c r="AG274" s="500"/>
      <c r="AH274" s="501"/>
      <c r="AJ274" s="229" t="str">
        <f>IF(OR(A274="",AND(ISNUMBER(FIND("[", A274)), ISNUMBER(FIND("ALL", A274)), ISNUMBER(FIND("]", A274)))),"",MAX(AJ$3:AJ273)+1)</f>
        <v/>
      </c>
      <c r="AK274" s="229" t="str">
        <f>IFERROR(INDEX($A$4:$A$1000,MATCH(ROW()-ROW($AK$3),$AJ$4:$AJ$1000,0)),"")</f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499"/>
      <c r="AF275" s="500"/>
      <c r="AG275" s="500"/>
      <c r="AH275" s="501"/>
      <c r="AJ275" s="229" t="str">
        <f>IF(OR(A275="",AND(ISNUMBER(FIND("[", A275)), ISNUMBER(FIND("ALL", A275)), ISNUMBER(FIND("]", A275)))),"",MAX(AJ$3:AJ274)+1)</f>
        <v/>
      </c>
      <c r="AK275" s="229" t="str">
        <f>IFERROR(INDEX($A$4:$A$1000,MATCH(ROW()-ROW($AK$3),$AJ$4:$AJ$1000,0)),"")</f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499"/>
      <c r="AF276" s="500"/>
      <c r="AG276" s="500"/>
      <c r="AH276" s="501"/>
      <c r="AJ276" s="229" t="str">
        <f>IF(OR(A276="",AND(ISNUMBER(FIND("[", A276)), ISNUMBER(FIND("ALL", A276)), ISNUMBER(FIND("]", A276)))),"",MAX(AJ$3:AJ275)+1)</f>
        <v/>
      </c>
      <c r="AK276" s="229" t="str">
        <f>IFERROR(INDEX($A$4:$A$1000,MATCH(ROW()-ROW($AK$3),$AJ$4:$AJ$1000,0)),"")</f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499"/>
      <c r="AF277" s="500"/>
      <c r="AG277" s="500"/>
      <c r="AH277" s="501"/>
      <c r="AJ277" s="229" t="str">
        <f>IF(OR(A277="",AND(ISNUMBER(FIND("[", A277)), ISNUMBER(FIND("ALL", A277)), ISNUMBER(FIND("]", A277)))),"",MAX(AJ$3:AJ276)+1)</f>
        <v/>
      </c>
      <c r="AK277" s="229" t="str">
        <f>IFERROR(INDEX($A$4:$A$1000,MATCH(ROW()-ROW($AK$3),$AJ$4:$AJ$1000,0)),"")</f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499"/>
      <c r="AF278" s="500"/>
      <c r="AG278" s="500"/>
      <c r="AH278" s="501"/>
      <c r="AJ278" s="229" t="str">
        <f>IF(OR(A278="",AND(ISNUMBER(FIND("[", A278)), ISNUMBER(FIND("ALL", A278)), ISNUMBER(FIND("]", A278)))),"",MAX(AJ$3:AJ277)+1)</f>
        <v/>
      </c>
      <c r="AK278" s="229" t="str">
        <f>IFERROR(INDEX($A$4:$A$1000,MATCH(ROW()-ROW($AK$3),$AJ$4:$AJ$1000,0)),"")</f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499"/>
      <c r="AF279" s="500"/>
      <c r="AG279" s="500"/>
      <c r="AH279" s="501"/>
      <c r="AJ279" s="229" t="str">
        <f>IF(OR(A279="",AND(ISNUMBER(FIND("[", A279)), ISNUMBER(FIND("ALL", A279)), ISNUMBER(FIND("]", A279)))),"",MAX(AJ$3:AJ278)+1)</f>
        <v/>
      </c>
      <c r="AK279" s="229" t="str">
        <f>IFERROR(INDEX($A$4:$A$1000,MATCH(ROW()-ROW($AK$3),$AJ$4:$AJ$1000,0)),"")</f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499"/>
      <c r="AF280" s="500"/>
      <c r="AG280" s="500"/>
      <c r="AH280" s="501"/>
      <c r="AJ280" s="229" t="str">
        <f>IF(OR(A280="",AND(ISNUMBER(FIND("[", A280)), ISNUMBER(FIND("ALL", A280)), ISNUMBER(FIND("]", A280)))),"",MAX(AJ$3:AJ279)+1)</f>
        <v/>
      </c>
      <c r="AK280" s="229" t="str">
        <f>IFERROR(INDEX($A$4:$A$1000,MATCH(ROW()-ROW($AK$3),$AJ$4:$AJ$1000,0)),"")</f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499"/>
      <c r="AF281" s="500"/>
      <c r="AG281" s="500"/>
      <c r="AH281" s="501"/>
      <c r="AJ281" s="229" t="str">
        <f>IF(OR(A281="",AND(ISNUMBER(FIND("[", A281)), ISNUMBER(FIND("ALL", A281)), ISNUMBER(FIND("]", A281)))),"",MAX(AJ$3:AJ280)+1)</f>
        <v/>
      </c>
      <c r="AK281" s="229" t="str">
        <f>IFERROR(INDEX($A$4:$A$1000,MATCH(ROW()-ROW($AK$3),$AJ$4:$AJ$1000,0)),"")</f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499"/>
      <c r="AF282" s="500"/>
      <c r="AG282" s="500"/>
      <c r="AH282" s="501"/>
      <c r="AJ282" s="229" t="str">
        <f>IF(OR(A282="",AND(ISNUMBER(FIND("[", A282)), ISNUMBER(FIND("ALL", A282)), ISNUMBER(FIND("]", A282)))),"",MAX(AJ$3:AJ281)+1)</f>
        <v/>
      </c>
      <c r="AK282" s="229" t="str">
        <f>IFERROR(INDEX($A$4:$A$1000,MATCH(ROW()-ROW($AK$3),$AJ$4:$AJ$1000,0)),"")</f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499"/>
      <c r="AF283" s="500"/>
      <c r="AG283" s="500"/>
      <c r="AH283" s="501"/>
      <c r="AJ283" s="229" t="str">
        <f>IF(OR(A283="",AND(ISNUMBER(FIND("[", A283)), ISNUMBER(FIND("ALL", A283)), ISNUMBER(FIND("]", A283)))),"",MAX(AJ$3:AJ282)+1)</f>
        <v/>
      </c>
      <c r="AK283" s="229" t="str">
        <f>IFERROR(INDEX($A$4:$A$1000,MATCH(ROW()-ROW($AK$3),$AJ$4:$AJ$1000,0)),"")</f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499"/>
      <c r="AF284" s="500"/>
      <c r="AG284" s="500"/>
      <c r="AH284" s="501"/>
      <c r="AJ284" s="229" t="str">
        <f>IF(OR(A284="",AND(ISNUMBER(FIND("[", A284)), ISNUMBER(FIND("ALL", A284)), ISNUMBER(FIND("]", A284)))),"",MAX(AJ$3:AJ283)+1)</f>
        <v/>
      </c>
      <c r="AK284" s="229" t="str">
        <f>IFERROR(INDEX($A$4:$A$1000,MATCH(ROW()-ROW($AK$3),$AJ$4:$AJ$1000,0)),"")</f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499"/>
      <c r="AF285" s="500"/>
      <c r="AG285" s="500"/>
      <c r="AH285" s="501"/>
      <c r="AJ285" s="229" t="str">
        <f>IF(OR(A285="",AND(ISNUMBER(FIND("[", A285)), ISNUMBER(FIND("ALL", A285)), ISNUMBER(FIND("]", A285)))),"",MAX(AJ$3:AJ284)+1)</f>
        <v/>
      </c>
      <c r="AK285" s="229" t="str">
        <f>IFERROR(INDEX($A$4:$A$1000,MATCH(ROW()-ROW($AK$3),$AJ$4:$AJ$1000,0)),"")</f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499"/>
      <c r="AF286" s="500"/>
      <c r="AG286" s="500"/>
      <c r="AH286" s="501"/>
      <c r="AJ286" s="229" t="str">
        <f>IF(OR(A286="",AND(ISNUMBER(FIND("[", A286)), ISNUMBER(FIND("ALL", A286)), ISNUMBER(FIND("]", A286)))),"",MAX(AJ$3:AJ285)+1)</f>
        <v/>
      </c>
      <c r="AK286" s="229" t="str">
        <f>IFERROR(INDEX($A$4:$A$1000,MATCH(ROW()-ROW($AK$3),$AJ$4:$AJ$1000,0)),"")</f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499"/>
      <c r="AF287" s="500"/>
      <c r="AG287" s="500"/>
      <c r="AH287" s="501"/>
      <c r="AJ287" s="229" t="str">
        <f>IF(OR(A287="",AND(ISNUMBER(FIND("[", A287)), ISNUMBER(FIND("ALL", A287)), ISNUMBER(FIND("]", A287)))),"",MAX(AJ$3:AJ286)+1)</f>
        <v/>
      </c>
      <c r="AK287" s="229" t="str">
        <f>IFERROR(INDEX($A$4:$A$1000,MATCH(ROW()-ROW($AK$3),$AJ$4:$AJ$1000,0)),"")</f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499"/>
      <c r="AF288" s="500"/>
      <c r="AG288" s="500"/>
      <c r="AH288" s="501"/>
      <c r="AJ288" s="229" t="str">
        <f>IF(OR(A288="",AND(ISNUMBER(FIND("[", A288)), ISNUMBER(FIND("ALL", A288)), ISNUMBER(FIND("]", A288)))),"",MAX(AJ$3:AJ287)+1)</f>
        <v/>
      </c>
      <c r="AK288" s="229" t="str">
        <f>IFERROR(INDEX($A$4:$A$1000,MATCH(ROW()-ROW($AK$3),$AJ$4:$AJ$1000,0)),"")</f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499"/>
      <c r="AF289" s="500"/>
      <c r="AG289" s="500"/>
      <c r="AH289" s="501"/>
      <c r="AJ289" s="229" t="str">
        <f>IF(OR(A289="",AND(ISNUMBER(FIND("[", A289)), ISNUMBER(FIND("ALL", A289)), ISNUMBER(FIND("]", A289)))),"",MAX(AJ$3:AJ288)+1)</f>
        <v/>
      </c>
      <c r="AK289" s="229" t="str">
        <f>IFERROR(INDEX($A$4:$A$1000,MATCH(ROW()-ROW($AK$3),$AJ$4:$AJ$1000,0)),"")</f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499"/>
      <c r="AF290" s="500"/>
      <c r="AG290" s="500"/>
      <c r="AH290" s="501"/>
      <c r="AJ290" s="229" t="str">
        <f>IF(OR(A290="",AND(ISNUMBER(FIND("[", A290)), ISNUMBER(FIND("ALL", A290)), ISNUMBER(FIND("]", A290)))),"",MAX(AJ$3:AJ289)+1)</f>
        <v/>
      </c>
      <c r="AK290" s="229" t="str">
        <f>IFERROR(INDEX($A$4:$A$1000,MATCH(ROW()-ROW($AK$3),$AJ$4:$AJ$1000,0)),"")</f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499"/>
      <c r="AF291" s="500"/>
      <c r="AG291" s="500"/>
      <c r="AH291" s="501"/>
      <c r="AJ291" s="229" t="str">
        <f>IF(OR(A291="",AND(ISNUMBER(FIND("[", A291)), ISNUMBER(FIND("ALL", A291)), ISNUMBER(FIND("]", A291)))),"",MAX(AJ$3:AJ290)+1)</f>
        <v/>
      </c>
      <c r="AK291" s="229" t="str">
        <f>IFERROR(INDEX($A$4:$A$1000,MATCH(ROW()-ROW($AK$3),$AJ$4:$AJ$1000,0)),"")</f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499"/>
      <c r="AF292" s="500"/>
      <c r="AG292" s="500"/>
      <c r="AH292" s="501"/>
      <c r="AJ292" s="229" t="str">
        <f>IF(OR(A292="",AND(ISNUMBER(FIND("[", A292)), ISNUMBER(FIND("ALL", A292)), ISNUMBER(FIND("]", A292)))),"",MAX(AJ$3:AJ291)+1)</f>
        <v/>
      </c>
      <c r="AK292" s="229" t="str">
        <f>IFERROR(INDEX($A$4:$A$1000,MATCH(ROW()-ROW($AK$3),$AJ$4:$AJ$1000,0)),"")</f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499"/>
      <c r="AF293" s="500"/>
      <c r="AG293" s="500"/>
      <c r="AH293" s="501"/>
      <c r="AJ293" s="229" t="str">
        <f>IF(OR(A293="",AND(ISNUMBER(FIND("[", A293)), ISNUMBER(FIND("ALL", A293)), ISNUMBER(FIND("]", A293)))),"",MAX(AJ$3:AJ292)+1)</f>
        <v/>
      </c>
      <c r="AK293" s="229" t="str">
        <f>IFERROR(INDEX($A$4:$A$1000,MATCH(ROW()-ROW($AK$3),$AJ$4:$AJ$1000,0)),"")</f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499"/>
      <c r="AF294" s="500"/>
      <c r="AG294" s="500"/>
      <c r="AH294" s="501"/>
      <c r="AJ294" s="229" t="str">
        <f>IF(OR(A294="",AND(ISNUMBER(FIND("[", A294)), ISNUMBER(FIND("ALL", A294)), ISNUMBER(FIND("]", A294)))),"",MAX(AJ$3:AJ293)+1)</f>
        <v/>
      </c>
      <c r="AK294" s="229" t="str">
        <f>IFERROR(INDEX($A$4:$A$1000,MATCH(ROW()-ROW($AK$3),$AJ$4:$AJ$1000,0)),"")</f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499"/>
      <c r="AF295" s="500"/>
      <c r="AG295" s="500"/>
      <c r="AH295" s="501"/>
      <c r="AJ295" s="229" t="str">
        <f>IF(OR(A295="",AND(ISNUMBER(FIND("[", A295)), ISNUMBER(FIND("ALL", A295)), ISNUMBER(FIND("]", A295)))),"",MAX(AJ$3:AJ294)+1)</f>
        <v/>
      </c>
      <c r="AK295" s="229" t="str">
        <f>IFERROR(INDEX($A$4:$A$1000,MATCH(ROW()-ROW($AK$3),$AJ$4:$AJ$1000,0)),"")</f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499"/>
      <c r="AF296" s="500"/>
      <c r="AG296" s="500"/>
      <c r="AH296" s="501"/>
      <c r="AJ296" s="229" t="str">
        <f>IF(OR(A296="",AND(ISNUMBER(FIND("[", A296)), ISNUMBER(FIND("ALL", A296)), ISNUMBER(FIND("]", A296)))),"",MAX(AJ$3:AJ295)+1)</f>
        <v/>
      </c>
      <c r="AK296" s="229" t="str">
        <f>IFERROR(INDEX($A$4:$A$1000,MATCH(ROW()-ROW($AK$3),$AJ$4:$AJ$1000,0)),"")</f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499"/>
      <c r="AF297" s="500"/>
      <c r="AG297" s="500"/>
      <c r="AH297" s="501"/>
      <c r="AJ297" s="229" t="str">
        <f>IF(OR(A297="",AND(ISNUMBER(FIND("[", A297)), ISNUMBER(FIND("ALL", A297)), ISNUMBER(FIND("]", A297)))),"",MAX(AJ$3:AJ296)+1)</f>
        <v/>
      </c>
      <c r="AK297" s="229" t="str">
        <f>IFERROR(INDEX($A$4:$A$1000,MATCH(ROW()-ROW($AK$3),$AJ$4:$AJ$1000,0)),"")</f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499"/>
      <c r="AF298" s="500"/>
      <c r="AG298" s="500"/>
      <c r="AH298" s="501"/>
      <c r="AJ298" s="229" t="str">
        <f>IF(OR(A298="",AND(ISNUMBER(FIND("[", A298)), ISNUMBER(FIND("ALL", A298)), ISNUMBER(FIND("]", A298)))),"",MAX(AJ$3:AJ297)+1)</f>
        <v/>
      </c>
      <c r="AK298" s="229" t="str">
        <f>IFERROR(INDEX($A$4:$A$1000,MATCH(ROW()-ROW($AK$3),$AJ$4:$AJ$1000,0)),"")</f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499"/>
      <c r="AF299" s="500"/>
      <c r="AG299" s="500"/>
      <c r="AH299" s="501"/>
      <c r="AJ299" s="229" t="str">
        <f>IF(OR(A299="",AND(ISNUMBER(FIND("[", A299)), ISNUMBER(FIND("ALL", A299)), ISNUMBER(FIND("]", A299)))),"",MAX(AJ$3:AJ298)+1)</f>
        <v/>
      </c>
      <c r="AK299" s="229" t="str">
        <f>IFERROR(INDEX($A$4:$A$1000,MATCH(ROW()-ROW($AK$3),$AJ$4:$AJ$1000,0)),"")</f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499"/>
      <c r="AF300" s="500"/>
      <c r="AG300" s="500"/>
      <c r="AH300" s="501"/>
      <c r="AJ300" s="229" t="str">
        <f>IF(OR(A300="",AND(ISNUMBER(FIND("[", A300)), ISNUMBER(FIND("ALL", A300)), ISNUMBER(FIND("]", A300)))),"",MAX(AJ$3:AJ299)+1)</f>
        <v/>
      </c>
      <c r="AK300" s="229" t="str">
        <f>IFERROR(INDEX($A$4:$A$1000,MATCH(ROW()-ROW($AK$3),$AJ$4:$AJ$1000,0)),"")</f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499"/>
      <c r="AF301" s="500"/>
      <c r="AG301" s="500"/>
      <c r="AH301" s="501"/>
      <c r="AJ301" s="229" t="str">
        <f>IF(OR(A301="",AND(ISNUMBER(FIND("[", A301)), ISNUMBER(FIND("ALL", A301)), ISNUMBER(FIND("]", A301)))),"",MAX(AJ$3:AJ300)+1)</f>
        <v/>
      </c>
      <c r="AK301" s="229" t="str">
        <f>IFERROR(INDEX($A$4:$A$1000,MATCH(ROW()-ROW($AK$3),$AJ$4:$AJ$1000,0)),"")</f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499"/>
      <c r="AF302" s="500"/>
      <c r="AG302" s="500"/>
      <c r="AH302" s="501"/>
      <c r="AJ302" s="229" t="str">
        <f>IF(OR(A302="",AND(ISNUMBER(FIND("[", A302)), ISNUMBER(FIND("ALL", A302)), ISNUMBER(FIND("]", A302)))),"",MAX(AJ$3:AJ301)+1)</f>
        <v/>
      </c>
      <c r="AK302" s="229" t="str">
        <f>IFERROR(INDEX($A$4:$A$1000,MATCH(ROW()-ROW($AK$3),$AJ$4:$AJ$1000,0)),"")</f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499"/>
      <c r="AF303" s="500"/>
      <c r="AG303" s="500"/>
      <c r="AH303" s="501"/>
      <c r="AJ303" s="229" t="str">
        <f>IF(OR(A303="",AND(ISNUMBER(FIND("[", A303)), ISNUMBER(FIND("ALL", A303)), ISNUMBER(FIND("]", A303)))),"",MAX(AJ$3:AJ302)+1)</f>
        <v/>
      </c>
      <c r="AK303" s="229" t="str">
        <f>IFERROR(INDEX($A$4:$A$1000,MATCH(ROW()-ROW($AK$3),$AJ$4:$AJ$1000,0)),"")</f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499"/>
      <c r="AF304" s="500"/>
      <c r="AG304" s="500"/>
      <c r="AH304" s="501"/>
      <c r="AJ304" s="229" t="str">
        <f>IF(OR(A304="",AND(ISNUMBER(FIND("[", A304)), ISNUMBER(FIND("ALL", A304)), ISNUMBER(FIND("]", A304)))),"",MAX(AJ$3:AJ303)+1)</f>
        <v/>
      </c>
      <c r="AK304" s="229" t="str">
        <f>IFERROR(INDEX($A$4:$A$1000,MATCH(ROW()-ROW($AK$3),$AJ$4:$AJ$1000,0)),"")</f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499"/>
      <c r="AF305" s="500"/>
      <c r="AG305" s="500"/>
      <c r="AH305" s="501"/>
      <c r="AJ305" s="229" t="str">
        <f>IF(OR(A305="",AND(ISNUMBER(FIND("[", A305)), ISNUMBER(FIND("ALL", A305)), ISNUMBER(FIND("]", A305)))),"",MAX(AJ$3:AJ304)+1)</f>
        <v/>
      </c>
      <c r="AK305" s="229" t="str">
        <f>IFERROR(INDEX($A$4:$A$1000,MATCH(ROW()-ROW($AK$3),$AJ$4:$AJ$1000,0)),"")</f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499"/>
      <c r="AF306" s="500"/>
      <c r="AG306" s="500"/>
      <c r="AH306" s="501"/>
      <c r="AJ306" s="229" t="str">
        <f>IF(OR(A306="",AND(ISNUMBER(FIND("[", A306)), ISNUMBER(FIND("ALL", A306)), ISNUMBER(FIND("]", A306)))),"",MAX(AJ$3:AJ305)+1)</f>
        <v/>
      </c>
      <c r="AK306" s="229" t="str">
        <f>IFERROR(INDEX($A$4:$A$1000,MATCH(ROW()-ROW($AK$3),$AJ$4:$AJ$1000,0)),"")</f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499"/>
      <c r="AF307" s="500"/>
      <c r="AG307" s="500"/>
      <c r="AH307" s="501"/>
      <c r="AJ307" s="229" t="str">
        <f>IF(OR(A307="",AND(ISNUMBER(FIND("[", A307)), ISNUMBER(FIND("ALL", A307)), ISNUMBER(FIND("]", A307)))),"",MAX(AJ$3:AJ306)+1)</f>
        <v/>
      </c>
      <c r="AK307" s="229" t="str">
        <f>IFERROR(INDEX($A$4:$A$1000,MATCH(ROW()-ROW($AK$3),$AJ$4:$AJ$1000,0)),"")</f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499"/>
      <c r="AF308" s="500"/>
      <c r="AG308" s="500"/>
      <c r="AH308" s="501"/>
      <c r="AJ308" s="229" t="str">
        <f>IF(OR(A308="",AND(ISNUMBER(FIND("[", A308)), ISNUMBER(FIND("ALL", A308)), ISNUMBER(FIND("]", A308)))),"",MAX(AJ$3:AJ307)+1)</f>
        <v/>
      </c>
      <c r="AK308" s="229" t="str">
        <f>IFERROR(INDEX($A$4:$A$1000,MATCH(ROW()-ROW($AK$3),$AJ$4:$AJ$1000,0)),"")</f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499"/>
      <c r="AF309" s="500"/>
      <c r="AG309" s="500"/>
      <c r="AH309" s="501"/>
      <c r="AJ309" s="229" t="str">
        <f>IF(OR(A309="",AND(ISNUMBER(FIND("[", A309)), ISNUMBER(FIND("ALL", A309)), ISNUMBER(FIND("]", A309)))),"",MAX(AJ$3:AJ308)+1)</f>
        <v/>
      </c>
      <c r="AK309" s="229" t="str">
        <f>IFERROR(INDEX($A$4:$A$1000,MATCH(ROW()-ROW($AK$3),$AJ$4:$AJ$1000,0)),"")</f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499"/>
      <c r="AF310" s="500"/>
      <c r="AG310" s="500"/>
      <c r="AH310" s="501"/>
      <c r="AJ310" s="229" t="str">
        <f>IF(OR(A310="",AND(ISNUMBER(FIND("[", A310)), ISNUMBER(FIND("ALL", A310)), ISNUMBER(FIND("]", A310)))),"",MAX(AJ$3:AJ309)+1)</f>
        <v/>
      </c>
      <c r="AK310" s="229" t="str">
        <f>IFERROR(INDEX($A$4:$A$1000,MATCH(ROW()-ROW($AK$3),$AJ$4:$AJ$1000,0)),"")</f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499"/>
      <c r="AF311" s="500"/>
      <c r="AG311" s="500"/>
      <c r="AH311" s="501"/>
      <c r="AJ311" s="229" t="str">
        <f>IF(OR(A311="",AND(ISNUMBER(FIND("[", A311)), ISNUMBER(FIND("ALL", A311)), ISNUMBER(FIND("]", A311)))),"",MAX(AJ$3:AJ310)+1)</f>
        <v/>
      </c>
      <c r="AK311" s="229" t="str">
        <f>IFERROR(INDEX($A$4:$A$1000,MATCH(ROW()-ROW($AK$3),$AJ$4:$AJ$1000,0)),"")</f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499"/>
      <c r="AF312" s="500"/>
      <c r="AG312" s="500"/>
      <c r="AH312" s="501"/>
      <c r="AJ312" s="229" t="str">
        <f>IF(OR(A312="",AND(ISNUMBER(FIND("[", A312)), ISNUMBER(FIND("ALL", A312)), ISNUMBER(FIND("]", A312)))),"",MAX(AJ$3:AJ311)+1)</f>
        <v/>
      </c>
      <c r="AK312" s="229" t="str">
        <f>IFERROR(INDEX($A$4:$A$1000,MATCH(ROW()-ROW($AK$3),$AJ$4:$AJ$1000,0)),"")</f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499"/>
      <c r="AF313" s="500"/>
      <c r="AG313" s="500"/>
      <c r="AH313" s="501"/>
      <c r="AJ313" s="229" t="str">
        <f>IF(OR(A313="",AND(ISNUMBER(FIND("[", A313)), ISNUMBER(FIND("ALL", A313)), ISNUMBER(FIND("]", A313)))),"",MAX(AJ$3:AJ312)+1)</f>
        <v/>
      </c>
      <c r="AK313" s="229" t="str">
        <f>IFERROR(INDEX($A$4:$A$1000,MATCH(ROW()-ROW($AK$3),$AJ$4:$AJ$1000,0)),"")</f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499"/>
      <c r="AF314" s="500"/>
      <c r="AG314" s="500"/>
      <c r="AH314" s="501"/>
      <c r="AJ314" s="229" t="str">
        <f>IF(OR(A314="",AND(ISNUMBER(FIND("[", A314)), ISNUMBER(FIND("ALL", A314)), ISNUMBER(FIND("]", A314)))),"",MAX(AJ$3:AJ313)+1)</f>
        <v/>
      </c>
      <c r="AK314" s="229" t="str">
        <f>IFERROR(INDEX($A$4:$A$1000,MATCH(ROW()-ROW($AK$3),$AJ$4:$AJ$1000,0)),"")</f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499"/>
      <c r="AF315" s="500"/>
      <c r="AG315" s="500"/>
      <c r="AH315" s="501"/>
      <c r="AJ315" s="229" t="str">
        <f>IF(OR(A315="",AND(ISNUMBER(FIND("[", A315)), ISNUMBER(FIND("ALL", A315)), ISNUMBER(FIND("]", A315)))),"",MAX(AJ$3:AJ314)+1)</f>
        <v/>
      </c>
      <c r="AK315" s="229" t="str">
        <f>IFERROR(INDEX($A$4:$A$1000,MATCH(ROW()-ROW($AK$3),$AJ$4:$AJ$1000,0)),"")</f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499"/>
      <c r="AF316" s="500"/>
      <c r="AG316" s="500"/>
      <c r="AH316" s="501"/>
      <c r="AJ316" s="229" t="str">
        <f>IF(OR(A316="",AND(ISNUMBER(FIND("[", A316)), ISNUMBER(FIND("ALL", A316)), ISNUMBER(FIND("]", A316)))),"",MAX(AJ$3:AJ315)+1)</f>
        <v/>
      </c>
      <c r="AK316" s="229" t="str">
        <f>IFERROR(INDEX($A$4:$A$1000,MATCH(ROW()-ROW($AK$3),$AJ$4:$AJ$1000,0)),"")</f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499"/>
      <c r="AF317" s="500"/>
      <c r="AG317" s="500"/>
      <c r="AH317" s="501"/>
      <c r="AJ317" s="229" t="str">
        <f>IF(OR(A317="",AND(ISNUMBER(FIND("[", A317)), ISNUMBER(FIND("ALL", A317)), ISNUMBER(FIND("]", A317)))),"",MAX(AJ$3:AJ316)+1)</f>
        <v/>
      </c>
      <c r="AK317" s="229" t="str">
        <f>IFERROR(INDEX($A$4:$A$1000,MATCH(ROW()-ROW($AK$3),$AJ$4:$AJ$1000,0)),"")</f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499"/>
      <c r="AF318" s="500"/>
      <c r="AG318" s="500"/>
      <c r="AH318" s="501"/>
      <c r="AJ318" s="229" t="str">
        <f>IF(OR(A318="",AND(ISNUMBER(FIND("[", A318)), ISNUMBER(FIND("ALL", A318)), ISNUMBER(FIND("]", A318)))),"",MAX(AJ$3:AJ317)+1)</f>
        <v/>
      </c>
      <c r="AK318" s="229" t="str">
        <f>IFERROR(INDEX($A$4:$A$1000,MATCH(ROW()-ROW($AK$3),$AJ$4:$AJ$1000,0)),"")</f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499"/>
      <c r="AF319" s="500"/>
      <c r="AG319" s="500"/>
      <c r="AH319" s="501"/>
      <c r="AJ319" s="229" t="str">
        <f>IF(OR(A319="",AND(ISNUMBER(FIND("[", A319)), ISNUMBER(FIND("ALL", A319)), ISNUMBER(FIND("]", A319)))),"",MAX(AJ$3:AJ318)+1)</f>
        <v/>
      </c>
      <c r="AK319" s="229" t="str">
        <f>IFERROR(INDEX($A$4:$A$1000,MATCH(ROW()-ROW($AK$3),$AJ$4:$AJ$1000,0)),"")</f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499"/>
      <c r="AF320" s="500"/>
      <c r="AG320" s="500"/>
      <c r="AH320" s="501"/>
      <c r="AJ320" s="229" t="str">
        <f>IF(OR(A320="",AND(ISNUMBER(FIND("[", A320)), ISNUMBER(FIND("ALL", A320)), ISNUMBER(FIND("]", A320)))),"",MAX(AJ$3:AJ319)+1)</f>
        <v/>
      </c>
      <c r="AK320" s="229" t="str">
        <f>IFERROR(INDEX($A$4:$A$1000,MATCH(ROW()-ROW($AK$3),$AJ$4:$AJ$1000,0)),"")</f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499"/>
      <c r="AF321" s="500"/>
      <c r="AG321" s="500"/>
      <c r="AH321" s="501"/>
      <c r="AJ321" s="229" t="str">
        <f>IF(OR(A321="",AND(ISNUMBER(FIND("[", A321)), ISNUMBER(FIND("ALL", A321)), ISNUMBER(FIND("]", A321)))),"",MAX(AJ$3:AJ320)+1)</f>
        <v/>
      </c>
      <c r="AK321" s="229" t="str">
        <f>IFERROR(INDEX($A$4:$A$1000,MATCH(ROW()-ROW($AK$3),$AJ$4:$AJ$1000,0)),"")</f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499"/>
      <c r="AF322" s="500"/>
      <c r="AG322" s="500"/>
      <c r="AH322" s="501"/>
      <c r="AJ322" s="229" t="str">
        <f>IF(OR(A322="",AND(ISNUMBER(FIND("[", A322)), ISNUMBER(FIND("ALL", A322)), ISNUMBER(FIND("]", A322)))),"",MAX(AJ$3:AJ321)+1)</f>
        <v/>
      </c>
      <c r="AK322" s="229" t="str">
        <f>IFERROR(INDEX($A$4:$A$1000,MATCH(ROW()-ROW($AK$3),$AJ$4:$AJ$1000,0)),"")</f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499"/>
      <c r="AF323" s="500"/>
      <c r="AG323" s="500"/>
      <c r="AH323" s="501"/>
      <c r="AJ323" s="229" t="str">
        <f>IF(OR(A323="",AND(ISNUMBER(FIND("[", A323)), ISNUMBER(FIND("ALL", A323)), ISNUMBER(FIND("]", A323)))),"",MAX(AJ$3:AJ322)+1)</f>
        <v/>
      </c>
      <c r="AK323" s="229" t="str">
        <f>IFERROR(INDEX($A$4:$A$1000,MATCH(ROW()-ROW($AK$3),$AJ$4:$AJ$1000,0)),"")</f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499"/>
      <c r="AF324" s="500"/>
      <c r="AG324" s="500"/>
      <c r="AH324" s="501"/>
      <c r="AJ324" s="229" t="str">
        <f>IF(OR(A324="",AND(ISNUMBER(FIND("[", A324)), ISNUMBER(FIND("ALL", A324)), ISNUMBER(FIND("]", A324)))),"",MAX(AJ$3:AJ323)+1)</f>
        <v/>
      </c>
      <c r="AK324" s="229" t="str">
        <f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499"/>
      <c r="AF325" s="500"/>
      <c r="AG325" s="500"/>
      <c r="AH325" s="501"/>
      <c r="AJ325" s="229" t="str">
        <f>IF(OR(A325="",AND(ISNUMBER(FIND("[", A325)), ISNUMBER(FIND("ALL", A325)), ISNUMBER(FIND("]", A325)))),"",MAX(AJ$3:AJ324)+1)</f>
        <v/>
      </c>
      <c r="AK325" s="229" t="str">
        <f>IFERROR(INDEX($A$4:$A$1000,MATCH(ROW()-ROW($AK$3),$AJ$4:$AJ$1000,0)),"")</f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499"/>
      <c r="AF326" s="500"/>
      <c r="AG326" s="500"/>
      <c r="AH326" s="501"/>
      <c r="AJ326" s="229" t="str">
        <f>IF(OR(A326="",AND(ISNUMBER(FIND("[", A326)), ISNUMBER(FIND("ALL", A326)), ISNUMBER(FIND("]", A326)))),"",MAX(AJ$3:AJ325)+1)</f>
        <v/>
      </c>
      <c r="AK326" s="229" t="str">
        <f>IFERROR(INDEX($A$4:$A$1000,MATCH(ROW()-ROW($AK$3),$AJ$4:$AJ$1000,0)),"")</f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499"/>
      <c r="AF327" s="500"/>
      <c r="AG327" s="500"/>
      <c r="AH327" s="501"/>
      <c r="AJ327" s="229" t="str">
        <f>IF(OR(A327="",AND(ISNUMBER(FIND("[", A327)), ISNUMBER(FIND("ALL", A327)), ISNUMBER(FIND("]", A327)))),"",MAX(AJ$3:AJ326)+1)</f>
        <v/>
      </c>
      <c r="AK327" s="229" t="str">
        <f>IFERROR(INDEX($A$4:$A$1000,MATCH(ROW()-ROW($AK$3),$AJ$4:$AJ$1000,0)),"")</f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499"/>
      <c r="AF328" s="500"/>
      <c r="AG328" s="500"/>
      <c r="AH328" s="501"/>
      <c r="AJ328" s="229" t="str">
        <f>IF(OR(A328="",AND(ISNUMBER(FIND("[", A328)), ISNUMBER(FIND("ALL", A328)), ISNUMBER(FIND("]", A328)))),"",MAX(AJ$3:AJ327)+1)</f>
        <v/>
      </c>
      <c r="AK328" s="229" t="str">
        <f>IFERROR(INDEX($A$4:$A$1000,MATCH(ROW()-ROW($AK$3),$AJ$4:$AJ$1000,0)),"")</f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499"/>
      <c r="AF329" s="500"/>
      <c r="AG329" s="500"/>
      <c r="AH329" s="501"/>
      <c r="AJ329" s="229" t="str">
        <f>IF(OR(A329="",AND(ISNUMBER(FIND("[", A329)), ISNUMBER(FIND("ALL", A329)), ISNUMBER(FIND("]", A329)))),"",MAX(AJ$3:AJ328)+1)</f>
        <v/>
      </c>
      <c r="AK329" s="229" t="str">
        <f>IFERROR(INDEX($A$4:$A$1000,MATCH(ROW()-ROW($AK$3),$AJ$4:$AJ$1000,0)),"")</f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499"/>
      <c r="AF330" s="500"/>
      <c r="AG330" s="500"/>
      <c r="AH330" s="501"/>
      <c r="AJ330" s="229" t="str">
        <f>IF(OR(A330="",AND(ISNUMBER(FIND("[", A330)), ISNUMBER(FIND("ALL", A330)), ISNUMBER(FIND("]", A330)))),"",MAX(AJ$3:AJ329)+1)</f>
        <v/>
      </c>
      <c r="AK330" s="229" t="str">
        <f>IFERROR(INDEX($A$4:$A$1000,MATCH(ROW()-ROW($AK$3),$AJ$4:$AJ$1000,0)),"")</f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499"/>
      <c r="AF331" s="500"/>
      <c r="AG331" s="500"/>
      <c r="AH331" s="501"/>
      <c r="AJ331" s="229" t="str">
        <f>IF(OR(A331="",AND(ISNUMBER(FIND("[", A331)), ISNUMBER(FIND("ALL", A331)), ISNUMBER(FIND("]", A331)))),"",MAX(AJ$3:AJ330)+1)</f>
        <v/>
      </c>
      <c r="AK331" s="229" t="str">
        <f>IFERROR(INDEX($A$4:$A$1000,MATCH(ROW()-ROW($AK$3),$AJ$4:$AJ$1000,0)),"")</f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499"/>
      <c r="AF332" s="500"/>
      <c r="AG332" s="500"/>
      <c r="AH332" s="501"/>
      <c r="AJ332" s="229" t="str">
        <f>IF(OR(A332="",AND(ISNUMBER(FIND("[", A332)), ISNUMBER(FIND("ALL", A332)), ISNUMBER(FIND("]", A332)))),"",MAX(AJ$3:AJ331)+1)</f>
        <v/>
      </c>
      <c r="AK332" s="229" t="str">
        <f>IFERROR(INDEX($A$4:$A$1000,MATCH(ROW()-ROW($AK$3),$AJ$4:$AJ$1000,0)),"")</f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499"/>
      <c r="AF333" s="500"/>
      <c r="AG333" s="500"/>
      <c r="AH333" s="501"/>
      <c r="AJ333" s="229" t="str">
        <f>IF(OR(A333="",AND(ISNUMBER(FIND("[", A333)), ISNUMBER(FIND("ALL", A333)), ISNUMBER(FIND("]", A333)))),"",MAX(AJ$3:AJ332)+1)</f>
        <v/>
      </c>
      <c r="AK333" s="229" t="str">
        <f>IFERROR(INDEX($A$4:$A$1000,MATCH(ROW()-ROW($AK$3),$AJ$4:$AJ$1000,0)),"")</f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499"/>
      <c r="AF334" s="500"/>
      <c r="AG334" s="500"/>
      <c r="AH334" s="501"/>
      <c r="AJ334" s="229" t="str">
        <f>IF(OR(A334="",AND(ISNUMBER(FIND("[", A334)), ISNUMBER(FIND("ALL", A334)), ISNUMBER(FIND("]", A334)))),"",MAX(AJ$3:AJ333)+1)</f>
        <v/>
      </c>
      <c r="AK334" s="229" t="str">
        <f>IFERROR(INDEX($A$4:$A$1000,MATCH(ROW()-ROW($AK$3),$AJ$4:$AJ$1000,0)),"")</f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499"/>
      <c r="AF335" s="500"/>
      <c r="AG335" s="500"/>
      <c r="AH335" s="501"/>
      <c r="AJ335" s="229" t="str">
        <f>IF(OR(A335="",AND(ISNUMBER(FIND("[", A335)), ISNUMBER(FIND("ALL", A335)), ISNUMBER(FIND("]", A335)))),"",MAX(AJ$3:AJ334)+1)</f>
        <v/>
      </c>
      <c r="AK335" s="229" t="str">
        <f>IFERROR(INDEX($A$4:$A$1000,MATCH(ROW()-ROW($AK$3),$AJ$4:$AJ$1000,0)),"")</f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499"/>
      <c r="AF336" s="500"/>
      <c r="AG336" s="500"/>
      <c r="AH336" s="501"/>
      <c r="AJ336" s="229" t="str">
        <f>IF(OR(A336="",AND(ISNUMBER(FIND("[", A336)), ISNUMBER(FIND("ALL", A336)), ISNUMBER(FIND("]", A336)))),"",MAX(AJ$3:AJ335)+1)</f>
        <v/>
      </c>
      <c r="AK336" s="229" t="str">
        <f>IFERROR(INDEX($A$4:$A$1000,MATCH(ROW()-ROW($AK$3),$AJ$4:$AJ$1000,0)),"")</f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499"/>
      <c r="AF337" s="500"/>
      <c r="AG337" s="500"/>
      <c r="AH337" s="501"/>
      <c r="AJ337" s="229" t="str">
        <f>IF(OR(A337="",AND(ISNUMBER(FIND("[", A337)), ISNUMBER(FIND("ALL", A337)), ISNUMBER(FIND("]", A337)))),"",MAX(AJ$3:AJ336)+1)</f>
        <v/>
      </c>
      <c r="AK337" s="229" t="str">
        <f>IFERROR(INDEX($A$4:$A$1000,MATCH(ROW()-ROW($AK$3),$AJ$4:$AJ$1000,0)),"")</f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499"/>
      <c r="AF338" s="500"/>
      <c r="AG338" s="500"/>
      <c r="AH338" s="501"/>
      <c r="AJ338" s="229" t="str">
        <f>IF(OR(A338="",AND(ISNUMBER(FIND("[", A338)), ISNUMBER(FIND("ALL", A338)), ISNUMBER(FIND("]", A338)))),"",MAX(AJ$3:AJ337)+1)</f>
        <v/>
      </c>
      <c r="AK338" s="229" t="str">
        <f>IFERROR(INDEX($A$4:$A$1000,MATCH(ROW()-ROW($AK$3),$AJ$4:$AJ$1000,0)),"")</f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499"/>
      <c r="AF339" s="500"/>
      <c r="AG339" s="500"/>
      <c r="AH339" s="501"/>
      <c r="AJ339" s="229" t="str">
        <f>IF(OR(A339="",AND(ISNUMBER(FIND("[", A339)), ISNUMBER(FIND("ALL", A339)), ISNUMBER(FIND("]", A339)))),"",MAX(AJ$3:AJ338)+1)</f>
        <v/>
      </c>
      <c r="AK339" s="229" t="str">
        <f>IFERROR(INDEX($A$4:$A$1000,MATCH(ROW()-ROW($AK$3),$AJ$4:$AJ$1000,0)),"")</f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499"/>
      <c r="AF340" s="500"/>
      <c r="AG340" s="500"/>
      <c r="AH340" s="501"/>
      <c r="AJ340" s="229" t="str">
        <f>IF(OR(A340="",AND(ISNUMBER(FIND("[", A340)), ISNUMBER(FIND("ALL", A340)), ISNUMBER(FIND("]", A340)))),"",MAX(AJ$3:AJ339)+1)</f>
        <v/>
      </c>
      <c r="AK340" s="229" t="str">
        <f>IFERROR(INDEX($A$4:$A$1000,MATCH(ROW()-ROW($AK$3),$AJ$4:$AJ$1000,0)),"")</f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499"/>
      <c r="AF341" s="500"/>
      <c r="AG341" s="500"/>
      <c r="AH341" s="501"/>
      <c r="AJ341" s="229" t="str">
        <f>IF(OR(A341="",AND(ISNUMBER(FIND("[", A341)), ISNUMBER(FIND("ALL", A341)), ISNUMBER(FIND("]", A341)))),"",MAX(AJ$3:AJ340)+1)</f>
        <v/>
      </c>
      <c r="AK341" s="229" t="str">
        <f>IFERROR(INDEX($A$4:$A$1000,MATCH(ROW()-ROW($AK$3),$AJ$4:$AJ$1000,0)),"")</f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499"/>
      <c r="AF342" s="500"/>
      <c r="AG342" s="500"/>
      <c r="AH342" s="501"/>
      <c r="AJ342" s="229" t="str">
        <f>IF(OR(A342="",AND(ISNUMBER(FIND("[", A342)), ISNUMBER(FIND("ALL", A342)), ISNUMBER(FIND("]", A342)))),"",MAX(AJ$3:AJ341)+1)</f>
        <v/>
      </c>
      <c r="AK342" s="229" t="str">
        <f>IFERROR(INDEX($A$4:$A$1000,MATCH(ROW()-ROW($AK$3),$AJ$4:$AJ$1000,0)),"")</f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499"/>
      <c r="AF343" s="500"/>
      <c r="AG343" s="500"/>
      <c r="AH343" s="501"/>
      <c r="AJ343" s="229" t="str">
        <f>IF(OR(A343="",AND(ISNUMBER(FIND("[", A343)), ISNUMBER(FIND("ALL", A343)), ISNUMBER(FIND("]", A343)))),"",MAX(AJ$3:AJ342)+1)</f>
        <v/>
      </c>
      <c r="AK343" s="229" t="str">
        <f>IFERROR(INDEX($A$4:$A$1000,MATCH(ROW()-ROW($AK$3),$AJ$4:$AJ$1000,0)),"")</f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499"/>
      <c r="AF344" s="500"/>
      <c r="AG344" s="500"/>
      <c r="AH344" s="501"/>
      <c r="AJ344" s="229" t="str">
        <f>IF(OR(A344="",AND(ISNUMBER(FIND("[", A344)), ISNUMBER(FIND("ALL", A344)), ISNUMBER(FIND("]", A344)))),"",MAX(AJ$3:AJ343)+1)</f>
        <v/>
      </c>
      <c r="AK344" s="229" t="str">
        <f>IFERROR(INDEX($A$4:$A$1000,MATCH(ROW()-ROW($AK$3),$AJ$4:$AJ$1000,0)),"")</f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499"/>
      <c r="AF345" s="500"/>
      <c r="AG345" s="500"/>
      <c r="AH345" s="501"/>
      <c r="AJ345" s="229" t="str">
        <f>IF(OR(A345="",AND(ISNUMBER(FIND("[", A345)), ISNUMBER(FIND("ALL", A345)), ISNUMBER(FIND("]", A345)))),"",MAX(AJ$3:AJ344)+1)</f>
        <v/>
      </c>
      <c r="AK345" s="229" t="str">
        <f>IFERROR(INDEX($A$4:$A$1000,MATCH(ROW()-ROW($AK$3),$AJ$4:$AJ$1000,0)),"")</f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499"/>
      <c r="AF346" s="500"/>
      <c r="AG346" s="500"/>
      <c r="AH346" s="501"/>
      <c r="AJ346" s="229" t="str">
        <f>IF(OR(A346="",AND(ISNUMBER(FIND("[", A346)), ISNUMBER(FIND("ALL", A346)), ISNUMBER(FIND("]", A346)))),"",MAX(AJ$3:AJ345)+1)</f>
        <v/>
      </c>
      <c r="AK346" s="229" t="str">
        <f>IFERROR(INDEX($A$4:$A$1000,MATCH(ROW()-ROW($AK$3),$AJ$4:$AJ$1000,0)),"")</f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499"/>
      <c r="AF347" s="500"/>
      <c r="AG347" s="500"/>
      <c r="AH347" s="501"/>
      <c r="AJ347" s="229" t="str">
        <f>IF(OR(A347="",AND(ISNUMBER(FIND("[", A347)), ISNUMBER(FIND("ALL", A347)), ISNUMBER(FIND("]", A347)))),"",MAX(AJ$3:AJ346)+1)</f>
        <v/>
      </c>
      <c r="AK347" s="229" t="str">
        <f>IFERROR(INDEX($A$4:$A$1000,MATCH(ROW()-ROW($AK$3),$AJ$4:$AJ$1000,0)),"")</f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499"/>
      <c r="AF348" s="500"/>
      <c r="AG348" s="500"/>
      <c r="AH348" s="501"/>
      <c r="AJ348" s="229" t="str">
        <f>IF(OR(A348="",AND(ISNUMBER(FIND("[", A348)), ISNUMBER(FIND("ALL", A348)), ISNUMBER(FIND("]", A348)))),"",MAX(AJ$3:AJ347)+1)</f>
        <v/>
      </c>
      <c r="AK348" s="229" t="str">
        <f>IFERROR(INDEX($A$4:$A$1000,MATCH(ROW()-ROW($AK$3),$AJ$4:$AJ$1000,0)),"")</f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499"/>
      <c r="AF349" s="500"/>
      <c r="AG349" s="500"/>
      <c r="AH349" s="501"/>
      <c r="AJ349" s="229" t="str">
        <f>IF(OR(A349="",AND(ISNUMBER(FIND("[", A349)), ISNUMBER(FIND("ALL", A349)), ISNUMBER(FIND("]", A349)))),"",MAX(AJ$3:AJ348)+1)</f>
        <v/>
      </c>
      <c r="AK349" s="229" t="str">
        <f>IFERROR(INDEX($A$4:$A$1000,MATCH(ROW()-ROW($AK$3),$AJ$4:$AJ$1000,0)),"")</f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499"/>
      <c r="AF350" s="500"/>
      <c r="AG350" s="500"/>
      <c r="AH350" s="501"/>
      <c r="AJ350" s="229" t="str">
        <f>IF(OR(A350="",AND(ISNUMBER(FIND("[", A350)), ISNUMBER(FIND("ALL", A350)), ISNUMBER(FIND("]", A350)))),"",MAX(AJ$3:AJ349)+1)</f>
        <v/>
      </c>
      <c r="AK350" s="229" t="str">
        <f>IFERROR(INDEX($A$4:$A$1000,MATCH(ROW()-ROW($AK$3),$AJ$4:$AJ$1000,0)),"")</f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499"/>
      <c r="AF351" s="500"/>
      <c r="AG351" s="500"/>
      <c r="AH351" s="501"/>
      <c r="AJ351" s="229" t="str">
        <f>IF(OR(A351="",AND(ISNUMBER(FIND("[", A351)), ISNUMBER(FIND("ALL", A351)), ISNUMBER(FIND("]", A351)))),"",MAX(AJ$3:AJ350)+1)</f>
        <v/>
      </c>
      <c r="AK351" s="229" t="str">
        <f>IFERROR(INDEX($A$4:$A$1000,MATCH(ROW()-ROW($AK$3),$AJ$4:$AJ$1000,0)),"")</f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499"/>
      <c r="AF352" s="500"/>
      <c r="AG352" s="500"/>
      <c r="AH352" s="501"/>
      <c r="AJ352" s="229" t="str">
        <f>IF(OR(A352="",AND(ISNUMBER(FIND("[", A352)), ISNUMBER(FIND("ALL", A352)), ISNUMBER(FIND("]", A352)))),"",MAX(AJ$3:AJ351)+1)</f>
        <v/>
      </c>
      <c r="AK352" s="229" t="str">
        <f>IFERROR(INDEX($A$4:$A$1000,MATCH(ROW()-ROW($AK$3),$AJ$4:$AJ$1000,0)),"")</f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499"/>
      <c r="AF353" s="500"/>
      <c r="AG353" s="500"/>
      <c r="AH353" s="501"/>
      <c r="AJ353" s="229" t="str">
        <f>IF(OR(A353="",AND(ISNUMBER(FIND("[", A353)), ISNUMBER(FIND("ALL", A353)), ISNUMBER(FIND("]", A353)))),"",MAX(AJ$3:AJ352)+1)</f>
        <v/>
      </c>
      <c r="AK353" s="229" t="str">
        <f>IFERROR(INDEX($A$4:$A$1000,MATCH(ROW()-ROW($AK$3),$AJ$4:$AJ$1000,0)),"")</f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499"/>
      <c r="AF354" s="500"/>
      <c r="AG354" s="500"/>
      <c r="AH354" s="501"/>
      <c r="AJ354" s="229" t="str">
        <f>IF(OR(A354="",AND(ISNUMBER(FIND("[", A354)), ISNUMBER(FIND("ALL", A354)), ISNUMBER(FIND("]", A354)))),"",MAX(AJ$3:AJ353)+1)</f>
        <v/>
      </c>
      <c r="AK354" s="229" t="str">
        <f>IFERROR(INDEX($A$4:$A$1000,MATCH(ROW()-ROW($AK$3),$AJ$4:$AJ$1000,0)),"")</f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499"/>
      <c r="AF355" s="500"/>
      <c r="AG355" s="500"/>
      <c r="AH355" s="501"/>
      <c r="AJ355" s="229" t="str">
        <f>IF(OR(A355="",AND(ISNUMBER(FIND("[", A355)), ISNUMBER(FIND("ALL", A355)), ISNUMBER(FIND("]", A355)))),"",MAX(AJ$3:AJ354)+1)</f>
        <v/>
      </c>
      <c r="AK355" s="229" t="str">
        <f>IFERROR(INDEX($A$4:$A$1000,MATCH(ROW()-ROW($AK$3),$AJ$4:$AJ$1000,0)),"")</f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499"/>
      <c r="AF356" s="500"/>
      <c r="AG356" s="500"/>
      <c r="AH356" s="501"/>
      <c r="AJ356" s="229" t="str">
        <f>IF(OR(A356="",AND(ISNUMBER(FIND("[", A356)), ISNUMBER(FIND("ALL", A356)), ISNUMBER(FIND("]", A356)))),"",MAX(AJ$3:AJ355)+1)</f>
        <v/>
      </c>
      <c r="AK356" s="229" t="str">
        <f>IFERROR(INDEX($A$4:$A$1000,MATCH(ROW()-ROW($AK$3),$AJ$4:$AJ$1000,0)),"")</f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499"/>
      <c r="AF357" s="500"/>
      <c r="AG357" s="500"/>
      <c r="AH357" s="501"/>
      <c r="AJ357" s="229" t="str">
        <f>IF(OR(A357="",AND(ISNUMBER(FIND("[", A357)), ISNUMBER(FIND("ALL", A357)), ISNUMBER(FIND("]", A357)))),"",MAX(AJ$3:AJ356)+1)</f>
        <v/>
      </c>
      <c r="AK357" s="229" t="str">
        <f>IFERROR(INDEX($A$4:$A$1000,MATCH(ROW()-ROW($AK$3),$AJ$4:$AJ$1000,0)),"")</f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499"/>
      <c r="AF358" s="500"/>
      <c r="AG358" s="500"/>
      <c r="AH358" s="501"/>
      <c r="AJ358" s="229" t="str">
        <f>IF(OR(A358="",AND(ISNUMBER(FIND("[", A358)), ISNUMBER(FIND("ALL", A358)), ISNUMBER(FIND("]", A358)))),"",MAX(AJ$3:AJ357)+1)</f>
        <v/>
      </c>
      <c r="AK358" s="229" t="str">
        <f>IFERROR(INDEX($A$4:$A$1000,MATCH(ROW()-ROW($AK$3),$AJ$4:$AJ$1000,0)),"")</f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499"/>
      <c r="AF359" s="500"/>
      <c r="AG359" s="500"/>
      <c r="AH359" s="501"/>
      <c r="AJ359" s="229" t="str">
        <f>IF(OR(A359="",AND(ISNUMBER(FIND("[", A359)), ISNUMBER(FIND("ALL", A359)), ISNUMBER(FIND("]", A359)))),"",MAX(AJ$3:AJ358)+1)</f>
        <v/>
      </c>
      <c r="AK359" s="229" t="str">
        <f>IFERROR(INDEX($A$4:$A$1000,MATCH(ROW()-ROW($AK$3),$AJ$4:$AJ$1000,0)),"")</f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499"/>
      <c r="AF360" s="500"/>
      <c r="AG360" s="500"/>
      <c r="AH360" s="501"/>
      <c r="AJ360" s="229" t="str">
        <f>IF(OR(A360="",AND(ISNUMBER(FIND("[", A360)), ISNUMBER(FIND("ALL", A360)), ISNUMBER(FIND("]", A360)))),"",MAX(AJ$3:AJ359)+1)</f>
        <v/>
      </c>
      <c r="AK360" s="229" t="str">
        <f>IFERROR(INDEX($A$4:$A$1000,MATCH(ROW()-ROW($AK$3),$AJ$4:$AJ$1000,0)),"")</f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499"/>
      <c r="AF361" s="500"/>
      <c r="AG361" s="500"/>
      <c r="AH361" s="501"/>
      <c r="AJ361" s="229" t="str">
        <f>IF(OR(A361="",AND(ISNUMBER(FIND("[", A361)), ISNUMBER(FIND("ALL", A361)), ISNUMBER(FIND("]", A361)))),"",MAX(AJ$3:AJ360)+1)</f>
        <v/>
      </c>
      <c r="AK361" s="229" t="str">
        <f>IFERROR(INDEX($A$4:$A$1000,MATCH(ROW()-ROW($AK$3),$AJ$4:$AJ$1000,0)),"")</f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499"/>
      <c r="AF362" s="500"/>
      <c r="AG362" s="500"/>
      <c r="AH362" s="501"/>
      <c r="AJ362" s="229" t="str">
        <f>IF(OR(A362="",AND(ISNUMBER(FIND("[", A362)), ISNUMBER(FIND("ALL", A362)), ISNUMBER(FIND("]", A362)))),"",MAX(AJ$3:AJ361)+1)</f>
        <v/>
      </c>
      <c r="AK362" s="229" t="str">
        <f>IFERROR(INDEX($A$4:$A$1000,MATCH(ROW()-ROW($AK$3),$AJ$4:$AJ$1000,0)),"")</f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499"/>
      <c r="AF363" s="500"/>
      <c r="AG363" s="500"/>
      <c r="AH363" s="501"/>
      <c r="AJ363" s="229" t="str">
        <f>IF(OR(A363="",AND(ISNUMBER(FIND("[", A363)), ISNUMBER(FIND("ALL", A363)), ISNUMBER(FIND("]", A363)))),"",MAX(AJ$3:AJ362)+1)</f>
        <v/>
      </c>
      <c r="AK363" s="229" t="str">
        <f>IFERROR(INDEX($A$4:$A$1000,MATCH(ROW()-ROW($AK$3),$AJ$4:$AJ$1000,0)),"")</f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499"/>
      <c r="AF364" s="500"/>
      <c r="AG364" s="500"/>
      <c r="AH364" s="501"/>
      <c r="AJ364" s="229" t="str">
        <f>IF(OR(A364="",AND(ISNUMBER(FIND("[", A364)), ISNUMBER(FIND("ALL", A364)), ISNUMBER(FIND("]", A364)))),"",MAX(AJ$3:AJ363)+1)</f>
        <v/>
      </c>
      <c r="AK364" s="229" t="str">
        <f>IFERROR(INDEX($A$4:$A$1000,MATCH(ROW()-ROW($AK$3),$AJ$4:$AJ$1000,0)),"")</f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499"/>
      <c r="AF365" s="500"/>
      <c r="AG365" s="500"/>
      <c r="AH365" s="501"/>
      <c r="AJ365" s="229" t="str">
        <f>IF(OR(A365="",AND(ISNUMBER(FIND("[", A365)), ISNUMBER(FIND("ALL", A365)), ISNUMBER(FIND("]", A365)))),"",MAX(AJ$3:AJ364)+1)</f>
        <v/>
      </c>
      <c r="AK365" s="229" t="str">
        <f>IFERROR(INDEX($A$4:$A$1000,MATCH(ROW()-ROW($AK$3),$AJ$4:$AJ$1000,0)),"")</f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499"/>
      <c r="AF366" s="500"/>
      <c r="AG366" s="500"/>
      <c r="AH366" s="501"/>
      <c r="AJ366" s="229" t="str">
        <f>IF(OR(A366="",AND(ISNUMBER(FIND("[", A366)), ISNUMBER(FIND("ALL", A366)), ISNUMBER(FIND("]", A366)))),"",MAX(AJ$3:AJ365)+1)</f>
        <v/>
      </c>
      <c r="AK366" s="229" t="str">
        <f>IFERROR(INDEX($A$4:$A$1000,MATCH(ROW()-ROW($AK$3),$AJ$4:$AJ$1000,0)),"")</f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499"/>
      <c r="AF367" s="500"/>
      <c r="AG367" s="500"/>
      <c r="AH367" s="501"/>
      <c r="AJ367" s="229" t="str">
        <f>IF(OR(A367="",AND(ISNUMBER(FIND("[", A367)), ISNUMBER(FIND("ALL", A367)), ISNUMBER(FIND("]", A367)))),"",MAX(AJ$3:AJ366)+1)</f>
        <v/>
      </c>
      <c r="AK367" s="229" t="str">
        <f>IFERROR(INDEX($A$4:$A$1000,MATCH(ROW()-ROW($AK$3),$AJ$4:$AJ$1000,0)),"")</f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499"/>
      <c r="AF368" s="500"/>
      <c r="AG368" s="500"/>
      <c r="AH368" s="501"/>
      <c r="AJ368" s="229" t="str">
        <f>IF(OR(A368="",AND(ISNUMBER(FIND("[", A368)), ISNUMBER(FIND("ALL", A368)), ISNUMBER(FIND("]", A368)))),"",MAX(AJ$3:AJ367)+1)</f>
        <v/>
      </c>
      <c r="AK368" s="229" t="str">
        <f>IFERROR(INDEX($A$4:$A$1000,MATCH(ROW()-ROW($AK$3),$AJ$4:$AJ$1000,0)),"")</f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499"/>
      <c r="AF369" s="500"/>
      <c r="AG369" s="500"/>
      <c r="AH369" s="501"/>
      <c r="AJ369" s="229" t="str">
        <f>IF(OR(A369="",AND(ISNUMBER(FIND("[", A369)), ISNUMBER(FIND("ALL", A369)), ISNUMBER(FIND("]", A369)))),"",MAX(AJ$3:AJ368)+1)</f>
        <v/>
      </c>
      <c r="AK369" s="229" t="str">
        <f>IFERROR(INDEX($A$4:$A$1000,MATCH(ROW()-ROW($AK$3),$AJ$4:$AJ$1000,0)),"")</f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499"/>
      <c r="AF370" s="500"/>
      <c r="AG370" s="500"/>
      <c r="AH370" s="501"/>
      <c r="AJ370" s="229" t="str">
        <f>IF(OR(A370="",AND(ISNUMBER(FIND("[", A370)), ISNUMBER(FIND("ALL", A370)), ISNUMBER(FIND("]", A370)))),"",MAX(AJ$3:AJ369)+1)</f>
        <v/>
      </c>
      <c r="AK370" s="229" t="str">
        <f>IFERROR(INDEX($A$4:$A$1000,MATCH(ROW()-ROW($AK$3),$AJ$4:$AJ$1000,0)),"")</f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499"/>
      <c r="AF371" s="500"/>
      <c r="AG371" s="500"/>
      <c r="AH371" s="501"/>
      <c r="AJ371" s="229" t="str">
        <f>IF(OR(A371="",AND(ISNUMBER(FIND("[", A371)), ISNUMBER(FIND("ALL", A371)), ISNUMBER(FIND("]", A371)))),"",MAX(AJ$3:AJ370)+1)</f>
        <v/>
      </c>
      <c r="AK371" s="229" t="str">
        <f>IFERROR(INDEX($A$4:$A$1000,MATCH(ROW()-ROW($AK$3),$AJ$4:$AJ$1000,0)),"")</f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499"/>
      <c r="AF372" s="500"/>
      <c r="AG372" s="500"/>
      <c r="AH372" s="501"/>
      <c r="AJ372" s="229" t="str">
        <f>IF(OR(A372="",AND(ISNUMBER(FIND("[", A372)), ISNUMBER(FIND("ALL", A372)), ISNUMBER(FIND("]", A372)))),"",MAX(AJ$3:AJ371)+1)</f>
        <v/>
      </c>
      <c r="AK372" s="229" t="str">
        <f>IFERROR(INDEX($A$4:$A$1000,MATCH(ROW()-ROW($AK$3),$AJ$4:$AJ$1000,0)),"")</f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499"/>
      <c r="AF373" s="500"/>
      <c r="AG373" s="500"/>
      <c r="AH373" s="501"/>
      <c r="AJ373" s="229" t="str">
        <f>IF(OR(A373="",AND(ISNUMBER(FIND("[", A373)), ISNUMBER(FIND("ALL", A373)), ISNUMBER(FIND("]", A373)))),"",MAX(AJ$3:AJ372)+1)</f>
        <v/>
      </c>
      <c r="AK373" s="229" t="str">
        <f>IFERROR(INDEX($A$4:$A$1000,MATCH(ROW()-ROW($AK$3),$AJ$4:$AJ$1000,0)),"")</f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499"/>
      <c r="AF374" s="500"/>
      <c r="AG374" s="500"/>
      <c r="AH374" s="501"/>
      <c r="AJ374" s="229" t="str">
        <f>IF(OR(A374="",AND(ISNUMBER(FIND("[", A374)), ISNUMBER(FIND("ALL", A374)), ISNUMBER(FIND("]", A374)))),"",MAX(AJ$3:AJ373)+1)</f>
        <v/>
      </c>
      <c r="AK374" s="229" t="str">
        <f>IFERROR(INDEX($A$4:$A$1000,MATCH(ROW()-ROW($AK$3),$AJ$4:$AJ$1000,0)),"")</f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499"/>
      <c r="AF375" s="500"/>
      <c r="AG375" s="500"/>
      <c r="AH375" s="501"/>
      <c r="AJ375" s="229" t="str">
        <f>IF(OR(A375="",AND(ISNUMBER(FIND("[", A375)), ISNUMBER(FIND("ALL", A375)), ISNUMBER(FIND("]", A375)))),"",MAX(AJ$3:AJ374)+1)</f>
        <v/>
      </c>
      <c r="AK375" s="229" t="str">
        <f>IFERROR(INDEX($A$4:$A$1000,MATCH(ROW()-ROW($AK$3),$AJ$4:$AJ$1000,0)),"")</f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499"/>
      <c r="AF376" s="500"/>
      <c r="AG376" s="500"/>
      <c r="AH376" s="501"/>
      <c r="AJ376" s="229" t="str">
        <f>IF(OR(A376="",AND(ISNUMBER(FIND("[", A376)), ISNUMBER(FIND("ALL", A376)), ISNUMBER(FIND("]", A376)))),"",MAX(AJ$3:AJ375)+1)</f>
        <v/>
      </c>
      <c r="AK376" s="229" t="str">
        <f>IFERROR(INDEX($A$4:$A$1000,MATCH(ROW()-ROW($AK$3),$AJ$4:$AJ$1000,0)),"")</f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499"/>
      <c r="AF377" s="500"/>
      <c r="AG377" s="500"/>
      <c r="AH377" s="501"/>
      <c r="AJ377" s="229" t="str">
        <f>IF(OR(A377="",AND(ISNUMBER(FIND("[", A377)), ISNUMBER(FIND("ALL", A377)), ISNUMBER(FIND("]", A377)))),"",MAX(AJ$3:AJ376)+1)</f>
        <v/>
      </c>
      <c r="AK377" s="229" t="str">
        <f>IFERROR(INDEX($A$4:$A$1000,MATCH(ROW()-ROW($AK$3),$AJ$4:$AJ$1000,0)),"")</f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499"/>
      <c r="AF378" s="500"/>
      <c r="AG378" s="500"/>
      <c r="AH378" s="501"/>
      <c r="AJ378" s="229" t="str">
        <f>IF(OR(A378="",AND(ISNUMBER(FIND("[", A378)), ISNUMBER(FIND("ALL", A378)), ISNUMBER(FIND("]", A378)))),"",MAX(AJ$3:AJ377)+1)</f>
        <v/>
      </c>
      <c r="AK378" s="229" t="str">
        <f>IFERROR(INDEX($A$4:$A$1000,MATCH(ROW()-ROW($AK$3),$AJ$4:$AJ$1000,0)),"")</f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499"/>
      <c r="AF379" s="500"/>
      <c r="AG379" s="500"/>
      <c r="AH379" s="501"/>
      <c r="AJ379" s="229" t="str">
        <f>IF(OR(A379="",AND(ISNUMBER(FIND("[", A379)), ISNUMBER(FIND("ALL", A379)), ISNUMBER(FIND("]", A379)))),"",MAX(AJ$3:AJ378)+1)</f>
        <v/>
      </c>
      <c r="AK379" s="229" t="str">
        <f>IFERROR(INDEX($A$4:$A$1000,MATCH(ROW()-ROW($AK$3),$AJ$4:$AJ$1000,0)),"")</f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499"/>
      <c r="AF380" s="500"/>
      <c r="AG380" s="500"/>
      <c r="AH380" s="501"/>
      <c r="AJ380" s="229" t="str">
        <f>IF(OR(A380="",AND(ISNUMBER(FIND("[", A380)), ISNUMBER(FIND("ALL", A380)), ISNUMBER(FIND("]", A380)))),"",MAX(AJ$3:AJ379)+1)</f>
        <v/>
      </c>
      <c r="AK380" s="229" t="str">
        <f>IFERROR(INDEX($A$4:$A$1000,MATCH(ROW()-ROW($AK$3),$AJ$4:$AJ$1000,0)),"")</f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499"/>
      <c r="AF381" s="500"/>
      <c r="AG381" s="500"/>
      <c r="AH381" s="501"/>
      <c r="AJ381" s="229" t="str">
        <f>IF(OR(A381="",AND(ISNUMBER(FIND("[", A381)), ISNUMBER(FIND("ALL", A381)), ISNUMBER(FIND("]", A381)))),"",MAX(AJ$3:AJ380)+1)</f>
        <v/>
      </c>
      <c r="AK381" s="229" t="str">
        <f>IFERROR(INDEX($A$4:$A$1000,MATCH(ROW()-ROW($AK$3),$AJ$4:$AJ$1000,0)),"")</f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499"/>
      <c r="AF382" s="500"/>
      <c r="AG382" s="500"/>
      <c r="AH382" s="501"/>
      <c r="AJ382" s="229" t="str">
        <f>IF(OR(A382="",AND(ISNUMBER(FIND("[", A382)), ISNUMBER(FIND("ALL", A382)), ISNUMBER(FIND("]", A382)))),"",MAX(AJ$3:AJ381)+1)</f>
        <v/>
      </c>
      <c r="AK382" s="229" t="str">
        <f>IFERROR(INDEX($A$4:$A$1000,MATCH(ROW()-ROW($AK$3),$AJ$4:$AJ$1000,0)),"")</f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499"/>
      <c r="AF383" s="500"/>
      <c r="AG383" s="500"/>
      <c r="AH383" s="501"/>
      <c r="AJ383" s="229" t="str">
        <f>IF(OR(A383="",AND(ISNUMBER(FIND("[", A383)), ISNUMBER(FIND("ALL", A383)), ISNUMBER(FIND("]", A383)))),"",MAX(AJ$3:AJ382)+1)</f>
        <v/>
      </c>
      <c r="AK383" s="229" t="str">
        <f>IFERROR(INDEX($A$4:$A$1000,MATCH(ROW()-ROW($AK$3),$AJ$4:$AJ$1000,0)),"")</f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499"/>
      <c r="AF384" s="500"/>
      <c r="AG384" s="500"/>
      <c r="AH384" s="501"/>
      <c r="AJ384" s="229" t="str">
        <f>IF(OR(A384="",AND(ISNUMBER(FIND("[", A384)), ISNUMBER(FIND("ALL", A384)), ISNUMBER(FIND("]", A384)))),"",MAX(AJ$3:AJ383)+1)</f>
        <v/>
      </c>
      <c r="AK384" s="229" t="str">
        <f>IFERROR(INDEX($A$4:$A$1000,MATCH(ROW()-ROW($AK$3),$AJ$4:$AJ$1000,0)),"")</f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499"/>
      <c r="AF385" s="500"/>
      <c r="AG385" s="500"/>
      <c r="AH385" s="501"/>
      <c r="AJ385" s="229" t="str">
        <f>IF(OR(A385="",AND(ISNUMBER(FIND("[", A385)), ISNUMBER(FIND("ALL", A385)), ISNUMBER(FIND("]", A385)))),"",MAX(AJ$3:AJ384)+1)</f>
        <v/>
      </c>
      <c r="AK385" s="229" t="str">
        <f>IFERROR(INDEX($A$4:$A$1000,MATCH(ROW()-ROW($AK$3),$AJ$4:$AJ$1000,0)),"")</f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499"/>
      <c r="AF386" s="500"/>
      <c r="AG386" s="500"/>
      <c r="AH386" s="501"/>
      <c r="AJ386" s="229" t="str">
        <f>IF(OR(A386="",AND(ISNUMBER(FIND("[", A386)), ISNUMBER(FIND("ALL", A386)), ISNUMBER(FIND("]", A386)))),"",MAX(AJ$3:AJ385)+1)</f>
        <v/>
      </c>
      <c r="AK386" s="229" t="str">
        <f>IFERROR(INDEX($A$4:$A$1000,MATCH(ROW()-ROW($AK$3),$AJ$4:$AJ$1000,0)),"")</f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499"/>
      <c r="AF387" s="500"/>
      <c r="AG387" s="500"/>
      <c r="AH387" s="501"/>
      <c r="AJ387" s="229" t="str">
        <f>IF(OR(A387="",AND(ISNUMBER(FIND("[", A387)), ISNUMBER(FIND("ALL", A387)), ISNUMBER(FIND("]", A387)))),"",MAX(AJ$3:AJ386)+1)</f>
        <v/>
      </c>
      <c r="AK387" s="229" t="str">
        <f>IFERROR(INDEX($A$4:$A$1000,MATCH(ROW()-ROW($AK$3),$AJ$4:$AJ$1000,0)),"")</f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499"/>
      <c r="AF388" s="500"/>
      <c r="AG388" s="500"/>
      <c r="AH388" s="501"/>
      <c r="AJ388" s="229" t="str">
        <f>IF(OR(A388="",AND(ISNUMBER(FIND("[", A388)), ISNUMBER(FIND("ALL", A388)), ISNUMBER(FIND("]", A388)))),"",MAX(AJ$3:AJ387)+1)</f>
        <v/>
      </c>
      <c r="AK388" s="229" t="str">
        <f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499"/>
      <c r="AF389" s="500"/>
      <c r="AG389" s="500"/>
      <c r="AH389" s="501"/>
      <c r="AJ389" s="229" t="str">
        <f>IF(OR(A389="",AND(ISNUMBER(FIND("[", A389)), ISNUMBER(FIND("ALL", A389)), ISNUMBER(FIND("]", A389)))),"",MAX(AJ$3:AJ388)+1)</f>
        <v/>
      </c>
      <c r="AK389" s="229" t="str">
        <f>IFERROR(INDEX($A$4:$A$1000,MATCH(ROW()-ROW($AK$3),$AJ$4:$AJ$1000,0)),"")</f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499"/>
      <c r="AF390" s="500"/>
      <c r="AG390" s="500"/>
      <c r="AH390" s="501"/>
      <c r="AJ390" s="229" t="str">
        <f>IF(OR(A390="",AND(ISNUMBER(FIND("[", A390)), ISNUMBER(FIND("ALL", A390)), ISNUMBER(FIND("]", A390)))),"",MAX(AJ$3:AJ389)+1)</f>
        <v/>
      </c>
      <c r="AK390" s="229" t="str">
        <f>IFERROR(INDEX($A$4:$A$1000,MATCH(ROW()-ROW($AK$3),$AJ$4:$AJ$1000,0)),"")</f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499"/>
      <c r="AF391" s="500"/>
      <c r="AG391" s="500"/>
      <c r="AH391" s="501"/>
      <c r="AJ391" s="229" t="str">
        <f>IF(OR(A391="",AND(ISNUMBER(FIND("[", A391)), ISNUMBER(FIND("ALL", A391)), ISNUMBER(FIND("]", A391)))),"",MAX(AJ$3:AJ390)+1)</f>
        <v/>
      </c>
      <c r="AK391" s="229" t="str">
        <f>IFERROR(INDEX($A$4:$A$1000,MATCH(ROW()-ROW($AK$3),$AJ$4:$AJ$1000,0)),"")</f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499"/>
      <c r="AF392" s="500"/>
      <c r="AG392" s="500"/>
      <c r="AH392" s="501"/>
      <c r="AJ392" s="229" t="str">
        <f>IF(OR(A392="",AND(ISNUMBER(FIND("[", A392)), ISNUMBER(FIND("ALL", A392)), ISNUMBER(FIND("]", A392)))),"",MAX(AJ$3:AJ391)+1)</f>
        <v/>
      </c>
      <c r="AK392" s="229" t="str">
        <f>IFERROR(INDEX($A$4:$A$1000,MATCH(ROW()-ROW($AK$3),$AJ$4:$AJ$1000,0)),"")</f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499"/>
      <c r="AF393" s="500"/>
      <c r="AG393" s="500"/>
      <c r="AH393" s="501"/>
      <c r="AJ393" s="229" t="str">
        <f>IF(OR(A393="",AND(ISNUMBER(FIND("[", A393)), ISNUMBER(FIND("ALL", A393)), ISNUMBER(FIND("]", A393)))),"",MAX(AJ$3:AJ392)+1)</f>
        <v/>
      </c>
      <c r="AK393" s="229" t="str">
        <f>IFERROR(INDEX($A$4:$A$1000,MATCH(ROW()-ROW($AK$3),$AJ$4:$AJ$1000,0)),"")</f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499"/>
      <c r="AF394" s="500"/>
      <c r="AG394" s="500"/>
      <c r="AH394" s="501"/>
      <c r="AJ394" s="229" t="str">
        <f>IF(OR(A394="",AND(ISNUMBER(FIND("[", A394)), ISNUMBER(FIND("ALL", A394)), ISNUMBER(FIND("]", A394)))),"",MAX(AJ$3:AJ393)+1)</f>
        <v/>
      </c>
      <c r="AK394" s="229" t="str">
        <f>IFERROR(INDEX($A$4:$A$1000,MATCH(ROW()-ROW($AK$3),$AJ$4:$AJ$1000,0)),"")</f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499"/>
      <c r="AF395" s="500"/>
      <c r="AG395" s="500"/>
      <c r="AH395" s="501"/>
      <c r="AJ395" s="229" t="str">
        <f>IF(OR(A395="",AND(ISNUMBER(FIND("[", A395)), ISNUMBER(FIND("ALL", A395)), ISNUMBER(FIND("]", A395)))),"",MAX(AJ$3:AJ394)+1)</f>
        <v/>
      </c>
      <c r="AK395" s="229" t="str">
        <f>IFERROR(INDEX($A$4:$A$1000,MATCH(ROW()-ROW($AK$3),$AJ$4:$AJ$1000,0)),"")</f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499"/>
      <c r="AF396" s="500"/>
      <c r="AG396" s="500"/>
      <c r="AH396" s="501"/>
      <c r="AJ396" s="229" t="str">
        <f>IF(OR(A396="",AND(ISNUMBER(FIND("[", A396)), ISNUMBER(FIND("ALL", A396)), ISNUMBER(FIND("]", A396)))),"",MAX(AJ$3:AJ395)+1)</f>
        <v/>
      </c>
      <c r="AK396" s="229" t="str">
        <f>IFERROR(INDEX($A$4:$A$1000,MATCH(ROW()-ROW($AK$3),$AJ$4:$AJ$1000,0)),"")</f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499"/>
      <c r="AF397" s="500"/>
      <c r="AG397" s="500"/>
      <c r="AH397" s="501"/>
      <c r="AJ397" s="229" t="str">
        <f>IF(OR(A397="",AND(ISNUMBER(FIND("[", A397)), ISNUMBER(FIND("ALL", A397)), ISNUMBER(FIND("]", A397)))),"",MAX(AJ$3:AJ396)+1)</f>
        <v/>
      </c>
      <c r="AK397" s="229" t="str">
        <f>IFERROR(INDEX($A$4:$A$1000,MATCH(ROW()-ROW($AK$3),$AJ$4:$AJ$1000,0)),"")</f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499"/>
      <c r="AF398" s="500"/>
      <c r="AG398" s="500"/>
      <c r="AH398" s="501"/>
      <c r="AJ398" s="229" t="str">
        <f>IF(OR(A398="",AND(ISNUMBER(FIND("[", A398)), ISNUMBER(FIND("ALL", A398)), ISNUMBER(FIND("]", A398)))),"",MAX(AJ$3:AJ397)+1)</f>
        <v/>
      </c>
      <c r="AK398" s="229" t="str">
        <f>IFERROR(INDEX($A$4:$A$1000,MATCH(ROW()-ROW($AK$3),$AJ$4:$AJ$1000,0)),"")</f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499"/>
      <c r="AF399" s="500"/>
      <c r="AG399" s="500"/>
      <c r="AH399" s="501"/>
      <c r="AJ399" s="229" t="str">
        <f>IF(OR(A399="",AND(ISNUMBER(FIND("[", A399)), ISNUMBER(FIND("ALL", A399)), ISNUMBER(FIND("]", A399)))),"",MAX(AJ$3:AJ398)+1)</f>
        <v/>
      </c>
      <c r="AK399" s="229" t="str">
        <f>IFERROR(INDEX($A$4:$A$1000,MATCH(ROW()-ROW($AK$3),$AJ$4:$AJ$1000,0)),"")</f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499"/>
      <c r="AF400" s="500"/>
      <c r="AG400" s="500"/>
      <c r="AH400" s="501"/>
      <c r="AJ400" s="229" t="str">
        <f>IF(OR(A400="",AND(ISNUMBER(FIND("[", A400)), ISNUMBER(FIND("ALL", A400)), ISNUMBER(FIND("]", A400)))),"",MAX(AJ$3:AJ399)+1)</f>
        <v/>
      </c>
      <c r="AK400" s="229" t="str">
        <f>IFERROR(INDEX($A$4:$A$1000,MATCH(ROW()-ROW($AK$3),$AJ$4:$AJ$1000,0)),"")</f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499"/>
      <c r="AF401" s="500"/>
      <c r="AG401" s="500"/>
      <c r="AH401" s="501"/>
      <c r="AJ401" s="229" t="str">
        <f>IF(OR(A401="",AND(ISNUMBER(FIND("[", A401)), ISNUMBER(FIND("ALL", A401)), ISNUMBER(FIND("]", A401)))),"",MAX(AJ$3:AJ400)+1)</f>
        <v/>
      </c>
      <c r="AK401" s="229" t="str">
        <f>IFERROR(INDEX($A$4:$A$1000,MATCH(ROW()-ROW($AK$3),$AJ$4:$AJ$1000,0)),"")</f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499"/>
      <c r="AF402" s="500"/>
      <c r="AG402" s="500"/>
      <c r="AH402" s="501"/>
      <c r="AJ402" s="229" t="str">
        <f>IF(OR(A402="",AND(ISNUMBER(FIND("[", A402)), ISNUMBER(FIND("ALL", A402)), ISNUMBER(FIND("]", A402)))),"",MAX(AJ$3:AJ401)+1)</f>
        <v/>
      </c>
      <c r="AK402" s="229" t="str">
        <f>IFERROR(INDEX($A$4:$A$1000,MATCH(ROW()-ROW($AK$3),$AJ$4:$AJ$1000,0)),"")</f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499"/>
      <c r="AF403" s="500"/>
      <c r="AG403" s="500"/>
      <c r="AH403" s="501"/>
      <c r="AJ403" s="229" t="str">
        <f>IF(OR(A403="",AND(ISNUMBER(FIND("[", A403)), ISNUMBER(FIND("ALL", A403)), ISNUMBER(FIND("]", A403)))),"",MAX(AJ$3:AJ402)+1)</f>
        <v/>
      </c>
      <c r="AK403" s="229" t="str">
        <f>IFERROR(INDEX($A$4:$A$1000,MATCH(ROW()-ROW($AK$3),$AJ$4:$AJ$1000,0)),"")</f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499"/>
      <c r="AF404" s="500"/>
      <c r="AG404" s="500"/>
      <c r="AH404" s="501"/>
      <c r="AJ404" s="229" t="str">
        <f>IF(OR(A404="",AND(ISNUMBER(FIND("[", A404)), ISNUMBER(FIND("ALL", A404)), ISNUMBER(FIND("]", A404)))),"",MAX(AJ$3:AJ403)+1)</f>
        <v/>
      </c>
      <c r="AK404" s="229" t="str">
        <f>IFERROR(INDEX($A$4:$A$1000,MATCH(ROW()-ROW($AK$3),$AJ$4:$AJ$1000,0)),"")</f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499"/>
      <c r="AF405" s="500"/>
      <c r="AG405" s="500"/>
      <c r="AH405" s="501"/>
      <c r="AJ405" s="229" t="str">
        <f>IF(OR(A405="",AND(ISNUMBER(FIND("[", A405)), ISNUMBER(FIND("ALL", A405)), ISNUMBER(FIND("]", A405)))),"",MAX(AJ$3:AJ404)+1)</f>
        <v/>
      </c>
      <c r="AK405" s="229" t="str">
        <f>IFERROR(INDEX($A$4:$A$1000,MATCH(ROW()-ROW($AK$3),$AJ$4:$AJ$1000,0)),"")</f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499"/>
      <c r="AF406" s="500"/>
      <c r="AG406" s="500"/>
      <c r="AH406" s="501"/>
      <c r="AJ406" s="229" t="str">
        <f>IF(OR(A406="",AND(ISNUMBER(FIND("[", A406)), ISNUMBER(FIND("ALL", A406)), ISNUMBER(FIND("]", A406)))),"",MAX(AJ$3:AJ405)+1)</f>
        <v/>
      </c>
      <c r="AK406" s="229" t="str">
        <f>IFERROR(INDEX($A$4:$A$1000,MATCH(ROW()-ROW($AK$3),$AJ$4:$AJ$1000,0)),"")</f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499"/>
      <c r="AF407" s="500"/>
      <c r="AG407" s="500"/>
      <c r="AH407" s="501"/>
      <c r="AJ407" s="229" t="str">
        <f>IF(OR(A407="",AND(ISNUMBER(FIND("[", A407)), ISNUMBER(FIND("ALL", A407)), ISNUMBER(FIND("]", A407)))),"",MAX(AJ$3:AJ406)+1)</f>
        <v/>
      </c>
      <c r="AK407" s="229" t="str">
        <f>IFERROR(INDEX($A$4:$A$1000,MATCH(ROW()-ROW($AK$3),$AJ$4:$AJ$1000,0)),"")</f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499"/>
      <c r="AF408" s="500"/>
      <c r="AG408" s="500"/>
      <c r="AH408" s="501"/>
      <c r="AJ408" s="229" t="str">
        <f>IF(OR(A408="",AND(ISNUMBER(FIND("[", A408)), ISNUMBER(FIND("ALL", A408)), ISNUMBER(FIND("]", A408)))),"",MAX(AJ$3:AJ407)+1)</f>
        <v/>
      </c>
      <c r="AK408" s="229" t="str">
        <f>IFERROR(INDEX($A$4:$A$1000,MATCH(ROW()-ROW($AK$3),$AJ$4:$AJ$1000,0)),"")</f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499"/>
      <c r="AF409" s="500"/>
      <c r="AG409" s="500"/>
      <c r="AH409" s="501"/>
      <c r="AJ409" s="229" t="str">
        <f>IF(OR(A409="",AND(ISNUMBER(FIND("[", A409)), ISNUMBER(FIND("ALL", A409)), ISNUMBER(FIND("]", A409)))),"",MAX(AJ$3:AJ408)+1)</f>
        <v/>
      </c>
      <c r="AK409" s="229" t="str">
        <f>IFERROR(INDEX($A$4:$A$1000,MATCH(ROW()-ROW($AK$3),$AJ$4:$AJ$1000,0)),"")</f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499"/>
      <c r="AF410" s="500"/>
      <c r="AG410" s="500"/>
      <c r="AH410" s="501"/>
      <c r="AJ410" s="229" t="str">
        <f>IF(OR(A410="",AND(ISNUMBER(FIND("[", A410)), ISNUMBER(FIND("ALL", A410)), ISNUMBER(FIND("]", A410)))),"",MAX(AJ$3:AJ409)+1)</f>
        <v/>
      </c>
      <c r="AK410" s="229" t="str">
        <f>IFERROR(INDEX($A$4:$A$1000,MATCH(ROW()-ROW($AK$3),$AJ$4:$AJ$1000,0)),"")</f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499"/>
      <c r="AF411" s="500"/>
      <c r="AG411" s="500"/>
      <c r="AH411" s="501"/>
      <c r="AJ411" s="229" t="str">
        <f>IF(OR(A411="",AND(ISNUMBER(FIND("[", A411)), ISNUMBER(FIND("ALL", A411)), ISNUMBER(FIND("]", A411)))),"",MAX(AJ$3:AJ410)+1)</f>
        <v/>
      </c>
      <c r="AK411" s="229" t="str">
        <f>IFERROR(INDEX($A$4:$A$1000,MATCH(ROW()-ROW($AK$3),$AJ$4:$AJ$1000,0)),"")</f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499"/>
      <c r="AF412" s="500"/>
      <c r="AG412" s="500"/>
      <c r="AH412" s="501"/>
      <c r="AJ412" s="229" t="str">
        <f>IF(OR(A412="",AND(ISNUMBER(FIND("[", A412)), ISNUMBER(FIND("ALL", A412)), ISNUMBER(FIND("]", A412)))),"",MAX(AJ$3:AJ411)+1)</f>
        <v/>
      </c>
      <c r="AK412" s="229" t="str">
        <f>IFERROR(INDEX($A$4:$A$1000,MATCH(ROW()-ROW($AK$3),$AJ$4:$AJ$1000,0)),"")</f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499"/>
      <c r="AF413" s="500"/>
      <c r="AG413" s="500"/>
      <c r="AH413" s="501"/>
      <c r="AJ413" s="229" t="str">
        <f>IF(OR(A413="",AND(ISNUMBER(FIND("[", A413)), ISNUMBER(FIND("ALL", A413)), ISNUMBER(FIND("]", A413)))),"",MAX(AJ$3:AJ412)+1)</f>
        <v/>
      </c>
      <c r="AK413" s="229" t="str">
        <f>IFERROR(INDEX($A$4:$A$1000,MATCH(ROW()-ROW($AK$3),$AJ$4:$AJ$1000,0)),"")</f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499"/>
      <c r="AF414" s="500"/>
      <c r="AG414" s="500"/>
      <c r="AH414" s="501"/>
      <c r="AJ414" s="229" t="str">
        <f>IF(OR(A414="",AND(ISNUMBER(FIND("[", A414)), ISNUMBER(FIND("ALL", A414)), ISNUMBER(FIND("]", A414)))),"",MAX(AJ$3:AJ413)+1)</f>
        <v/>
      </c>
      <c r="AK414" s="229" t="str">
        <f>IFERROR(INDEX($A$4:$A$1000,MATCH(ROW()-ROW($AK$3),$AJ$4:$AJ$1000,0)),"")</f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499"/>
      <c r="AF415" s="500"/>
      <c r="AG415" s="500"/>
      <c r="AH415" s="501"/>
      <c r="AJ415" s="229" t="str">
        <f>IF(OR(A415="",AND(ISNUMBER(FIND("[", A415)), ISNUMBER(FIND("ALL", A415)), ISNUMBER(FIND("]", A415)))),"",MAX(AJ$3:AJ414)+1)</f>
        <v/>
      </c>
      <c r="AK415" s="229" t="str">
        <f>IFERROR(INDEX($A$4:$A$1000,MATCH(ROW()-ROW($AK$3),$AJ$4:$AJ$1000,0)),"")</f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499"/>
      <c r="AF416" s="500"/>
      <c r="AG416" s="500"/>
      <c r="AH416" s="501"/>
      <c r="AJ416" s="229" t="str">
        <f>IF(OR(A416="",AND(ISNUMBER(FIND("[", A416)), ISNUMBER(FIND("ALL", A416)), ISNUMBER(FIND("]", A416)))),"",MAX(AJ$3:AJ415)+1)</f>
        <v/>
      </c>
      <c r="AK416" s="229" t="str">
        <f>IFERROR(INDEX($A$4:$A$1000,MATCH(ROW()-ROW($AK$3),$AJ$4:$AJ$1000,0)),"")</f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499"/>
      <c r="AF417" s="500"/>
      <c r="AG417" s="500"/>
      <c r="AH417" s="501"/>
      <c r="AJ417" s="229" t="str">
        <f>IF(OR(A417="",AND(ISNUMBER(FIND("[", A417)), ISNUMBER(FIND("ALL", A417)), ISNUMBER(FIND("]", A417)))),"",MAX(AJ$3:AJ416)+1)</f>
        <v/>
      </c>
      <c r="AK417" s="229" t="str">
        <f>IFERROR(INDEX($A$4:$A$1000,MATCH(ROW()-ROW($AK$3),$AJ$4:$AJ$1000,0)),"")</f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499"/>
      <c r="AF418" s="500"/>
      <c r="AG418" s="500"/>
      <c r="AH418" s="501"/>
      <c r="AJ418" s="229" t="str">
        <f>IF(OR(A418="",AND(ISNUMBER(FIND("[", A418)), ISNUMBER(FIND("ALL", A418)), ISNUMBER(FIND("]", A418)))),"",MAX(AJ$3:AJ417)+1)</f>
        <v/>
      </c>
      <c r="AK418" s="229" t="str">
        <f>IFERROR(INDEX($A$4:$A$1000,MATCH(ROW()-ROW($AK$3),$AJ$4:$AJ$1000,0)),"")</f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499"/>
      <c r="AF419" s="500"/>
      <c r="AG419" s="500"/>
      <c r="AH419" s="501"/>
      <c r="AJ419" s="229" t="str">
        <f>IF(OR(A419="",AND(ISNUMBER(FIND("[", A419)), ISNUMBER(FIND("ALL", A419)), ISNUMBER(FIND("]", A419)))),"",MAX(AJ$3:AJ418)+1)</f>
        <v/>
      </c>
      <c r="AK419" s="229" t="str">
        <f>IFERROR(INDEX($A$4:$A$1000,MATCH(ROW()-ROW($AK$3),$AJ$4:$AJ$1000,0)),"")</f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499"/>
      <c r="AF420" s="500"/>
      <c r="AG420" s="500"/>
      <c r="AH420" s="501"/>
      <c r="AJ420" s="229" t="str">
        <f>IF(OR(A420="",AND(ISNUMBER(FIND("[", A420)), ISNUMBER(FIND("ALL", A420)), ISNUMBER(FIND("]", A420)))),"",MAX(AJ$3:AJ419)+1)</f>
        <v/>
      </c>
      <c r="AK420" s="229" t="str">
        <f>IFERROR(INDEX($A$4:$A$1000,MATCH(ROW()-ROW($AK$3),$AJ$4:$AJ$1000,0)),"")</f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499"/>
      <c r="AF421" s="500"/>
      <c r="AG421" s="500"/>
      <c r="AH421" s="501"/>
      <c r="AJ421" s="229" t="str">
        <f>IF(OR(A421="",AND(ISNUMBER(FIND("[", A421)), ISNUMBER(FIND("ALL", A421)), ISNUMBER(FIND("]", A421)))),"",MAX(AJ$3:AJ420)+1)</f>
        <v/>
      </c>
      <c r="AK421" s="229" t="str">
        <f>IFERROR(INDEX($A$4:$A$1000,MATCH(ROW()-ROW($AK$3),$AJ$4:$AJ$1000,0)),"")</f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499"/>
      <c r="AF422" s="500"/>
      <c r="AG422" s="500"/>
      <c r="AH422" s="501"/>
      <c r="AJ422" s="229" t="str">
        <f>IF(OR(A422="",AND(ISNUMBER(FIND("[", A422)), ISNUMBER(FIND("ALL", A422)), ISNUMBER(FIND("]", A422)))),"",MAX(AJ$3:AJ421)+1)</f>
        <v/>
      </c>
      <c r="AK422" s="229" t="str">
        <f>IFERROR(INDEX($A$4:$A$1000,MATCH(ROW()-ROW($AK$3),$AJ$4:$AJ$1000,0)),"")</f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499"/>
      <c r="AF423" s="500"/>
      <c r="AG423" s="500"/>
      <c r="AH423" s="501"/>
      <c r="AJ423" s="229" t="str">
        <f>IF(OR(A423="",AND(ISNUMBER(FIND("[", A423)), ISNUMBER(FIND("ALL", A423)), ISNUMBER(FIND("]", A423)))),"",MAX(AJ$3:AJ422)+1)</f>
        <v/>
      </c>
      <c r="AK423" s="229" t="str">
        <f>IFERROR(INDEX($A$4:$A$1000,MATCH(ROW()-ROW($AK$3),$AJ$4:$AJ$1000,0)),"")</f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499"/>
      <c r="AF424" s="500"/>
      <c r="AG424" s="500"/>
      <c r="AH424" s="501"/>
      <c r="AJ424" s="229" t="str">
        <f>IF(OR(A424="",AND(ISNUMBER(FIND("[", A424)), ISNUMBER(FIND("ALL", A424)), ISNUMBER(FIND("]", A424)))),"",MAX(AJ$3:AJ423)+1)</f>
        <v/>
      </c>
      <c r="AK424" s="229" t="str">
        <f>IFERROR(INDEX($A$4:$A$1000,MATCH(ROW()-ROW($AK$3),$AJ$4:$AJ$1000,0)),"")</f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499"/>
      <c r="AF425" s="500"/>
      <c r="AG425" s="500"/>
      <c r="AH425" s="501"/>
      <c r="AJ425" s="229" t="str">
        <f>IF(OR(A425="",AND(ISNUMBER(FIND("[", A425)), ISNUMBER(FIND("ALL", A425)), ISNUMBER(FIND("]", A425)))),"",MAX(AJ$3:AJ424)+1)</f>
        <v/>
      </c>
      <c r="AK425" s="229" t="str">
        <f>IFERROR(INDEX($A$4:$A$1000,MATCH(ROW()-ROW($AK$3),$AJ$4:$AJ$1000,0)),"")</f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499"/>
      <c r="AF426" s="500"/>
      <c r="AG426" s="500"/>
      <c r="AH426" s="501"/>
      <c r="AJ426" s="229" t="str">
        <f>IF(OR(A426="",AND(ISNUMBER(FIND("[", A426)), ISNUMBER(FIND("ALL", A426)), ISNUMBER(FIND("]", A426)))),"",MAX(AJ$3:AJ425)+1)</f>
        <v/>
      </c>
      <c r="AK426" s="229" t="str">
        <f>IFERROR(INDEX($A$4:$A$1000,MATCH(ROW()-ROW($AK$3),$AJ$4:$AJ$1000,0)),"")</f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499"/>
      <c r="AF427" s="500"/>
      <c r="AG427" s="500"/>
      <c r="AH427" s="501"/>
      <c r="AJ427" s="229" t="str">
        <f>IF(OR(A427="",AND(ISNUMBER(FIND("[", A427)), ISNUMBER(FIND("ALL", A427)), ISNUMBER(FIND("]", A427)))),"",MAX(AJ$3:AJ426)+1)</f>
        <v/>
      </c>
      <c r="AK427" s="229" t="str">
        <f>IFERROR(INDEX($A$4:$A$1000,MATCH(ROW()-ROW($AK$3),$AJ$4:$AJ$1000,0)),"")</f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499"/>
      <c r="AF428" s="500"/>
      <c r="AG428" s="500"/>
      <c r="AH428" s="501"/>
      <c r="AJ428" s="229" t="str">
        <f>IF(OR(A428="",AND(ISNUMBER(FIND("[", A428)), ISNUMBER(FIND("ALL", A428)), ISNUMBER(FIND("]", A428)))),"",MAX(AJ$3:AJ427)+1)</f>
        <v/>
      </c>
      <c r="AK428" s="229" t="str">
        <f>IFERROR(INDEX($A$4:$A$1000,MATCH(ROW()-ROW($AK$3),$AJ$4:$AJ$1000,0)),"")</f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499"/>
      <c r="AF429" s="500"/>
      <c r="AG429" s="500"/>
      <c r="AH429" s="501"/>
      <c r="AJ429" s="229" t="str">
        <f>IF(OR(A429="",AND(ISNUMBER(FIND("[", A429)), ISNUMBER(FIND("ALL", A429)), ISNUMBER(FIND("]", A429)))),"",MAX(AJ$3:AJ428)+1)</f>
        <v/>
      </c>
      <c r="AK429" s="229" t="str">
        <f>IFERROR(INDEX($A$4:$A$1000,MATCH(ROW()-ROW($AK$3),$AJ$4:$AJ$1000,0)),"")</f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499"/>
      <c r="AF430" s="500"/>
      <c r="AG430" s="500"/>
      <c r="AH430" s="501"/>
      <c r="AJ430" s="229" t="str">
        <f>IF(OR(A430="",AND(ISNUMBER(FIND("[", A430)), ISNUMBER(FIND("ALL", A430)), ISNUMBER(FIND("]", A430)))),"",MAX(AJ$3:AJ429)+1)</f>
        <v/>
      </c>
      <c r="AK430" s="229" t="str">
        <f>IFERROR(INDEX($A$4:$A$1000,MATCH(ROW()-ROW($AK$3),$AJ$4:$AJ$1000,0)),"")</f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499"/>
      <c r="AF431" s="500"/>
      <c r="AG431" s="500"/>
      <c r="AH431" s="501"/>
      <c r="AJ431" s="229" t="str">
        <f>IF(OR(A431="",AND(ISNUMBER(FIND("[", A431)), ISNUMBER(FIND("ALL", A431)), ISNUMBER(FIND("]", A431)))),"",MAX(AJ$3:AJ430)+1)</f>
        <v/>
      </c>
      <c r="AK431" s="229" t="str">
        <f>IFERROR(INDEX($A$4:$A$1000,MATCH(ROW()-ROW($AK$3),$AJ$4:$AJ$1000,0)),"")</f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499"/>
      <c r="AF432" s="500"/>
      <c r="AG432" s="500"/>
      <c r="AH432" s="501"/>
      <c r="AJ432" s="229" t="str">
        <f>IF(OR(A432="",AND(ISNUMBER(FIND("[", A432)), ISNUMBER(FIND("ALL", A432)), ISNUMBER(FIND("]", A432)))),"",MAX(AJ$3:AJ431)+1)</f>
        <v/>
      </c>
      <c r="AK432" s="229" t="str">
        <f>IFERROR(INDEX($A$4:$A$1000,MATCH(ROW()-ROW($AK$3),$AJ$4:$AJ$1000,0)),"")</f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499"/>
      <c r="AF433" s="500"/>
      <c r="AG433" s="500"/>
      <c r="AH433" s="501"/>
      <c r="AJ433" s="229" t="str">
        <f>IF(OR(A433="",AND(ISNUMBER(FIND("[", A433)), ISNUMBER(FIND("ALL", A433)), ISNUMBER(FIND("]", A433)))),"",MAX(AJ$3:AJ432)+1)</f>
        <v/>
      </c>
      <c r="AK433" s="229" t="str">
        <f>IFERROR(INDEX($A$4:$A$1000,MATCH(ROW()-ROW($AK$3),$AJ$4:$AJ$1000,0)),"")</f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499"/>
      <c r="AF434" s="500"/>
      <c r="AG434" s="500"/>
      <c r="AH434" s="501"/>
      <c r="AJ434" s="229" t="str">
        <f>IF(OR(A434="",AND(ISNUMBER(FIND("[", A434)), ISNUMBER(FIND("ALL", A434)), ISNUMBER(FIND("]", A434)))),"",MAX(AJ$3:AJ433)+1)</f>
        <v/>
      </c>
      <c r="AK434" s="229" t="str">
        <f>IFERROR(INDEX($A$4:$A$1000,MATCH(ROW()-ROW($AK$3),$AJ$4:$AJ$1000,0)),"")</f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499"/>
      <c r="AF435" s="500"/>
      <c r="AG435" s="500"/>
      <c r="AH435" s="501"/>
      <c r="AJ435" s="229" t="str">
        <f>IF(OR(A435="",AND(ISNUMBER(FIND("[", A435)), ISNUMBER(FIND("ALL", A435)), ISNUMBER(FIND("]", A435)))),"",MAX(AJ$3:AJ434)+1)</f>
        <v/>
      </c>
      <c r="AK435" s="229" t="str">
        <f>IFERROR(INDEX($A$4:$A$1000,MATCH(ROW()-ROW($AK$3),$AJ$4:$AJ$1000,0)),"")</f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499"/>
      <c r="AF436" s="500"/>
      <c r="AG436" s="500"/>
      <c r="AH436" s="501"/>
      <c r="AJ436" s="229" t="str">
        <f>IF(OR(A436="",AND(ISNUMBER(FIND("[", A436)), ISNUMBER(FIND("ALL", A436)), ISNUMBER(FIND("]", A436)))),"",MAX(AJ$3:AJ435)+1)</f>
        <v/>
      </c>
      <c r="AK436" s="229" t="str">
        <f>IFERROR(INDEX($A$4:$A$1000,MATCH(ROW()-ROW($AK$3),$AJ$4:$AJ$1000,0)),"")</f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499"/>
      <c r="AF437" s="500"/>
      <c r="AG437" s="500"/>
      <c r="AH437" s="501"/>
      <c r="AJ437" s="229" t="str">
        <f>IF(OR(A437="",AND(ISNUMBER(FIND("[", A437)), ISNUMBER(FIND("ALL", A437)), ISNUMBER(FIND("]", A437)))),"",MAX(AJ$3:AJ436)+1)</f>
        <v/>
      </c>
      <c r="AK437" s="229" t="str">
        <f>IFERROR(INDEX($A$4:$A$1000,MATCH(ROW()-ROW($AK$3),$AJ$4:$AJ$1000,0)),"")</f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499"/>
      <c r="AF438" s="500"/>
      <c r="AG438" s="500"/>
      <c r="AH438" s="501"/>
      <c r="AJ438" s="229" t="str">
        <f>IF(OR(A438="",AND(ISNUMBER(FIND("[", A438)), ISNUMBER(FIND("ALL", A438)), ISNUMBER(FIND("]", A438)))),"",MAX(AJ$3:AJ437)+1)</f>
        <v/>
      </c>
      <c r="AK438" s="229" t="str">
        <f>IFERROR(INDEX($A$4:$A$1000,MATCH(ROW()-ROW($AK$3),$AJ$4:$AJ$1000,0)),"")</f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499"/>
      <c r="AF439" s="500"/>
      <c r="AG439" s="500"/>
      <c r="AH439" s="501"/>
      <c r="AJ439" s="229" t="str">
        <f>IF(OR(A439="",AND(ISNUMBER(FIND("[", A439)), ISNUMBER(FIND("ALL", A439)), ISNUMBER(FIND("]", A439)))),"",MAX(AJ$3:AJ438)+1)</f>
        <v/>
      </c>
      <c r="AK439" s="229" t="str">
        <f>IFERROR(INDEX($A$4:$A$1000,MATCH(ROW()-ROW($AK$3),$AJ$4:$AJ$1000,0)),"")</f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499"/>
      <c r="AF440" s="500"/>
      <c r="AG440" s="500"/>
      <c r="AH440" s="501"/>
      <c r="AJ440" s="229" t="str">
        <f>IF(OR(A440="",AND(ISNUMBER(FIND("[", A440)), ISNUMBER(FIND("ALL", A440)), ISNUMBER(FIND("]", A440)))),"",MAX(AJ$3:AJ439)+1)</f>
        <v/>
      </c>
      <c r="AK440" s="229" t="str">
        <f>IFERROR(INDEX($A$4:$A$1000,MATCH(ROW()-ROW($AK$3),$AJ$4:$AJ$1000,0)),"")</f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499"/>
      <c r="AF441" s="500"/>
      <c r="AG441" s="500"/>
      <c r="AH441" s="501"/>
      <c r="AJ441" s="229" t="str">
        <f>IF(OR(A441="",AND(ISNUMBER(FIND("[", A441)), ISNUMBER(FIND("ALL", A441)), ISNUMBER(FIND("]", A441)))),"",MAX(AJ$3:AJ440)+1)</f>
        <v/>
      </c>
      <c r="AK441" s="229" t="str">
        <f>IFERROR(INDEX($A$4:$A$1000,MATCH(ROW()-ROW($AK$3),$AJ$4:$AJ$1000,0)),"")</f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499"/>
      <c r="AF442" s="500"/>
      <c r="AG442" s="500"/>
      <c r="AH442" s="501"/>
      <c r="AJ442" s="229" t="str">
        <f>IF(OR(A442="",AND(ISNUMBER(FIND("[", A442)), ISNUMBER(FIND("ALL", A442)), ISNUMBER(FIND("]", A442)))),"",MAX(AJ$3:AJ441)+1)</f>
        <v/>
      </c>
      <c r="AK442" s="229" t="str">
        <f>IFERROR(INDEX($A$4:$A$1000,MATCH(ROW()-ROW($AK$3),$AJ$4:$AJ$1000,0)),"")</f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499"/>
      <c r="AF443" s="500"/>
      <c r="AG443" s="500"/>
      <c r="AH443" s="501"/>
      <c r="AJ443" s="229" t="str">
        <f>IF(OR(A443="",AND(ISNUMBER(FIND("[", A443)), ISNUMBER(FIND("ALL", A443)), ISNUMBER(FIND("]", A443)))),"",MAX(AJ$3:AJ442)+1)</f>
        <v/>
      </c>
      <c r="AK443" s="229" t="str">
        <f>IFERROR(INDEX($A$4:$A$1000,MATCH(ROW()-ROW($AK$3),$AJ$4:$AJ$1000,0)),"")</f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499"/>
      <c r="AF444" s="500"/>
      <c r="AG444" s="500"/>
      <c r="AH444" s="501"/>
      <c r="AJ444" s="229" t="str">
        <f>IF(OR(A444="",AND(ISNUMBER(FIND("[", A444)), ISNUMBER(FIND("ALL", A444)), ISNUMBER(FIND("]", A444)))),"",MAX(AJ$3:AJ443)+1)</f>
        <v/>
      </c>
      <c r="AK444" s="229" t="str">
        <f>IFERROR(INDEX($A$4:$A$1000,MATCH(ROW()-ROW($AK$3),$AJ$4:$AJ$1000,0)),"")</f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499"/>
      <c r="AF445" s="500"/>
      <c r="AG445" s="500"/>
      <c r="AH445" s="501"/>
      <c r="AJ445" s="229" t="str">
        <f>IF(OR(A445="",AND(ISNUMBER(FIND("[", A445)), ISNUMBER(FIND("ALL", A445)), ISNUMBER(FIND("]", A445)))),"",MAX(AJ$3:AJ444)+1)</f>
        <v/>
      </c>
      <c r="AK445" s="229" t="str">
        <f>IFERROR(INDEX($A$4:$A$1000,MATCH(ROW()-ROW($AK$3),$AJ$4:$AJ$1000,0)),"")</f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499"/>
      <c r="AF446" s="500"/>
      <c r="AG446" s="500"/>
      <c r="AH446" s="501"/>
      <c r="AJ446" s="229" t="str">
        <f>IF(OR(A446="",AND(ISNUMBER(FIND("[", A446)), ISNUMBER(FIND("ALL", A446)), ISNUMBER(FIND("]", A446)))),"",MAX(AJ$3:AJ445)+1)</f>
        <v/>
      </c>
      <c r="AK446" s="229" t="str">
        <f>IFERROR(INDEX($A$4:$A$1000,MATCH(ROW()-ROW($AK$3),$AJ$4:$AJ$1000,0)),"")</f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499"/>
      <c r="AF447" s="500"/>
      <c r="AG447" s="500"/>
      <c r="AH447" s="501"/>
      <c r="AJ447" s="229" t="str">
        <f>IF(OR(A447="",AND(ISNUMBER(FIND("[", A447)), ISNUMBER(FIND("ALL", A447)), ISNUMBER(FIND("]", A447)))),"",MAX(AJ$3:AJ446)+1)</f>
        <v/>
      </c>
      <c r="AK447" s="229" t="str">
        <f>IFERROR(INDEX($A$4:$A$1000,MATCH(ROW()-ROW($AK$3),$AJ$4:$AJ$1000,0)),"")</f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499"/>
      <c r="AF448" s="500"/>
      <c r="AG448" s="500"/>
      <c r="AH448" s="501"/>
      <c r="AJ448" s="229" t="str">
        <f>IF(OR(A448="",AND(ISNUMBER(FIND("[", A448)), ISNUMBER(FIND("ALL", A448)), ISNUMBER(FIND("]", A448)))),"",MAX(AJ$3:AJ447)+1)</f>
        <v/>
      </c>
      <c r="AK448" s="229" t="str">
        <f>IFERROR(INDEX($A$4:$A$1000,MATCH(ROW()-ROW($AK$3),$AJ$4:$AJ$1000,0)),"")</f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499"/>
      <c r="AF449" s="500"/>
      <c r="AG449" s="500"/>
      <c r="AH449" s="501"/>
      <c r="AJ449" s="229" t="str">
        <f>IF(OR(A449="",AND(ISNUMBER(FIND("[", A449)), ISNUMBER(FIND("ALL", A449)), ISNUMBER(FIND("]", A449)))),"",MAX(AJ$3:AJ448)+1)</f>
        <v/>
      </c>
      <c r="AK449" s="229" t="str">
        <f>IFERROR(INDEX($A$4:$A$1000,MATCH(ROW()-ROW($AK$3),$AJ$4:$AJ$1000,0)),"")</f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499"/>
      <c r="AF450" s="500"/>
      <c r="AG450" s="500"/>
      <c r="AH450" s="501"/>
      <c r="AJ450" s="229" t="str">
        <f>IF(OR(A450="",AND(ISNUMBER(FIND("[", A450)), ISNUMBER(FIND("ALL", A450)), ISNUMBER(FIND("]", A450)))),"",MAX(AJ$3:AJ449)+1)</f>
        <v/>
      </c>
      <c r="AK450" s="229" t="str">
        <f>IFERROR(INDEX($A$4:$A$1000,MATCH(ROW()-ROW($AK$3),$AJ$4:$AJ$1000,0)),"")</f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499"/>
      <c r="AF451" s="500"/>
      <c r="AG451" s="500"/>
      <c r="AH451" s="501"/>
      <c r="AJ451" s="229" t="str">
        <f>IF(OR(A451="",AND(ISNUMBER(FIND("[", A451)), ISNUMBER(FIND("ALL", A451)), ISNUMBER(FIND("]", A451)))),"",MAX(AJ$3:AJ450)+1)</f>
        <v/>
      </c>
      <c r="AK451" s="229" t="str">
        <f>IFERROR(INDEX($A$4:$A$1000,MATCH(ROW()-ROW($AK$3),$AJ$4:$AJ$1000,0)),"")</f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499"/>
      <c r="AF452" s="500"/>
      <c r="AG452" s="500"/>
      <c r="AH452" s="501"/>
      <c r="AJ452" s="229" t="str">
        <f>IF(OR(A452="",AND(ISNUMBER(FIND("[", A452)), ISNUMBER(FIND("ALL", A452)), ISNUMBER(FIND("]", A452)))),"",MAX(AJ$3:AJ451)+1)</f>
        <v/>
      </c>
      <c r="AK452" s="229" t="str">
        <f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499"/>
      <c r="AF453" s="500"/>
      <c r="AG453" s="500"/>
      <c r="AH453" s="501"/>
      <c r="AJ453" s="229" t="str">
        <f>IF(OR(A453="",AND(ISNUMBER(FIND("[", A453)), ISNUMBER(FIND("ALL", A453)), ISNUMBER(FIND("]", A453)))),"",MAX(AJ$3:AJ452)+1)</f>
        <v/>
      </c>
      <c r="AK453" s="229" t="str">
        <f>IFERROR(INDEX($A$4:$A$1000,MATCH(ROW()-ROW($AK$3),$AJ$4:$AJ$1000,0)),"")</f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499"/>
      <c r="AF454" s="500"/>
      <c r="AG454" s="500"/>
      <c r="AH454" s="501"/>
      <c r="AJ454" s="229" t="str">
        <f>IF(OR(A454="",AND(ISNUMBER(FIND("[", A454)), ISNUMBER(FIND("ALL", A454)), ISNUMBER(FIND("]", A454)))),"",MAX(AJ$3:AJ453)+1)</f>
        <v/>
      </c>
      <c r="AK454" s="229" t="str">
        <f>IFERROR(INDEX($A$4:$A$1000,MATCH(ROW()-ROW($AK$3),$AJ$4:$AJ$1000,0)),"")</f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499"/>
      <c r="AF455" s="500"/>
      <c r="AG455" s="500"/>
      <c r="AH455" s="501"/>
      <c r="AJ455" s="229" t="str">
        <f>IF(OR(A455="",AND(ISNUMBER(FIND("[", A455)), ISNUMBER(FIND("ALL", A455)), ISNUMBER(FIND("]", A455)))),"",MAX(AJ$3:AJ454)+1)</f>
        <v/>
      </c>
      <c r="AK455" s="229" t="str">
        <f>IFERROR(INDEX($A$4:$A$1000,MATCH(ROW()-ROW($AK$3),$AJ$4:$AJ$1000,0)),"")</f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499"/>
      <c r="AF456" s="500"/>
      <c r="AG456" s="500"/>
      <c r="AH456" s="501"/>
      <c r="AJ456" s="229" t="str">
        <f>IF(OR(A456="",AND(ISNUMBER(FIND("[", A456)), ISNUMBER(FIND("ALL", A456)), ISNUMBER(FIND("]", A456)))),"",MAX(AJ$3:AJ455)+1)</f>
        <v/>
      </c>
      <c r="AK456" s="229" t="str">
        <f>IFERROR(INDEX($A$4:$A$1000,MATCH(ROW()-ROW($AK$3),$AJ$4:$AJ$1000,0)),"")</f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499"/>
      <c r="AF457" s="500"/>
      <c r="AG457" s="500"/>
      <c r="AH457" s="501"/>
      <c r="AJ457" s="229" t="str">
        <f>IF(OR(A457="",AND(ISNUMBER(FIND("[", A457)), ISNUMBER(FIND("ALL", A457)), ISNUMBER(FIND("]", A457)))),"",MAX(AJ$3:AJ456)+1)</f>
        <v/>
      </c>
      <c r="AK457" s="229" t="str">
        <f>IFERROR(INDEX($A$4:$A$1000,MATCH(ROW()-ROW($AK$3),$AJ$4:$AJ$1000,0)),"")</f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499"/>
      <c r="AF458" s="500"/>
      <c r="AG458" s="500"/>
      <c r="AH458" s="501"/>
      <c r="AJ458" s="229" t="str">
        <f>IF(OR(A458="",AND(ISNUMBER(FIND("[", A458)), ISNUMBER(FIND("ALL", A458)), ISNUMBER(FIND("]", A458)))),"",MAX(AJ$3:AJ457)+1)</f>
        <v/>
      </c>
      <c r="AK458" s="229" t="str">
        <f>IFERROR(INDEX($A$4:$A$1000,MATCH(ROW()-ROW($AK$3),$AJ$4:$AJ$1000,0)),"")</f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499"/>
      <c r="AF459" s="500"/>
      <c r="AG459" s="500"/>
      <c r="AH459" s="501"/>
      <c r="AJ459" s="229" t="str">
        <f>IF(OR(A459="",AND(ISNUMBER(FIND("[", A459)), ISNUMBER(FIND("ALL", A459)), ISNUMBER(FIND("]", A459)))),"",MAX(AJ$3:AJ458)+1)</f>
        <v/>
      </c>
      <c r="AK459" s="229" t="str">
        <f>IFERROR(INDEX($A$4:$A$1000,MATCH(ROW()-ROW($AK$3),$AJ$4:$AJ$1000,0)),"")</f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499"/>
      <c r="AF460" s="500"/>
      <c r="AG460" s="500"/>
      <c r="AH460" s="501"/>
      <c r="AJ460" s="229" t="str">
        <f>IF(OR(A460="",AND(ISNUMBER(FIND("[", A460)), ISNUMBER(FIND("ALL", A460)), ISNUMBER(FIND("]", A460)))),"",MAX(AJ$3:AJ459)+1)</f>
        <v/>
      </c>
      <c r="AK460" s="229" t="str">
        <f>IFERROR(INDEX($A$4:$A$1000,MATCH(ROW()-ROW($AK$3),$AJ$4:$AJ$1000,0)),"")</f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499"/>
      <c r="AF461" s="500"/>
      <c r="AG461" s="500"/>
      <c r="AH461" s="501"/>
      <c r="AJ461" s="229" t="str">
        <f>IF(OR(A461="",AND(ISNUMBER(FIND("[", A461)), ISNUMBER(FIND("ALL", A461)), ISNUMBER(FIND("]", A461)))),"",MAX(AJ$3:AJ460)+1)</f>
        <v/>
      </c>
      <c r="AK461" s="229" t="str">
        <f>IFERROR(INDEX($A$4:$A$1000,MATCH(ROW()-ROW($AK$3),$AJ$4:$AJ$1000,0)),"")</f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499"/>
      <c r="AF462" s="500"/>
      <c r="AG462" s="500"/>
      <c r="AH462" s="501"/>
      <c r="AJ462" s="229" t="str">
        <f>IF(OR(A462="",AND(ISNUMBER(FIND("[", A462)), ISNUMBER(FIND("ALL", A462)), ISNUMBER(FIND("]", A462)))),"",MAX(AJ$3:AJ461)+1)</f>
        <v/>
      </c>
      <c r="AK462" s="229" t="str">
        <f>IFERROR(INDEX($A$4:$A$1000,MATCH(ROW()-ROW($AK$3),$AJ$4:$AJ$1000,0)),"")</f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499"/>
      <c r="AF463" s="500"/>
      <c r="AG463" s="500"/>
      <c r="AH463" s="501"/>
      <c r="AJ463" s="229" t="str">
        <f>IF(OR(A463="",AND(ISNUMBER(FIND("[", A463)), ISNUMBER(FIND("ALL", A463)), ISNUMBER(FIND("]", A463)))),"",MAX(AJ$3:AJ462)+1)</f>
        <v/>
      </c>
      <c r="AK463" s="229" t="str">
        <f>IFERROR(INDEX($A$4:$A$1000,MATCH(ROW()-ROW($AK$3),$AJ$4:$AJ$1000,0)),"")</f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499"/>
      <c r="AF464" s="500"/>
      <c r="AG464" s="500"/>
      <c r="AH464" s="501"/>
      <c r="AJ464" s="229" t="str">
        <f>IF(OR(A464="",AND(ISNUMBER(FIND("[", A464)), ISNUMBER(FIND("ALL", A464)), ISNUMBER(FIND("]", A464)))),"",MAX(AJ$3:AJ463)+1)</f>
        <v/>
      </c>
      <c r="AK464" s="229" t="str">
        <f>IFERROR(INDEX($A$4:$A$1000,MATCH(ROW()-ROW($AK$3),$AJ$4:$AJ$1000,0)),"")</f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499"/>
      <c r="AF465" s="500"/>
      <c r="AG465" s="500"/>
      <c r="AH465" s="501"/>
      <c r="AJ465" s="229" t="str">
        <f>IF(OR(A465="",AND(ISNUMBER(FIND("[", A465)), ISNUMBER(FIND("ALL", A465)), ISNUMBER(FIND("]", A465)))),"",MAX(AJ$3:AJ464)+1)</f>
        <v/>
      </c>
      <c r="AK465" s="229" t="str">
        <f>IFERROR(INDEX($A$4:$A$1000,MATCH(ROW()-ROW($AK$3),$AJ$4:$AJ$1000,0)),"")</f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499"/>
      <c r="AF466" s="500"/>
      <c r="AG466" s="500"/>
      <c r="AH466" s="501"/>
      <c r="AJ466" s="229" t="str">
        <f>IF(OR(A466="",AND(ISNUMBER(FIND("[", A466)), ISNUMBER(FIND("ALL", A466)), ISNUMBER(FIND("]", A466)))),"",MAX(AJ$3:AJ465)+1)</f>
        <v/>
      </c>
      <c r="AK466" s="229" t="str">
        <f>IFERROR(INDEX($A$4:$A$1000,MATCH(ROW()-ROW($AK$3),$AJ$4:$AJ$1000,0)),"")</f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499"/>
      <c r="AF467" s="500"/>
      <c r="AG467" s="500"/>
      <c r="AH467" s="501"/>
      <c r="AJ467" s="229" t="str">
        <f>IF(OR(A467="",AND(ISNUMBER(FIND("[", A467)), ISNUMBER(FIND("ALL", A467)), ISNUMBER(FIND("]", A467)))),"",MAX(AJ$3:AJ466)+1)</f>
        <v/>
      </c>
      <c r="AK467" s="229" t="str">
        <f>IFERROR(INDEX($A$4:$A$1000,MATCH(ROW()-ROW($AK$3),$AJ$4:$AJ$1000,0)),"")</f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499"/>
      <c r="AF468" s="500"/>
      <c r="AG468" s="500"/>
      <c r="AH468" s="501"/>
      <c r="AJ468" s="229" t="str">
        <f>IF(OR(A468="",AND(ISNUMBER(FIND("[", A468)), ISNUMBER(FIND("ALL", A468)), ISNUMBER(FIND("]", A468)))),"",MAX(AJ$3:AJ467)+1)</f>
        <v/>
      </c>
      <c r="AK468" s="229" t="str">
        <f>IFERROR(INDEX($A$4:$A$1000,MATCH(ROW()-ROW($AK$3),$AJ$4:$AJ$1000,0)),"")</f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499"/>
      <c r="AF469" s="500"/>
      <c r="AG469" s="500"/>
      <c r="AH469" s="501"/>
      <c r="AJ469" s="229" t="str">
        <f>IF(OR(A469="",AND(ISNUMBER(FIND("[", A469)), ISNUMBER(FIND("ALL", A469)), ISNUMBER(FIND("]", A469)))),"",MAX(AJ$3:AJ468)+1)</f>
        <v/>
      </c>
      <c r="AK469" s="229" t="str">
        <f>IFERROR(INDEX($A$4:$A$1000,MATCH(ROW()-ROW($AK$3),$AJ$4:$AJ$1000,0)),"")</f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499"/>
      <c r="AF470" s="500"/>
      <c r="AG470" s="500"/>
      <c r="AH470" s="501"/>
      <c r="AJ470" s="229" t="str">
        <f>IF(OR(A470="",AND(ISNUMBER(FIND("[", A470)), ISNUMBER(FIND("ALL", A470)), ISNUMBER(FIND("]", A470)))),"",MAX(AJ$3:AJ469)+1)</f>
        <v/>
      </c>
      <c r="AK470" s="229" t="str">
        <f>IFERROR(INDEX($A$4:$A$1000,MATCH(ROW()-ROW($AK$3),$AJ$4:$AJ$1000,0)),"")</f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499"/>
      <c r="AF471" s="500"/>
      <c r="AG471" s="500"/>
      <c r="AH471" s="501"/>
      <c r="AJ471" s="229" t="str">
        <f>IF(OR(A471="",AND(ISNUMBER(FIND("[", A471)), ISNUMBER(FIND("ALL", A471)), ISNUMBER(FIND("]", A471)))),"",MAX(AJ$3:AJ470)+1)</f>
        <v/>
      </c>
      <c r="AK471" s="229" t="str">
        <f>IFERROR(INDEX($A$4:$A$1000,MATCH(ROW()-ROW($AK$3),$AJ$4:$AJ$1000,0)),"")</f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499"/>
      <c r="AF472" s="500"/>
      <c r="AG472" s="500"/>
      <c r="AH472" s="501"/>
      <c r="AJ472" s="229" t="str">
        <f>IF(OR(A472="",AND(ISNUMBER(FIND("[", A472)), ISNUMBER(FIND("ALL", A472)), ISNUMBER(FIND("]", A472)))),"",MAX(AJ$3:AJ471)+1)</f>
        <v/>
      </c>
      <c r="AK472" s="229" t="str">
        <f>IFERROR(INDEX($A$4:$A$1000,MATCH(ROW()-ROW($AK$3),$AJ$4:$AJ$1000,0)),"")</f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499"/>
      <c r="AF473" s="500"/>
      <c r="AG473" s="500"/>
      <c r="AH473" s="501"/>
      <c r="AJ473" s="229" t="str">
        <f>IF(OR(A473="",AND(ISNUMBER(FIND("[", A473)), ISNUMBER(FIND("ALL", A473)), ISNUMBER(FIND("]", A473)))),"",MAX(AJ$3:AJ472)+1)</f>
        <v/>
      </c>
      <c r="AK473" s="229" t="str">
        <f>IFERROR(INDEX($A$4:$A$1000,MATCH(ROW()-ROW($AK$3),$AJ$4:$AJ$1000,0)),"")</f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499"/>
      <c r="AF474" s="500"/>
      <c r="AG474" s="500"/>
      <c r="AH474" s="501"/>
      <c r="AJ474" s="229" t="str">
        <f>IF(OR(A474="",AND(ISNUMBER(FIND("[", A474)), ISNUMBER(FIND("ALL", A474)), ISNUMBER(FIND("]", A474)))),"",MAX(AJ$3:AJ473)+1)</f>
        <v/>
      </c>
      <c r="AK474" s="229" t="str">
        <f>IFERROR(INDEX($A$4:$A$1000,MATCH(ROW()-ROW($AK$3),$AJ$4:$AJ$1000,0)),"")</f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499"/>
      <c r="AF475" s="500"/>
      <c r="AG475" s="500"/>
      <c r="AH475" s="501"/>
      <c r="AJ475" s="229" t="str">
        <f>IF(OR(A475="",AND(ISNUMBER(FIND("[", A475)), ISNUMBER(FIND("ALL", A475)), ISNUMBER(FIND("]", A475)))),"",MAX(AJ$3:AJ474)+1)</f>
        <v/>
      </c>
      <c r="AK475" s="229" t="str">
        <f>IFERROR(INDEX($A$4:$A$1000,MATCH(ROW()-ROW($AK$3),$AJ$4:$AJ$1000,0)),"")</f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499"/>
      <c r="AF476" s="500"/>
      <c r="AG476" s="500"/>
      <c r="AH476" s="501"/>
      <c r="AJ476" s="229" t="str">
        <f>IF(OR(A476="",AND(ISNUMBER(FIND("[", A476)), ISNUMBER(FIND("ALL", A476)), ISNUMBER(FIND("]", A476)))),"",MAX(AJ$3:AJ475)+1)</f>
        <v/>
      </c>
      <c r="AK476" s="229" t="str">
        <f>IFERROR(INDEX($A$4:$A$1000,MATCH(ROW()-ROW($AK$3),$AJ$4:$AJ$1000,0)),"")</f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499"/>
      <c r="AF477" s="500"/>
      <c r="AG477" s="500"/>
      <c r="AH477" s="501"/>
      <c r="AJ477" s="229" t="str">
        <f>IF(OR(A477="",AND(ISNUMBER(FIND("[", A477)), ISNUMBER(FIND("ALL", A477)), ISNUMBER(FIND("]", A477)))),"",MAX(AJ$3:AJ476)+1)</f>
        <v/>
      </c>
      <c r="AK477" s="229" t="str">
        <f>IFERROR(INDEX($A$4:$A$1000,MATCH(ROW()-ROW($AK$3),$AJ$4:$AJ$1000,0)),"")</f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499"/>
      <c r="AF478" s="500"/>
      <c r="AG478" s="500"/>
      <c r="AH478" s="501"/>
      <c r="AJ478" s="229" t="str">
        <f>IF(OR(A478="",AND(ISNUMBER(FIND("[", A478)), ISNUMBER(FIND("ALL", A478)), ISNUMBER(FIND("]", A478)))),"",MAX(AJ$3:AJ477)+1)</f>
        <v/>
      </c>
      <c r="AK478" s="229" t="str">
        <f>IFERROR(INDEX($A$4:$A$1000,MATCH(ROW()-ROW($AK$3),$AJ$4:$AJ$1000,0)),"")</f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499"/>
      <c r="AF479" s="500"/>
      <c r="AG479" s="500"/>
      <c r="AH479" s="501"/>
      <c r="AJ479" s="229" t="str">
        <f>IF(OR(A479="",AND(ISNUMBER(FIND("[", A479)), ISNUMBER(FIND("ALL", A479)), ISNUMBER(FIND("]", A479)))),"",MAX(AJ$3:AJ478)+1)</f>
        <v/>
      </c>
      <c r="AK479" s="229" t="str">
        <f>IFERROR(INDEX($A$4:$A$1000,MATCH(ROW()-ROW($AK$3),$AJ$4:$AJ$1000,0)),"")</f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499"/>
      <c r="AF480" s="500"/>
      <c r="AG480" s="500"/>
      <c r="AH480" s="501"/>
      <c r="AJ480" s="229" t="str">
        <f>IF(OR(A480="",AND(ISNUMBER(FIND("[", A480)), ISNUMBER(FIND("ALL", A480)), ISNUMBER(FIND("]", A480)))),"",MAX(AJ$3:AJ479)+1)</f>
        <v/>
      </c>
      <c r="AK480" s="229" t="str">
        <f>IFERROR(INDEX($A$4:$A$1000,MATCH(ROW()-ROW($AK$3),$AJ$4:$AJ$1000,0)),"")</f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499"/>
      <c r="AF481" s="500"/>
      <c r="AG481" s="500"/>
      <c r="AH481" s="501"/>
      <c r="AJ481" s="229" t="str">
        <f>IF(OR(A481="",AND(ISNUMBER(FIND("[", A481)), ISNUMBER(FIND("ALL", A481)), ISNUMBER(FIND("]", A481)))),"",MAX(AJ$3:AJ480)+1)</f>
        <v/>
      </c>
      <c r="AK481" s="229" t="str">
        <f>IFERROR(INDEX($A$4:$A$1000,MATCH(ROW()-ROW($AK$3),$AJ$4:$AJ$1000,0)),"")</f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499"/>
      <c r="AF482" s="500"/>
      <c r="AG482" s="500"/>
      <c r="AH482" s="501"/>
      <c r="AJ482" s="229" t="str">
        <f>IF(OR(A482="",AND(ISNUMBER(FIND("[", A482)), ISNUMBER(FIND("ALL", A482)), ISNUMBER(FIND("]", A482)))),"",MAX(AJ$3:AJ481)+1)</f>
        <v/>
      </c>
      <c r="AK482" s="229" t="str">
        <f>IFERROR(INDEX($A$4:$A$1000,MATCH(ROW()-ROW($AK$3),$AJ$4:$AJ$1000,0)),"")</f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499"/>
      <c r="AF483" s="500"/>
      <c r="AG483" s="500"/>
      <c r="AH483" s="501"/>
      <c r="AJ483" s="229" t="str">
        <f>IF(OR(A483="",AND(ISNUMBER(FIND("[", A483)), ISNUMBER(FIND("ALL", A483)), ISNUMBER(FIND("]", A483)))),"",MAX(AJ$3:AJ482)+1)</f>
        <v/>
      </c>
      <c r="AK483" s="229" t="str">
        <f>IFERROR(INDEX($A$4:$A$1000,MATCH(ROW()-ROW($AK$3),$AJ$4:$AJ$1000,0)),"")</f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499"/>
      <c r="AF484" s="500"/>
      <c r="AG484" s="500"/>
      <c r="AH484" s="501"/>
      <c r="AJ484" s="229" t="str">
        <f>IF(OR(A484="",AND(ISNUMBER(FIND("[", A484)), ISNUMBER(FIND("ALL", A484)), ISNUMBER(FIND("]", A484)))),"",MAX(AJ$3:AJ483)+1)</f>
        <v/>
      </c>
      <c r="AK484" s="229" t="str">
        <f>IFERROR(INDEX($A$4:$A$1000,MATCH(ROW()-ROW($AK$3),$AJ$4:$AJ$1000,0)),"")</f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499"/>
      <c r="AF485" s="500"/>
      <c r="AG485" s="500"/>
      <c r="AH485" s="501"/>
      <c r="AJ485" s="229" t="str">
        <f>IF(OR(A485="",AND(ISNUMBER(FIND("[", A485)), ISNUMBER(FIND("ALL", A485)), ISNUMBER(FIND("]", A485)))),"",MAX(AJ$3:AJ484)+1)</f>
        <v/>
      </c>
      <c r="AK485" s="229" t="str">
        <f>IFERROR(INDEX($A$4:$A$1000,MATCH(ROW()-ROW($AK$3),$AJ$4:$AJ$1000,0)),"")</f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499"/>
      <c r="AF486" s="500"/>
      <c r="AG486" s="500"/>
      <c r="AH486" s="501"/>
      <c r="AJ486" s="229" t="str">
        <f>IF(OR(A486="",AND(ISNUMBER(FIND("[", A486)), ISNUMBER(FIND("ALL", A486)), ISNUMBER(FIND("]", A486)))),"",MAX(AJ$3:AJ485)+1)</f>
        <v/>
      </c>
      <c r="AK486" s="229" t="str">
        <f>IFERROR(INDEX($A$4:$A$1000,MATCH(ROW()-ROW($AK$3),$AJ$4:$AJ$1000,0)),"")</f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499"/>
      <c r="AF487" s="500"/>
      <c r="AG487" s="500"/>
      <c r="AH487" s="501"/>
      <c r="AJ487" s="229" t="str">
        <f>IF(OR(A487="",AND(ISNUMBER(FIND("[", A487)), ISNUMBER(FIND("ALL", A487)), ISNUMBER(FIND("]", A487)))),"",MAX(AJ$3:AJ486)+1)</f>
        <v/>
      </c>
      <c r="AK487" s="229" t="str">
        <f>IFERROR(INDEX($A$4:$A$1000,MATCH(ROW()-ROW($AK$3),$AJ$4:$AJ$1000,0)),"")</f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499"/>
      <c r="AF488" s="500"/>
      <c r="AG488" s="500"/>
      <c r="AH488" s="501"/>
      <c r="AJ488" s="229" t="str">
        <f>IF(OR(A488="",AND(ISNUMBER(FIND("[", A488)), ISNUMBER(FIND("ALL", A488)), ISNUMBER(FIND("]", A488)))),"",MAX(AJ$3:AJ487)+1)</f>
        <v/>
      </c>
      <c r="AK488" s="229" t="str">
        <f>IFERROR(INDEX($A$4:$A$1000,MATCH(ROW()-ROW($AK$3),$AJ$4:$AJ$1000,0)),"")</f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499"/>
      <c r="AF489" s="500"/>
      <c r="AG489" s="500"/>
      <c r="AH489" s="501"/>
      <c r="AJ489" s="229" t="str">
        <f>IF(OR(A489="",AND(ISNUMBER(FIND("[", A489)), ISNUMBER(FIND("ALL", A489)), ISNUMBER(FIND("]", A489)))),"",MAX(AJ$3:AJ488)+1)</f>
        <v/>
      </c>
      <c r="AK489" s="229" t="str">
        <f>IFERROR(INDEX($A$4:$A$1000,MATCH(ROW()-ROW($AK$3),$AJ$4:$AJ$1000,0)),"")</f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499"/>
      <c r="AF490" s="500"/>
      <c r="AG490" s="500"/>
      <c r="AH490" s="501"/>
      <c r="AJ490" s="229" t="str">
        <f>IF(OR(A490="",AND(ISNUMBER(FIND("[", A490)), ISNUMBER(FIND("ALL", A490)), ISNUMBER(FIND("]", A490)))),"",MAX(AJ$3:AJ489)+1)</f>
        <v/>
      </c>
      <c r="AK490" s="229" t="str">
        <f>IFERROR(INDEX($A$4:$A$1000,MATCH(ROW()-ROW($AK$3),$AJ$4:$AJ$1000,0)),"")</f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499"/>
      <c r="AF491" s="500"/>
      <c r="AG491" s="500"/>
      <c r="AH491" s="501"/>
      <c r="AJ491" s="229" t="str">
        <f>IF(OR(A491="",AND(ISNUMBER(FIND("[", A491)), ISNUMBER(FIND("ALL", A491)), ISNUMBER(FIND("]", A491)))),"",MAX(AJ$3:AJ490)+1)</f>
        <v/>
      </c>
      <c r="AK491" s="229" t="str">
        <f>IFERROR(INDEX($A$4:$A$1000,MATCH(ROW()-ROW($AK$3),$AJ$4:$AJ$1000,0)),"")</f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499"/>
      <c r="AF492" s="500"/>
      <c r="AG492" s="500"/>
      <c r="AH492" s="501"/>
      <c r="AJ492" s="229" t="str">
        <f>IF(OR(A492="",AND(ISNUMBER(FIND("[", A492)), ISNUMBER(FIND("ALL", A492)), ISNUMBER(FIND("]", A492)))),"",MAX(AJ$3:AJ491)+1)</f>
        <v/>
      </c>
      <c r="AK492" s="229" t="str">
        <f>IFERROR(INDEX($A$4:$A$1000,MATCH(ROW()-ROW($AK$3),$AJ$4:$AJ$1000,0)),"")</f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499"/>
      <c r="AF493" s="500"/>
      <c r="AG493" s="500"/>
      <c r="AH493" s="501"/>
      <c r="AJ493" s="229" t="str">
        <f>IF(OR(A493="",AND(ISNUMBER(FIND("[", A493)), ISNUMBER(FIND("ALL", A493)), ISNUMBER(FIND("]", A493)))),"",MAX(AJ$3:AJ492)+1)</f>
        <v/>
      </c>
      <c r="AK493" s="229" t="str">
        <f>IFERROR(INDEX($A$4:$A$1000,MATCH(ROW()-ROW($AK$3),$AJ$4:$AJ$1000,0)),"")</f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499"/>
      <c r="AF494" s="500"/>
      <c r="AG494" s="500"/>
      <c r="AH494" s="501"/>
      <c r="AJ494" s="229" t="str">
        <f>IF(OR(A494="",AND(ISNUMBER(FIND("[", A494)), ISNUMBER(FIND("ALL", A494)), ISNUMBER(FIND("]", A494)))),"",MAX(AJ$3:AJ493)+1)</f>
        <v/>
      </c>
      <c r="AK494" s="229" t="str">
        <f>IFERROR(INDEX($A$4:$A$1000,MATCH(ROW()-ROW($AK$3),$AJ$4:$AJ$1000,0)),"")</f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499"/>
      <c r="AF495" s="500"/>
      <c r="AG495" s="500"/>
      <c r="AH495" s="501"/>
      <c r="AJ495" s="229" t="str">
        <f>IF(OR(A495="",AND(ISNUMBER(FIND("[", A495)), ISNUMBER(FIND("ALL", A495)), ISNUMBER(FIND("]", A495)))),"",MAX(AJ$3:AJ494)+1)</f>
        <v/>
      </c>
      <c r="AK495" s="229" t="str">
        <f>IFERROR(INDEX($A$4:$A$1000,MATCH(ROW()-ROW($AK$3),$AJ$4:$AJ$1000,0)),"")</f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499"/>
      <c r="AF496" s="500"/>
      <c r="AG496" s="500"/>
      <c r="AH496" s="501"/>
      <c r="AJ496" s="229" t="str">
        <f>IF(OR(A496="",AND(ISNUMBER(FIND("[", A496)), ISNUMBER(FIND("ALL", A496)), ISNUMBER(FIND("]", A496)))),"",MAX(AJ$3:AJ495)+1)</f>
        <v/>
      </c>
      <c r="AK496" s="229" t="str">
        <f>IFERROR(INDEX($A$4:$A$1000,MATCH(ROW()-ROW($AK$3),$AJ$4:$AJ$1000,0)),"")</f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499"/>
      <c r="AF497" s="500"/>
      <c r="AG497" s="500"/>
      <c r="AH497" s="501"/>
      <c r="AJ497" s="229" t="str">
        <f>IF(OR(A497="",AND(ISNUMBER(FIND("[", A497)), ISNUMBER(FIND("ALL", A497)), ISNUMBER(FIND("]", A497)))),"",MAX(AJ$3:AJ496)+1)</f>
        <v/>
      </c>
      <c r="AK497" s="229" t="str">
        <f>IFERROR(INDEX($A$4:$A$1000,MATCH(ROW()-ROW($AK$3),$AJ$4:$AJ$1000,0)),"")</f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499"/>
      <c r="AF498" s="500"/>
      <c r="AG498" s="500"/>
      <c r="AH498" s="501"/>
      <c r="AJ498" s="229" t="str">
        <f>IF(OR(A498="",AND(ISNUMBER(FIND("[", A498)), ISNUMBER(FIND("ALL", A498)), ISNUMBER(FIND("]", A498)))),"",MAX(AJ$3:AJ497)+1)</f>
        <v/>
      </c>
      <c r="AK498" s="229" t="str">
        <f>IFERROR(INDEX($A$4:$A$1000,MATCH(ROW()-ROW($AK$3),$AJ$4:$AJ$1000,0)),"")</f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499"/>
      <c r="AF499" s="500"/>
      <c r="AG499" s="500"/>
      <c r="AH499" s="501"/>
      <c r="AJ499" s="229" t="str">
        <f>IF(OR(A499="",AND(ISNUMBER(FIND("[", A499)), ISNUMBER(FIND("ALL", A499)), ISNUMBER(FIND("]", A499)))),"",MAX(AJ$3:AJ498)+1)</f>
        <v/>
      </c>
      <c r="AK499" s="229" t="str">
        <f>IFERROR(INDEX($A$4:$A$1000,MATCH(ROW()-ROW($AK$3),$AJ$4:$AJ$1000,0)),"")</f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499"/>
      <c r="AF500" s="500"/>
      <c r="AG500" s="500"/>
      <c r="AH500" s="501"/>
      <c r="AJ500" s="229" t="str">
        <f>IF(OR(A500="",AND(ISNUMBER(FIND("[", A500)), ISNUMBER(FIND("ALL", A500)), ISNUMBER(FIND("]", A500)))),"",MAX(AJ$3:AJ499)+1)</f>
        <v/>
      </c>
      <c r="AK500" s="229" t="str">
        <f>IFERROR(INDEX($A$4:$A$1000,MATCH(ROW()-ROW($AK$3),$AJ$4:$AJ$1000,0)),"")</f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499"/>
      <c r="AF501" s="500"/>
      <c r="AG501" s="500"/>
      <c r="AH501" s="501"/>
      <c r="AJ501" s="229" t="str">
        <f>IF(OR(A501="",AND(ISNUMBER(FIND("[", A501)), ISNUMBER(FIND("ALL", A501)), ISNUMBER(FIND("]", A501)))),"",MAX(AJ$3:AJ500)+1)</f>
        <v/>
      </c>
      <c r="AK501" s="229" t="str">
        <f>IFERROR(INDEX($A$4:$A$1000,MATCH(ROW()-ROW($AK$3),$AJ$4:$AJ$1000,0)),"")</f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499"/>
      <c r="AF502" s="500"/>
      <c r="AG502" s="500"/>
      <c r="AH502" s="501"/>
      <c r="AJ502" s="229" t="str">
        <f>IF(OR(A502="",AND(ISNUMBER(FIND("[", A502)), ISNUMBER(FIND("ALL", A502)), ISNUMBER(FIND("]", A502)))),"",MAX(AJ$3:AJ501)+1)</f>
        <v/>
      </c>
      <c r="AK502" s="229" t="str">
        <f>IFERROR(INDEX($A$4:$A$1000,MATCH(ROW()-ROW($AK$3),$AJ$4:$AJ$1000,0)),"")</f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499"/>
      <c r="AF503" s="500"/>
      <c r="AG503" s="500"/>
      <c r="AH503" s="501"/>
      <c r="AJ503" s="229" t="str">
        <f>IF(OR(A503="",AND(ISNUMBER(FIND("[", A503)), ISNUMBER(FIND("ALL", A503)), ISNUMBER(FIND("]", A503)))),"",MAX(AJ$3:AJ502)+1)</f>
        <v/>
      </c>
      <c r="AK503" s="229" t="str">
        <f>IFERROR(INDEX($A$4:$A$1000,MATCH(ROW()-ROW($AK$3),$AJ$4:$AJ$1000,0)),"")</f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499"/>
      <c r="AF504" s="500"/>
      <c r="AG504" s="500"/>
      <c r="AH504" s="501"/>
      <c r="AJ504" s="229" t="str">
        <f>IF(OR(A504="",AND(ISNUMBER(FIND("[", A504)), ISNUMBER(FIND("ALL", A504)), ISNUMBER(FIND("]", A504)))),"",MAX(AJ$3:AJ503)+1)</f>
        <v/>
      </c>
      <c r="AK504" s="229" t="str">
        <f>IFERROR(INDEX($A$4:$A$1000,MATCH(ROW()-ROW($AK$3),$AJ$4:$AJ$1000,0)),"")</f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499"/>
      <c r="AF505" s="500"/>
      <c r="AG505" s="500"/>
      <c r="AH505" s="501"/>
      <c r="AJ505" s="229" t="str">
        <f>IF(OR(A505="",AND(ISNUMBER(FIND("[", A505)), ISNUMBER(FIND("ALL", A505)), ISNUMBER(FIND("]", A505)))),"",MAX(AJ$3:AJ504)+1)</f>
        <v/>
      </c>
      <c r="AK505" s="229" t="str">
        <f>IFERROR(INDEX($A$4:$A$1000,MATCH(ROW()-ROW($AK$3),$AJ$4:$AJ$1000,0)),"")</f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499"/>
      <c r="AF506" s="500"/>
      <c r="AG506" s="500"/>
      <c r="AH506" s="501"/>
      <c r="AJ506" s="229" t="str">
        <f>IF(OR(A506="",AND(ISNUMBER(FIND("[", A506)), ISNUMBER(FIND("ALL", A506)), ISNUMBER(FIND("]", A506)))),"",MAX(AJ$3:AJ505)+1)</f>
        <v/>
      </c>
      <c r="AK506" s="229" t="str">
        <f>IFERROR(INDEX($A$4:$A$1000,MATCH(ROW()-ROW($AK$3),$AJ$4:$AJ$1000,0)),"")</f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499"/>
      <c r="AF507" s="500"/>
      <c r="AG507" s="500"/>
      <c r="AH507" s="501"/>
      <c r="AJ507" s="229" t="str">
        <f>IF(OR(A507="",AND(ISNUMBER(FIND("[", A507)), ISNUMBER(FIND("ALL", A507)), ISNUMBER(FIND("]", A507)))),"",MAX(AJ$3:AJ506)+1)</f>
        <v/>
      </c>
      <c r="AK507" s="229" t="str">
        <f>IFERROR(INDEX($A$4:$A$1000,MATCH(ROW()-ROW($AK$3),$AJ$4:$AJ$1000,0)),"")</f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499"/>
      <c r="AF508" s="500"/>
      <c r="AG508" s="500"/>
      <c r="AH508" s="501"/>
      <c r="AJ508" s="229" t="str">
        <f>IF(OR(A508="",AND(ISNUMBER(FIND("[", A508)), ISNUMBER(FIND("ALL", A508)), ISNUMBER(FIND("]", A508)))),"",MAX(AJ$3:AJ507)+1)</f>
        <v/>
      </c>
      <c r="AK508" s="229" t="str">
        <f>IFERROR(INDEX($A$4:$A$1000,MATCH(ROW()-ROW($AK$3),$AJ$4:$AJ$1000,0)),"")</f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499"/>
      <c r="AF509" s="500"/>
      <c r="AG509" s="500"/>
      <c r="AH509" s="501"/>
      <c r="AJ509" s="229" t="str">
        <f>IF(OR(A509="",AND(ISNUMBER(FIND("[", A509)), ISNUMBER(FIND("ALL", A509)), ISNUMBER(FIND("]", A509)))),"",MAX(AJ$3:AJ508)+1)</f>
        <v/>
      </c>
      <c r="AK509" s="229" t="str">
        <f>IFERROR(INDEX($A$4:$A$1000,MATCH(ROW()-ROW($AK$3),$AJ$4:$AJ$1000,0)),"")</f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499"/>
      <c r="AF510" s="500"/>
      <c r="AG510" s="500"/>
      <c r="AH510" s="501"/>
      <c r="AJ510" s="229" t="str">
        <f>IF(OR(A510="",AND(ISNUMBER(FIND("[", A510)), ISNUMBER(FIND("ALL", A510)), ISNUMBER(FIND("]", A510)))),"",MAX(AJ$3:AJ509)+1)</f>
        <v/>
      </c>
      <c r="AK510" s="229" t="str">
        <f>IFERROR(INDEX($A$4:$A$1000,MATCH(ROW()-ROW($AK$3),$AJ$4:$AJ$1000,0)),"")</f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499"/>
      <c r="AF511" s="500"/>
      <c r="AG511" s="500"/>
      <c r="AH511" s="501"/>
      <c r="AJ511" s="229" t="str">
        <f>IF(OR(A511="",AND(ISNUMBER(FIND("[", A511)), ISNUMBER(FIND("ALL", A511)), ISNUMBER(FIND("]", A511)))),"",MAX(AJ$3:AJ510)+1)</f>
        <v/>
      </c>
      <c r="AK511" s="229" t="str">
        <f>IFERROR(INDEX($A$4:$A$1000,MATCH(ROW()-ROW($AK$3),$AJ$4:$AJ$1000,0)),"")</f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499"/>
      <c r="AF512" s="500"/>
      <c r="AG512" s="500"/>
      <c r="AH512" s="501"/>
      <c r="AJ512" s="229" t="str">
        <f>IF(OR(A512="",AND(ISNUMBER(FIND("[", A512)), ISNUMBER(FIND("ALL", A512)), ISNUMBER(FIND("]", A512)))),"",MAX(AJ$3:AJ511)+1)</f>
        <v/>
      </c>
      <c r="AK512" s="229" t="str">
        <f>IFERROR(INDEX($A$4:$A$1000,MATCH(ROW()-ROW($AK$3),$AJ$4:$AJ$1000,0)),"")</f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499"/>
      <c r="AF513" s="500"/>
      <c r="AG513" s="500"/>
      <c r="AH513" s="501"/>
      <c r="AJ513" s="229" t="str">
        <f>IF(OR(A513="",AND(ISNUMBER(FIND("[", A513)), ISNUMBER(FIND("ALL", A513)), ISNUMBER(FIND("]", A513)))),"",MAX(AJ$3:AJ512)+1)</f>
        <v/>
      </c>
      <c r="AK513" s="229" t="str">
        <f>IFERROR(INDEX($A$4:$A$1000,MATCH(ROW()-ROW($AK$3),$AJ$4:$AJ$1000,0)),"")</f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499"/>
      <c r="AF514" s="500"/>
      <c r="AG514" s="500"/>
      <c r="AH514" s="501"/>
      <c r="AJ514" s="229" t="str">
        <f>IF(OR(A514="",AND(ISNUMBER(FIND("[", A514)), ISNUMBER(FIND("ALL", A514)), ISNUMBER(FIND("]", A514)))),"",MAX(AJ$3:AJ513)+1)</f>
        <v/>
      </c>
      <c r="AK514" s="229" t="str">
        <f>IFERROR(INDEX($A$4:$A$1000,MATCH(ROW()-ROW($AK$3),$AJ$4:$AJ$1000,0)),"")</f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499"/>
      <c r="AF515" s="500"/>
      <c r="AG515" s="500"/>
      <c r="AH515" s="501"/>
      <c r="AJ515" s="229" t="str">
        <f>IF(OR(A515="",AND(ISNUMBER(FIND("[", A515)), ISNUMBER(FIND("ALL", A515)), ISNUMBER(FIND("]", A515)))),"",MAX(AJ$3:AJ514)+1)</f>
        <v/>
      </c>
      <c r="AK515" s="229" t="str">
        <f>IFERROR(INDEX($A$4:$A$1000,MATCH(ROW()-ROW($AK$3),$AJ$4:$AJ$1000,0)),"")</f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499"/>
      <c r="AF516" s="500"/>
      <c r="AG516" s="500"/>
      <c r="AH516" s="501"/>
      <c r="AJ516" s="229" t="str">
        <f>IF(OR(A516="",AND(ISNUMBER(FIND("[", A516)), ISNUMBER(FIND("ALL", A516)), ISNUMBER(FIND("]", A516)))),"",MAX(AJ$3:AJ515)+1)</f>
        <v/>
      </c>
      <c r="AK516" s="229" t="str">
        <f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499"/>
      <c r="AF517" s="500"/>
      <c r="AG517" s="500"/>
      <c r="AH517" s="501"/>
      <c r="AJ517" s="229" t="str">
        <f>IF(OR(A517="",AND(ISNUMBER(FIND("[", A517)), ISNUMBER(FIND("ALL", A517)), ISNUMBER(FIND("]", A517)))),"",MAX(AJ$3:AJ516)+1)</f>
        <v/>
      </c>
      <c r="AK517" s="229" t="str">
        <f>IFERROR(INDEX($A$4:$A$1000,MATCH(ROW()-ROW($AK$3),$AJ$4:$AJ$1000,0)),"")</f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499"/>
      <c r="AF518" s="500"/>
      <c r="AG518" s="500"/>
      <c r="AH518" s="501"/>
      <c r="AJ518" s="229" t="str">
        <f>IF(OR(A518="",AND(ISNUMBER(FIND("[", A518)), ISNUMBER(FIND("ALL", A518)), ISNUMBER(FIND("]", A518)))),"",MAX(AJ$3:AJ517)+1)</f>
        <v/>
      </c>
      <c r="AK518" s="229" t="str">
        <f>IFERROR(INDEX($A$4:$A$1000,MATCH(ROW()-ROW($AK$3),$AJ$4:$AJ$1000,0)),"")</f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499"/>
      <c r="AF519" s="500"/>
      <c r="AG519" s="500"/>
      <c r="AH519" s="501"/>
      <c r="AJ519" s="229" t="str">
        <f>IF(OR(A519="",AND(ISNUMBER(FIND("[", A519)), ISNUMBER(FIND("ALL", A519)), ISNUMBER(FIND("]", A519)))),"",MAX(AJ$3:AJ518)+1)</f>
        <v/>
      </c>
      <c r="AK519" s="229" t="str">
        <f>IFERROR(INDEX($A$4:$A$1000,MATCH(ROW()-ROW($AK$3),$AJ$4:$AJ$1000,0)),"")</f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499"/>
      <c r="AF520" s="500"/>
      <c r="AG520" s="500"/>
      <c r="AH520" s="501"/>
      <c r="AJ520" s="229" t="str">
        <f>IF(OR(A520="",AND(ISNUMBER(FIND("[", A520)), ISNUMBER(FIND("ALL", A520)), ISNUMBER(FIND("]", A520)))),"",MAX(AJ$3:AJ519)+1)</f>
        <v/>
      </c>
      <c r="AK520" s="229" t="str">
        <f>IFERROR(INDEX($A$4:$A$1000,MATCH(ROW()-ROW($AK$3),$AJ$4:$AJ$1000,0)),"")</f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499"/>
      <c r="AF521" s="500"/>
      <c r="AG521" s="500"/>
      <c r="AH521" s="501"/>
      <c r="AJ521" s="229" t="str">
        <f>IF(OR(A521="",AND(ISNUMBER(FIND("[", A521)), ISNUMBER(FIND("ALL", A521)), ISNUMBER(FIND("]", A521)))),"",MAX(AJ$3:AJ520)+1)</f>
        <v/>
      </c>
      <c r="AK521" s="229" t="str">
        <f>IFERROR(INDEX($A$4:$A$1000,MATCH(ROW()-ROW($AK$3),$AJ$4:$AJ$1000,0)),"")</f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499"/>
      <c r="AF522" s="500"/>
      <c r="AG522" s="500"/>
      <c r="AH522" s="501"/>
      <c r="AJ522" s="229" t="str">
        <f>IF(OR(A522="",AND(ISNUMBER(FIND("[", A522)), ISNUMBER(FIND("ALL", A522)), ISNUMBER(FIND("]", A522)))),"",MAX(AJ$3:AJ521)+1)</f>
        <v/>
      </c>
      <c r="AK522" s="229" t="str">
        <f>IFERROR(INDEX($A$4:$A$1000,MATCH(ROW()-ROW($AK$3),$AJ$4:$AJ$1000,0)),"")</f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499"/>
      <c r="AF523" s="500"/>
      <c r="AG523" s="500"/>
      <c r="AH523" s="501"/>
      <c r="AJ523" s="229" t="str">
        <f>IF(OR(A523="",AND(ISNUMBER(FIND("[", A523)), ISNUMBER(FIND("ALL", A523)), ISNUMBER(FIND("]", A523)))),"",MAX(AJ$3:AJ522)+1)</f>
        <v/>
      </c>
      <c r="AK523" s="229" t="str">
        <f>IFERROR(INDEX($A$4:$A$1000,MATCH(ROW()-ROW($AK$3),$AJ$4:$AJ$1000,0)),"")</f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499"/>
      <c r="AF524" s="500"/>
      <c r="AG524" s="500"/>
      <c r="AH524" s="501"/>
      <c r="AJ524" s="229" t="str">
        <f>IF(OR(A524="",AND(ISNUMBER(FIND("[", A524)), ISNUMBER(FIND("ALL", A524)), ISNUMBER(FIND("]", A524)))),"",MAX(AJ$3:AJ523)+1)</f>
        <v/>
      </c>
      <c r="AK524" s="229" t="str">
        <f>IFERROR(INDEX($A$4:$A$1000,MATCH(ROW()-ROW($AK$3),$AJ$4:$AJ$1000,0)),"")</f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499"/>
      <c r="AF525" s="500"/>
      <c r="AG525" s="500"/>
      <c r="AH525" s="501"/>
      <c r="AJ525" s="229" t="str">
        <f>IF(OR(A525="",AND(ISNUMBER(FIND("[", A525)), ISNUMBER(FIND("ALL", A525)), ISNUMBER(FIND("]", A525)))),"",MAX(AJ$3:AJ524)+1)</f>
        <v/>
      </c>
      <c r="AK525" s="229" t="str">
        <f>IFERROR(INDEX($A$4:$A$1000,MATCH(ROW()-ROW($AK$3),$AJ$4:$AJ$1000,0)),"")</f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499"/>
      <c r="AF526" s="500"/>
      <c r="AG526" s="500"/>
      <c r="AH526" s="501"/>
      <c r="AJ526" s="229" t="str">
        <f>IF(OR(A526="",AND(ISNUMBER(FIND("[", A526)), ISNUMBER(FIND("ALL", A526)), ISNUMBER(FIND("]", A526)))),"",MAX(AJ$3:AJ525)+1)</f>
        <v/>
      </c>
      <c r="AK526" s="229" t="str">
        <f>IFERROR(INDEX($A$4:$A$1000,MATCH(ROW()-ROW($AK$3),$AJ$4:$AJ$1000,0)),"")</f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499"/>
      <c r="AF527" s="500"/>
      <c r="AG527" s="500"/>
      <c r="AH527" s="501"/>
      <c r="AJ527" s="229" t="str">
        <f>IF(OR(A527="",AND(ISNUMBER(FIND("[", A527)), ISNUMBER(FIND("ALL", A527)), ISNUMBER(FIND("]", A527)))),"",MAX(AJ$3:AJ526)+1)</f>
        <v/>
      </c>
      <c r="AK527" s="229" t="str">
        <f>IFERROR(INDEX($A$4:$A$1000,MATCH(ROW()-ROW($AK$3),$AJ$4:$AJ$1000,0)),"")</f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499"/>
      <c r="AF528" s="500"/>
      <c r="AG528" s="500"/>
      <c r="AH528" s="501"/>
      <c r="AJ528" s="229" t="str">
        <f>IF(OR(A528="",AND(ISNUMBER(FIND("[", A528)), ISNUMBER(FIND("ALL", A528)), ISNUMBER(FIND("]", A528)))),"",MAX(AJ$3:AJ527)+1)</f>
        <v/>
      </c>
      <c r="AK528" s="229" t="str">
        <f>IFERROR(INDEX($A$4:$A$1000,MATCH(ROW()-ROW($AK$3),$AJ$4:$AJ$1000,0)),"")</f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499"/>
      <c r="AF529" s="500"/>
      <c r="AG529" s="500"/>
      <c r="AH529" s="501"/>
      <c r="AJ529" s="229" t="str">
        <f>IF(OR(A529="",AND(ISNUMBER(FIND("[", A529)), ISNUMBER(FIND("ALL", A529)), ISNUMBER(FIND("]", A529)))),"",MAX(AJ$3:AJ528)+1)</f>
        <v/>
      </c>
      <c r="AK529" s="229" t="str">
        <f>IFERROR(INDEX($A$4:$A$1000,MATCH(ROW()-ROW($AK$3),$AJ$4:$AJ$1000,0)),"")</f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499"/>
      <c r="AF530" s="500"/>
      <c r="AG530" s="500"/>
      <c r="AH530" s="501"/>
      <c r="AJ530" s="229" t="str">
        <f>IF(OR(A530="",AND(ISNUMBER(FIND("[", A530)), ISNUMBER(FIND("ALL", A530)), ISNUMBER(FIND("]", A530)))),"",MAX(AJ$3:AJ529)+1)</f>
        <v/>
      </c>
      <c r="AK530" s="229" t="str">
        <f>IFERROR(INDEX($A$4:$A$1000,MATCH(ROW()-ROW($AK$3),$AJ$4:$AJ$1000,0)),"")</f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499"/>
      <c r="AF531" s="500"/>
      <c r="AG531" s="500"/>
      <c r="AH531" s="501"/>
      <c r="AJ531" s="229" t="str">
        <f>IF(OR(A531="",AND(ISNUMBER(FIND("[", A531)), ISNUMBER(FIND("ALL", A531)), ISNUMBER(FIND("]", A531)))),"",MAX(AJ$3:AJ530)+1)</f>
        <v/>
      </c>
      <c r="AK531" s="229" t="str">
        <f>IFERROR(INDEX($A$4:$A$1000,MATCH(ROW()-ROW($AK$3),$AJ$4:$AJ$1000,0)),"")</f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499"/>
      <c r="AF532" s="500"/>
      <c r="AG532" s="500"/>
      <c r="AH532" s="501"/>
      <c r="AJ532" s="229" t="str">
        <f>IF(OR(A532="",AND(ISNUMBER(FIND("[", A532)), ISNUMBER(FIND("ALL", A532)), ISNUMBER(FIND("]", A532)))),"",MAX(AJ$3:AJ531)+1)</f>
        <v/>
      </c>
      <c r="AK532" s="229" t="str">
        <f>IFERROR(INDEX($A$4:$A$1000,MATCH(ROW()-ROW($AK$3),$AJ$4:$AJ$1000,0)),"")</f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499"/>
      <c r="AF533" s="500"/>
      <c r="AG533" s="500"/>
      <c r="AH533" s="501"/>
      <c r="AJ533" s="229" t="str">
        <f>IF(OR(A533="",AND(ISNUMBER(FIND("[", A533)), ISNUMBER(FIND("ALL", A533)), ISNUMBER(FIND("]", A533)))),"",MAX(AJ$3:AJ532)+1)</f>
        <v/>
      </c>
      <c r="AK533" s="229" t="str">
        <f>IFERROR(INDEX($A$4:$A$1000,MATCH(ROW()-ROW($AK$3),$AJ$4:$AJ$1000,0)),"")</f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499"/>
      <c r="AF534" s="500"/>
      <c r="AG534" s="500"/>
      <c r="AH534" s="501"/>
      <c r="AJ534" s="229" t="str">
        <f>IF(OR(A534="",AND(ISNUMBER(FIND("[", A534)), ISNUMBER(FIND("ALL", A534)), ISNUMBER(FIND("]", A534)))),"",MAX(AJ$3:AJ533)+1)</f>
        <v/>
      </c>
      <c r="AK534" s="229" t="str">
        <f>IFERROR(INDEX($A$4:$A$1000,MATCH(ROW()-ROW($AK$3),$AJ$4:$AJ$1000,0)),"")</f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499"/>
      <c r="AF535" s="500"/>
      <c r="AG535" s="500"/>
      <c r="AH535" s="501"/>
      <c r="AJ535" s="229" t="str">
        <f>IF(OR(A535="",AND(ISNUMBER(FIND("[", A535)), ISNUMBER(FIND("ALL", A535)), ISNUMBER(FIND("]", A535)))),"",MAX(AJ$3:AJ534)+1)</f>
        <v/>
      </c>
      <c r="AK535" s="229" t="str">
        <f>IFERROR(INDEX($A$4:$A$1000,MATCH(ROW()-ROW($AK$3),$AJ$4:$AJ$1000,0)),"")</f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499"/>
      <c r="AF536" s="500"/>
      <c r="AG536" s="500"/>
      <c r="AH536" s="501"/>
      <c r="AJ536" s="229" t="str">
        <f>IF(OR(A536="",AND(ISNUMBER(FIND("[", A536)), ISNUMBER(FIND("ALL", A536)), ISNUMBER(FIND("]", A536)))),"",MAX(AJ$3:AJ535)+1)</f>
        <v/>
      </c>
      <c r="AK536" s="229" t="str">
        <f>IFERROR(INDEX($A$4:$A$1000,MATCH(ROW()-ROW($AK$3),$AJ$4:$AJ$1000,0)),"")</f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499"/>
      <c r="AF537" s="500"/>
      <c r="AG537" s="500"/>
      <c r="AH537" s="501"/>
      <c r="AJ537" s="229" t="str">
        <f>IF(OR(A537="",AND(ISNUMBER(FIND("[", A537)), ISNUMBER(FIND("ALL", A537)), ISNUMBER(FIND("]", A537)))),"",MAX(AJ$3:AJ536)+1)</f>
        <v/>
      </c>
      <c r="AK537" s="229" t="str">
        <f>IFERROR(INDEX($A$4:$A$1000,MATCH(ROW()-ROW($AK$3),$AJ$4:$AJ$1000,0)),"")</f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499"/>
      <c r="AF538" s="500"/>
      <c r="AG538" s="500"/>
      <c r="AH538" s="501"/>
      <c r="AJ538" s="229" t="str">
        <f>IF(OR(A538="",AND(ISNUMBER(FIND("[", A538)), ISNUMBER(FIND("ALL", A538)), ISNUMBER(FIND("]", A538)))),"",MAX(AJ$3:AJ537)+1)</f>
        <v/>
      </c>
      <c r="AK538" s="229" t="str">
        <f>IFERROR(INDEX($A$4:$A$1000,MATCH(ROW()-ROW($AK$3),$AJ$4:$AJ$1000,0)),"")</f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499"/>
      <c r="AF539" s="500"/>
      <c r="AG539" s="500"/>
      <c r="AH539" s="501"/>
      <c r="AJ539" s="229" t="str">
        <f>IF(OR(A539="",AND(ISNUMBER(FIND("[", A539)), ISNUMBER(FIND("ALL", A539)), ISNUMBER(FIND("]", A539)))),"",MAX(AJ$3:AJ538)+1)</f>
        <v/>
      </c>
      <c r="AK539" s="229" t="str">
        <f>IFERROR(INDEX($A$4:$A$1000,MATCH(ROW()-ROW($AK$3),$AJ$4:$AJ$1000,0)),"")</f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499"/>
      <c r="AF540" s="500"/>
      <c r="AG540" s="500"/>
      <c r="AH540" s="501"/>
      <c r="AJ540" s="229" t="str">
        <f>IF(OR(A540="",AND(ISNUMBER(FIND("[", A540)), ISNUMBER(FIND("ALL", A540)), ISNUMBER(FIND("]", A540)))),"",MAX(AJ$3:AJ539)+1)</f>
        <v/>
      </c>
      <c r="AK540" s="229" t="str">
        <f>IFERROR(INDEX($A$4:$A$1000,MATCH(ROW()-ROW($AK$3),$AJ$4:$AJ$1000,0)),"")</f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499"/>
      <c r="AF541" s="500"/>
      <c r="AG541" s="500"/>
      <c r="AH541" s="501"/>
      <c r="AJ541" s="229" t="str">
        <f>IF(OR(A541="",AND(ISNUMBER(FIND("[", A541)), ISNUMBER(FIND("ALL", A541)), ISNUMBER(FIND("]", A541)))),"",MAX(AJ$3:AJ540)+1)</f>
        <v/>
      </c>
      <c r="AK541" s="229" t="str">
        <f>IFERROR(INDEX($A$4:$A$1000,MATCH(ROW()-ROW($AK$3),$AJ$4:$AJ$1000,0)),"")</f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499"/>
      <c r="AF542" s="500"/>
      <c r="AG542" s="500"/>
      <c r="AH542" s="501"/>
      <c r="AJ542" s="229" t="str">
        <f>IF(OR(A542="",AND(ISNUMBER(FIND("[", A542)), ISNUMBER(FIND("ALL", A542)), ISNUMBER(FIND("]", A542)))),"",MAX(AJ$3:AJ541)+1)</f>
        <v/>
      </c>
      <c r="AK542" s="229" t="str">
        <f>IFERROR(INDEX($A$4:$A$1000,MATCH(ROW()-ROW($AK$3),$AJ$4:$AJ$1000,0)),"")</f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499"/>
      <c r="AF543" s="500"/>
      <c r="AG543" s="500"/>
      <c r="AH543" s="501"/>
      <c r="AJ543" s="229" t="str">
        <f>IF(OR(A543="",AND(ISNUMBER(FIND("[", A543)), ISNUMBER(FIND("ALL", A543)), ISNUMBER(FIND("]", A543)))),"",MAX(AJ$3:AJ542)+1)</f>
        <v/>
      </c>
      <c r="AK543" s="229" t="str">
        <f>IFERROR(INDEX($A$4:$A$1000,MATCH(ROW()-ROW($AK$3),$AJ$4:$AJ$1000,0)),"")</f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499"/>
      <c r="AF544" s="500"/>
      <c r="AG544" s="500"/>
      <c r="AH544" s="501"/>
      <c r="AJ544" s="229" t="str">
        <f>IF(OR(A544="",AND(ISNUMBER(FIND("[", A544)), ISNUMBER(FIND("ALL", A544)), ISNUMBER(FIND("]", A544)))),"",MAX(AJ$3:AJ543)+1)</f>
        <v/>
      </c>
      <c r="AK544" s="229" t="str">
        <f>IFERROR(INDEX($A$4:$A$1000,MATCH(ROW()-ROW($AK$3),$AJ$4:$AJ$1000,0)),"")</f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499"/>
      <c r="AF545" s="500"/>
      <c r="AG545" s="500"/>
      <c r="AH545" s="501"/>
      <c r="AJ545" s="229" t="str">
        <f>IF(OR(A545="",AND(ISNUMBER(FIND("[", A545)), ISNUMBER(FIND("ALL", A545)), ISNUMBER(FIND("]", A545)))),"",MAX(AJ$3:AJ544)+1)</f>
        <v/>
      </c>
      <c r="AK545" s="229" t="str">
        <f>IFERROR(INDEX($A$4:$A$1000,MATCH(ROW()-ROW($AK$3),$AJ$4:$AJ$1000,0)),"")</f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499"/>
      <c r="AF546" s="500"/>
      <c r="AG546" s="500"/>
      <c r="AH546" s="501"/>
      <c r="AJ546" s="229" t="str">
        <f>IF(OR(A546="",AND(ISNUMBER(FIND("[", A546)), ISNUMBER(FIND("ALL", A546)), ISNUMBER(FIND("]", A546)))),"",MAX(AJ$3:AJ545)+1)</f>
        <v/>
      </c>
      <c r="AK546" s="229" t="str">
        <f>IFERROR(INDEX($A$4:$A$1000,MATCH(ROW()-ROW($AK$3),$AJ$4:$AJ$1000,0)),"")</f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499"/>
      <c r="AF547" s="500"/>
      <c r="AG547" s="500"/>
      <c r="AH547" s="501"/>
      <c r="AJ547" s="229" t="str">
        <f>IF(OR(A547="",AND(ISNUMBER(FIND("[", A547)), ISNUMBER(FIND("ALL", A547)), ISNUMBER(FIND("]", A547)))),"",MAX(AJ$3:AJ546)+1)</f>
        <v/>
      </c>
      <c r="AK547" s="229" t="str">
        <f>IFERROR(INDEX($A$4:$A$1000,MATCH(ROW()-ROW($AK$3),$AJ$4:$AJ$1000,0)),"")</f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499"/>
      <c r="AF548" s="500"/>
      <c r="AG548" s="500"/>
      <c r="AH548" s="501"/>
      <c r="AJ548" s="229" t="str">
        <f>IF(OR(A548="",AND(ISNUMBER(FIND("[", A548)), ISNUMBER(FIND("ALL", A548)), ISNUMBER(FIND("]", A548)))),"",MAX(AJ$3:AJ547)+1)</f>
        <v/>
      </c>
      <c r="AK548" s="229" t="str">
        <f>IFERROR(INDEX($A$4:$A$1000,MATCH(ROW()-ROW($AK$3),$AJ$4:$AJ$1000,0)),"")</f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499"/>
      <c r="AF549" s="500"/>
      <c r="AG549" s="500"/>
      <c r="AH549" s="501"/>
      <c r="AJ549" s="229" t="str">
        <f>IF(OR(A549="",AND(ISNUMBER(FIND("[", A549)), ISNUMBER(FIND("ALL", A549)), ISNUMBER(FIND("]", A549)))),"",MAX(AJ$3:AJ548)+1)</f>
        <v/>
      </c>
      <c r="AK549" s="229" t="str">
        <f>IFERROR(INDEX($A$4:$A$1000,MATCH(ROW()-ROW($AK$3),$AJ$4:$AJ$1000,0)),"")</f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499"/>
      <c r="AF550" s="500"/>
      <c r="AG550" s="500"/>
      <c r="AH550" s="501"/>
      <c r="AJ550" s="229" t="str">
        <f>IF(OR(A550="",AND(ISNUMBER(FIND("[", A550)), ISNUMBER(FIND("ALL", A550)), ISNUMBER(FIND("]", A550)))),"",MAX(AJ$3:AJ549)+1)</f>
        <v/>
      </c>
      <c r="AK550" s="229" t="str">
        <f>IFERROR(INDEX($A$4:$A$1000,MATCH(ROW()-ROW($AK$3),$AJ$4:$AJ$1000,0)),"")</f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499"/>
      <c r="AF551" s="500"/>
      <c r="AG551" s="500"/>
      <c r="AH551" s="501"/>
      <c r="AJ551" s="229" t="str">
        <f>IF(OR(A551="",AND(ISNUMBER(FIND("[", A551)), ISNUMBER(FIND("ALL", A551)), ISNUMBER(FIND("]", A551)))),"",MAX(AJ$3:AJ550)+1)</f>
        <v/>
      </c>
      <c r="AK551" s="229" t="str">
        <f>IFERROR(INDEX($A$4:$A$1000,MATCH(ROW()-ROW($AK$3),$AJ$4:$AJ$1000,0)),"")</f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499"/>
      <c r="AF552" s="500"/>
      <c r="AG552" s="500"/>
      <c r="AH552" s="501"/>
      <c r="AJ552" s="229" t="str">
        <f>IF(OR(A552="",AND(ISNUMBER(FIND("[", A552)), ISNUMBER(FIND("ALL", A552)), ISNUMBER(FIND("]", A552)))),"",MAX(AJ$3:AJ551)+1)</f>
        <v/>
      </c>
      <c r="AK552" s="229" t="str">
        <f>IFERROR(INDEX($A$4:$A$1000,MATCH(ROW()-ROW($AK$3),$AJ$4:$AJ$1000,0)),"")</f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499"/>
      <c r="AF553" s="500"/>
      <c r="AG553" s="500"/>
      <c r="AH553" s="501"/>
      <c r="AJ553" s="229" t="str">
        <f>IF(OR(A553="",AND(ISNUMBER(FIND("[", A553)), ISNUMBER(FIND("ALL", A553)), ISNUMBER(FIND("]", A553)))),"",MAX(AJ$3:AJ552)+1)</f>
        <v/>
      </c>
      <c r="AK553" s="229" t="str">
        <f>IFERROR(INDEX($A$4:$A$1000,MATCH(ROW()-ROW($AK$3),$AJ$4:$AJ$1000,0)),"")</f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499"/>
      <c r="AF554" s="500"/>
      <c r="AG554" s="500"/>
      <c r="AH554" s="501"/>
      <c r="AJ554" s="229" t="str">
        <f>IF(OR(A554="",AND(ISNUMBER(FIND("[", A554)), ISNUMBER(FIND("ALL", A554)), ISNUMBER(FIND("]", A554)))),"",MAX(AJ$3:AJ553)+1)</f>
        <v/>
      </c>
      <c r="AK554" s="229" t="str">
        <f>IFERROR(INDEX($A$4:$A$1000,MATCH(ROW()-ROW($AK$3),$AJ$4:$AJ$1000,0)),"")</f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499"/>
      <c r="AF555" s="500"/>
      <c r="AG555" s="500"/>
      <c r="AH555" s="501"/>
      <c r="AJ555" s="229" t="str">
        <f>IF(OR(A555="",AND(ISNUMBER(FIND("[", A555)), ISNUMBER(FIND("ALL", A555)), ISNUMBER(FIND("]", A555)))),"",MAX(AJ$3:AJ554)+1)</f>
        <v/>
      </c>
      <c r="AK555" s="229" t="str">
        <f>IFERROR(INDEX($A$4:$A$1000,MATCH(ROW()-ROW($AK$3),$AJ$4:$AJ$1000,0)),"")</f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499"/>
      <c r="AF556" s="500"/>
      <c r="AG556" s="500"/>
      <c r="AH556" s="501"/>
      <c r="AJ556" s="229" t="str">
        <f>IF(OR(A556="",AND(ISNUMBER(FIND("[", A556)), ISNUMBER(FIND("ALL", A556)), ISNUMBER(FIND("]", A556)))),"",MAX(AJ$3:AJ555)+1)</f>
        <v/>
      </c>
      <c r="AK556" s="229" t="str">
        <f>IFERROR(INDEX($A$4:$A$1000,MATCH(ROW()-ROW($AK$3),$AJ$4:$AJ$1000,0)),"")</f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499"/>
      <c r="AF557" s="500"/>
      <c r="AG557" s="500"/>
      <c r="AH557" s="501"/>
      <c r="AJ557" s="229" t="str">
        <f>IF(OR(A557="",AND(ISNUMBER(FIND("[", A557)), ISNUMBER(FIND("ALL", A557)), ISNUMBER(FIND("]", A557)))),"",MAX(AJ$3:AJ556)+1)</f>
        <v/>
      </c>
      <c r="AK557" s="229" t="str">
        <f>IFERROR(INDEX($A$4:$A$1000,MATCH(ROW()-ROW($AK$3),$AJ$4:$AJ$1000,0)),"")</f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499"/>
      <c r="AF558" s="500"/>
      <c r="AG558" s="500"/>
      <c r="AH558" s="501"/>
      <c r="AJ558" s="229" t="str">
        <f>IF(OR(A558="",AND(ISNUMBER(FIND("[", A558)), ISNUMBER(FIND("ALL", A558)), ISNUMBER(FIND("]", A558)))),"",MAX(AJ$3:AJ557)+1)</f>
        <v/>
      </c>
      <c r="AK558" s="229" t="str">
        <f>IFERROR(INDEX($A$4:$A$1000,MATCH(ROW()-ROW($AK$3),$AJ$4:$AJ$1000,0)),"")</f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499"/>
      <c r="AF559" s="500"/>
      <c r="AG559" s="500"/>
      <c r="AH559" s="501"/>
      <c r="AJ559" s="229" t="str">
        <f>IF(OR(A559="",AND(ISNUMBER(FIND("[", A559)), ISNUMBER(FIND("ALL", A559)), ISNUMBER(FIND("]", A559)))),"",MAX(AJ$3:AJ558)+1)</f>
        <v/>
      </c>
      <c r="AK559" s="229" t="str">
        <f>IFERROR(INDEX($A$4:$A$1000,MATCH(ROW()-ROW($AK$3),$AJ$4:$AJ$1000,0)),"")</f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499"/>
      <c r="AF560" s="500"/>
      <c r="AG560" s="500"/>
      <c r="AH560" s="501"/>
      <c r="AJ560" s="229" t="str">
        <f>IF(OR(A560="",AND(ISNUMBER(FIND("[", A560)), ISNUMBER(FIND("ALL", A560)), ISNUMBER(FIND("]", A560)))),"",MAX(AJ$3:AJ559)+1)</f>
        <v/>
      </c>
      <c r="AK560" s="229" t="str">
        <f>IFERROR(INDEX($A$4:$A$1000,MATCH(ROW()-ROW($AK$3),$AJ$4:$AJ$1000,0)),"")</f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499"/>
      <c r="AF561" s="500"/>
      <c r="AG561" s="500"/>
      <c r="AH561" s="501"/>
      <c r="AJ561" s="229" t="str">
        <f>IF(OR(A561="",AND(ISNUMBER(FIND("[", A561)), ISNUMBER(FIND("ALL", A561)), ISNUMBER(FIND("]", A561)))),"",MAX(AJ$3:AJ560)+1)</f>
        <v/>
      </c>
      <c r="AK561" s="229" t="str">
        <f>IFERROR(INDEX($A$4:$A$1000,MATCH(ROW()-ROW($AK$3),$AJ$4:$AJ$1000,0)),"")</f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499"/>
      <c r="AF562" s="500"/>
      <c r="AG562" s="500"/>
      <c r="AH562" s="501"/>
      <c r="AJ562" s="229" t="str">
        <f>IF(OR(A562="",AND(ISNUMBER(FIND("[", A562)), ISNUMBER(FIND("ALL", A562)), ISNUMBER(FIND("]", A562)))),"",MAX(AJ$3:AJ561)+1)</f>
        <v/>
      </c>
      <c r="AK562" s="229" t="str">
        <f>IFERROR(INDEX($A$4:$A$1000,MATCH(ROW()-ROW($AK$3),$AJ$4:$AJ$1000,0)),"")</f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499"/>
      <c r="AF563" s="500"/>
      <c r="AG563" s="500"/>
      <c r="AH563" s="501"/>
      <c r="AJ563" s="229" t="str">
        <f>IF(OR(A563="",AND(ISNUMBER(FIND("[", A563)), ISNUMBER(FIND("ALL", A563)), ISNUMBER(FIND("]", A563)))),"",MAX(AJ$3:AJ562)+1)</f>
        <v/>
      </c>
      <c r="AK563" s="229" t="str">
        <f>IFERROR(INDEX($A$4:$A$1000,MATCH(ROW()-ROW($AK$3),$AJ$4:$AJ$1000,0)),"")</f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499"/>
      <c r="AF564" s="500"/>
      <c r="AG564" s="500"/>
      <c r="AH564" s="501"/>
      <c r="AJ564" s="229" t="str">
        <f>IF(OR(A564="",AND(ISNUMBER(FIND("[", A564)), ISNUMBER(FIND("ALL", A564)), ISNUMBER(FIND("]", A564)))),"",MAX(AJ$3:AJ563)+1)</f>
        <v/>
      </c>
      <c r="AK564" s="229" t="str">
        <f>IFERROR(INDEX($A$4:$A$1000,MATCH(ROW()-ROW($AK$3),$AJ$4:$AJ$1000,0)),"")</f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499"/>
      <c r="AF565" s="500"/>
      <c r="AG565" s="500"/>
      <c r="AH565" s="501"/>
      <c r="AJ565" s="229" t="str">
        <f>IF(OR(A565="",AND(ISNUMBER(FIND("[", A565)), ISNUMBER(FIND("ALL", A565)), ISNUMBER(FIND("]", A565)))),"",MAX(AJ$3:AJ564)+1)</f>
        <v/>
      </c>
      <c r="AK565" s="229" t="str">
        <f>IFERROR(INDEX($A$4:$A$1000,MATCH(ROW()-ROW($AK$3),$AJ$4:$AJ$1000,0)),"")</f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499"/>
      <c r="AF566" s="500"/>
      <c r="AG566" s="500"/>
      <c r="AH566" s="501"/>
      <c r="AJ566" s="229" t="str">
        <f>IF(OR(A566="",AND(ISNUMBER(FIND("[", A566)), ISNUMBER(FIND("ALL", A566)), ISNUMBER(FIND("]", A566)))),"",MAX(AJ$3:AJ565)+1)</f>
        <v/>
      </c>
      <c r="AK566" s="229" t="str">
        <f>IFERROR(INDEX($A$4:$A$1000,MATCH(ROW()-ROW($AK$3),$AJ$4:$AJ$1000,0)),"")</f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499"/>
      <c r="AF567" s="500"/>
      <c r="AG567" s="500"/>
      <c r="AH567" s="501"/>
      <c r="AJ567" s="229" t="str">
        <f>IF(OR(A567="",AND(ISNUMBER(FIND("[", A567)), ISNUMBER(FIND("ALL", A567)), ISNUMBER(FIND("]", A567)))),"",MAX(AJ$3:AJ566)+1)</f>
        <v/>
      </c>
      <c r="AK567" s="229" t="str">
        <f>IFERROR(INDEX($A$4:$A$1000,MATCH(ROW()-ROW($AK$3),$AJ$4:$AJ$1000,0)),"")</f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499"/>
      <c r="AF568" s="500"/>
      <c r="AG568" s="500"/>
      <c r="AH568" s="501"/>
      <c r="AJ568" s="229" t="str">
        <f>IF(OR(A568="",AND(ISNUMBER(FIND("[", A568)), ISNUMBER(FIND("ALL", A568)), ISNUMBER(FIND("]", A568)))),"",MAX(AJ$3:AJ567)+1)</f>
        <v/>
      </c>
      <c r="AK568" s="229" t="str">
        <f>IFERROR(INDEX($A$4:$A$1000,MATCH(ROW()-ROW($AK$3),$AJ$4:$AJ$1000,0)),"")</f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499"/>
      <c r="AF569" s="500"/>
      <c r="AG569" s="500"/>
      <c r="AH569" s="501"/>
      <c r="AJ569" s="229" t="str">
        <f>IF(OR(A569="",AND(ISNUMBER(FIND("[", A569)), ISNUMBER(FIND("ALL", A569)), ISNUMBER(FIND("]", A569)))),"",MAX(AJ$3:AJ568)+1)</f>
        <v/>
      </c>
      <c r="AK569" s="229" t="str">
        <f>IFERROR(INDEX($A$4:$A$1000,MATCH(ROW()-ROW($AK$3),$AJ$4:$AJ$1000,0)),"")</f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499"/>
      <c r="AF570" s="500"/>
      <c r="AG570" s="500"/>
      <c r="AH570" s="501"/>
      <c r="AJ570" s="229" t="str">
        <f>IF(OR(A570="",AND(ISNUMBER(FIND("[", A570)), ISNUMBER(FIND("ALL", A570)), ISNUMBER(FIND("]", A570)))),"",MAX(AJ$3:AJ569)+1)</f>
        <v/>
      </c>
      <c r="AK570" s="229" t="str">
        <f>IFERROR(INDEX($A$4:$A$1000,MATCH(ROW()-ROW($AK$3),$AJ$4:$AJ$1000,0)),"")</f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499"/>
      <c r="AF571" s="500"/>
      <c r="AG571" s="500"/>
      <c r="AH571" s="501"/>
      <c r="AJ571" s="229" t="str">
        <f>IF(OR(A571="",AND(ISNUMBER(FIND("[", A571)), ISNUMBER(FIND("ALL", A571)), ISNUMBER(FIND("]", A571)))),"",MAX(AJ$3:AJ570)+1)</f>
        <v/>
      </c>
      <c r="AK571" s="229" t="str">
        <f>IFERROR(INDEX($A$4:$A$1000,MATCH(ROW()-ROW($AK$3),$AJ$4:$AJ$1000,0)),"")</f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499"/>
      <c r="AF572" s="500"/>
      <c r="AG572" s="500"/>
      <c r="AH572" s="501"/>
      <c r="AJ572" s="229" t="str">
        <f>IF(OR(A572="",AND(ISNUMBER(FIND("[", A572)), ISNUMBER(FIND("ALL", A572)), ISNUMBER(FIND("]", A572)))),"",MAX(AJ$3:AJ571)+1)</f>
        <v/>
      </c>
      <c r="AK572" s="229" t="str">
        <f>IFERROR(INDEX($A$4:$A$1000,MATCH(ROW()-ROW($AK$3),$AJ$4:$AJ$1000,0)),"")</f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499"/>
      <c r="AF573" s="500"/>
      <c r="AG573" s="500"/>
      <c r="AH573" s="501"/>
      <c r="AJ573" s="229" t="str">
        <f>IF(OR(A573="",AND(ISNUMBER(FIND("[", A573)), ISNUMBER(FIND("ALL", A573)), ISNUMBER(FIND("]", A573)))),"",MAX(AJ$3:AJ572)+1)</f>
        <v/>
      </c>
      <c r="AK573" s="229" t="str">
        <f>IFERROR(INDEX($A$4:$A$1000,MATCH(ROW()-ROW($AK$3),$AJ$4:$AJ$1000,0)),"")</f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499"/>
      <c r="AF574" s="500"/>
      <c r="AG574" s="500"/>
      <c r="AH574" s="501"/>
      <c r="AJ574" s="229" t="str">
        <f>IF(OR(A574="",AND(ISNUMBER(FIND("[", A574)), ISNUMBER(FIND("ALL", A574)), ISNUMBER(FIND("]", A574)))),"",MAX(AJ$3:AJ573)+1)</f>
        <v/>
      </c>
      <c r="AK574" s="229" t="str">
        <f>IFERROR(INDEX($A$4:$A$1000,MATCH(ROW()-ROW($AK$3),$AJ$4:$AJ$1000,0)),"")</f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499"/>
      <c r="AF575" s="500"/>
      <c r="AG575" s="500"/>
      <c r="AH575" s="501"/>
      <c r="AJ575" s="229" t="str">
        <f>IF(OR(A575="",AND(ISNUMBER(FIND("[", A575)), ISNUMBER(FIND("ALL", A575)), ISNUMBER(FIND("]", A575)))),"",MAX(AJ$3:AJ574)+1)</f>
        <v/>
      </c>
      <c r="AK575" s="229" t="str">
        <f>IFERROR(INDEX($A$4:$A$1000,MATCH(ROW()-ROW($AK$3),$AJ$4:$AJ$1000,0)),"")</f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499"/>
      <c r="AF576" s="500"/>
      <c r="AG576" s="500"/>
      <c r="AH576" s="501"/>
      <c r="AJ576" s="229" t="str">
        <f>IF(OR(A576="",AND(ISNUMBER(FIND("[", A576)), ISNUMBER(FIND("ALL", A576)), ISNUMBER(FIND("]", A576)))),"",MAX(AJ$3:AJ575)+1)</f>
        <v/>
      </c>
      <c r="AK576" s="229" t="str">
        <f>IFERROR(INDEX($A$4:$A$1000,MATCH(ROW()-ROW($AK$3),$AJ$4:$AJ$1000,0)),"")</f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499"/>
      <c r="AF577" s="500"/>
      <c r="AG577" s="500"/>
      <c r="AH577" s="501"/>
      <c r="AJ577" s="229" t="str">
        <f>IF(OR(A577="",AND(ISNUMBER(FIND("[", A577)), ISNUMBER(FIND("ALL", A577)), ISNUMBER(FIND("]", A577)))),"",MAX(AJ$3:AJ576)+1)</f>
        <v/>
      </c>
      <c r="AK577" s="229" t="str">
        <f>IFERROR(INDEX($A$4:$A$1000,MATCH(ROW()-ROW($AK$3),$AJ$4:$AJ$1000,0)),"")</f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499"/>
      <c r="AF578" s="500"/>
      <c r="AG578" s="500"/>
      <c r="AH578" s="501"/>
      <c r="AJ578" s="229" t="str">
        <f>IF(OR(A578="",AND(ISNUMBER(FIND("[", A578)), ISNUMBER(FIND("ALL", A578)), ISNUMBER(FIND("]", A578)))),"",MAX(AJ$3:AJ577)+1)</f>
        <v/>
      </c>
      <c r="AK578" s="229" t="str">
        <f>IFERROR(INDEX($A$4:$A$1000,MATCH(ROW()-ROW($AK$3),$AJ$4:$AJ$1000,0)),"")</f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499"/>
      <c r="AF579" s="500"/>
      <c r="AG579" s="500"/>
      <c r="AH579" s="501"/>
      <c r="AJ579" s="229" t="str">
        <f>IF(OR(A579="",AND(ISNUMBER(FIND("[", A579)), ISNUMBER(FIND("ALL", A579)), ISNUMBER(FIND("]", A579)))),"",MAX(AJ$3:AJ578)+1)</f>
        <v/>
      </c>
      <c r="AK579" s="229" t="str">
        <f>IFERROR(INDEX($A$4:$A$1000,MATCH(ROW()-ROW($AK$3),$AJ$4:$AJ$1000,0)),"")</f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499"/>
      <c r="AF580" s="500"/>
      <c r="AG580" s="500"/>
      <c r="AH580" s="501"/>
      <c r="AJ580" s="229" t="str">
        <f>IF(OR(A580="",AND(ISNUMBER(FIND("[", A580)), ISNUMBER(FIND("ALL", A580)), ISNUMBER(FIND("]", A580)))),"",MAX(AJ$3:AJ579)+1)</f>
        <v/>
      </c>
      <c r="AK580" s="229" t="str">
        <f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499"/>
      <c r="AF581" s="500"/>
      <c r="AG581" s="500"/>
      <c r="AH581" s="501"/>
      <c r="AJ581" s="229" t="str">
        <f>IF(OR(A581="",AND(ISNUMBER(FIND("[", A581)), ISNUMBER(FIND("ALL", A581)), ISNUMBER(FIND("]", A581)))),"",MAX(AJ$3:AJ580)+1)</f>
        <v/>
      </c>
      <c r="AK581" s="229" t="str">
        <f>IFERROR(INDEX($A$4:$A$1000,MATCH(ROW()-ROW($AK$3),$AJ$4:$AJ$1000,0)),"")</f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499"/>
      <c r="AF582" s="500"/>
      <c r="AG582" s="500"/>
      <c r="AH582" s="501"/>
      <c r="AJ582" s="229" t="str">
        <f>IF(OR(A582="",AND(ISNUMBER(FIND("[", A582)), ISNUMBER(FIND("ALL", A582)), ISNUMBER(FIND("]", A582)))),"",MAX(AJ$3:AJ581)+1)</f>
        <v/>
      </c>
      <c r="AK582" s="229" t="str">
        <f>IFERROR(INDEX($A$4:$A$1000,MATCH(ROW()-ROW($AK$3),$AJ$4:$AJ$1000,0)),"")</f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499"/>
      <c r="AF583" s="500"/>
      <c r="AG583" s="500"/>
      <c r="AH583" s="501"/>
      <c r="AJ583" s="229" t="str">
        <f>IF(OR(A583="",AND(ISNUMBER(FIND("[", A583)), ISNUMBER(FIND("ALL", A583)), ISNUMBER(FIND("]", A583)))),"",MAX(AJ$3:AJ582)+1)</f>
        <v/>
      </c>
      <c r="AK583" s="229" t="str">
        <f>IFERROR(INDEX($A$4:$A$1000,MATCH(ROW()-ROW($AK$3),$AJ$4:$AJ$1000,0)),"")</f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499"/>
      <c r="AF584" s="500"/>
      <c r="AG584" s="500"/>
      <c r="AH584" s="501"/>
      <c r="AJ584" s="229" t="str">
        <f>IF(OR(A584="",AND(ISNUMBER(FIND("[", A584)), ISNUMBER(FIND("ALL", A584)), ISNUMBER(FIND("]", A584)))),"",MAX(AJ$3:AJ583)+1)</f>
        <v/>
      </c>
      <c r="AK584" s="229" t="str">
        <f>IFERROR(INDEX($A$4:$A$1000,MATCH(ROW()-ROW($AK$3),$AJ$4:$AJ$1000,0)),"")</f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499"/>
      <c r="AF585" s="500"/>
      <c r="AG585" s="500"/>
      <c r="AH585" s="501"/>
      <c r="AJ585" s="229" t="str">
        <f>IF(OR(A585="",AND(ISNUMBER(FIND("[", A585)), ISNUMBER(FIND("ALL", A585)), ISNUMBER(FIND("]", A585)))),"",MAX(AJ$3:AJ584)+1)</f>
        <v/>
      </c>
      <c r="AK585" s="229" t="str">
        <f>IFERROR(INDEX($A$4:$A$1000,MATCH(ROW()-ROW($AK$3),$AJ$4:$AJ$1000,0)),"")</f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499"/>
      <c r="AF586" s="500"/>
      <c r="AG586" s="500"/>
      <c r="AH586" s="501"/>
      <c r="AJ586" s="229" t="str">
        <f>IF(OR(A586="",AND(ISNUMBER(FIND("[", A586)), ISNUMBER(FIND("ALL", A586)), ISNUMBER(FIND("]", A586)))),"",MAX(AJ$3:AJ585)+1)</f>
        <v/>
      </c>
      <c r="AK586" s="229" t="str">
        <f>IFERROR(INDEX($A$4:$A$1000,MATCH(ROW()-ROW($AK$3),$AJ$4:$AJ$1000,0)),"")</f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499"/>
      <c r="AF587" s="500"/>
      <c r="AG587" s="500"/>
      <c r="AH587" s="501"/>
      <c r="AJ587" s="229" t="str">
        <f>IF(OR(A587="",AND(ISNUMBER(FIND("[", A587)), ISNUMBER(FIND("ALL", A587)), ISNUMBER(FIND("]", A587)))),"",MAX(AJ$3:AJ586)+1)</f>
        <v/>
      </c>
      <c r="AK587" s="229" t="str">
        <f>IFERROR(INDEX($A$4:$A$1000,MATCH(ROW()-ROW($AK$3),$AJ$4:$AJ$1000,0)),"")</f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499"/>
      <c r="AF588" s="500"/>
      <c r="AG588" s="500"/>
      <c r="AH588" s="501"/>
      <c r="AJ588" s="229" t="str">
        <f>IF(OR(A588="",AND(ISNUMBER(FIND("[", A588)), ISNUMBER(FIND("ALL", A588)), ISNUMBER(FIND("]", A588)))),"",MAX(AJ$3:AJ587)+1)</f>
        <v/>
      </c>
      <c r="AK588" s="229" t="str">
        <f>IFERROR(INDEX($A$4:$A$1000,MATCH(ROW()-ROW($AK$3),$AJ$4:$AJ$1000,0)),"")</f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499"/>
      <c r="AF589" s="500"/>
      <c r="AG589" s="500"/>
      <c r="AH589" s="501"/>
      <c r="AJ589" s="229" t="str">
        <f>IF(OR(A589="",AND(ISNUMBER(FIND("[", A589)), ISNUMBER(FIND("ALL", A589)), ISNUMBER(FIND("]", A589)))),"",MAX(AJ$3:AJ588)+1)</f>
        <v/>
      </c>
      <c r="AK589" s="229" t="str">
        <f>IFERROR(INDEX($A$4:$A$1000,MATCH(ROW()-ROW($AK$3),$AJ$4:$AJ$1000,0)),"")</f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499"/>
      <c r="AF590" s="500"/>
      <c r="AG590" s="500"/>
      <c r="AH590" s="501"/>
      <c r="AJ590" s="229" t="str">
        <f>IF(OR(A590="",AND(ISNUMBER(FIND("[", A590)), ISNUMBER(FIND("ALL", A590)), ISNUMBER(FIND("]", A590)))),"",MAX(AJ$3:AJ589)+1)</f>
        <v/>
      </c>
      <c r="AK590" s="229" t="str">
        <f>IFERROR(INDEX($A$4:$A$1000,MATCH(ROW()-ROW($AK$3),$AJ$4:$AJ$1000,0)),"")</f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499"/>
      <c r="AF591" s="500"/>
      <c r="AG591" s="500"/>
      <c r="AH591" s="501"/>
      <c r="AJ591" s="229" t="str">
        <f>IF(OR(A591="",AND(ISNUMBER(FIND("[", A591)), ISNUMBER(FIND("ALL", A591)), ISNUMBER(FIND("]", A591)))),"",MAX(AJ$3:AJ590)+1)</f>
        <v/>
      </c>
      <c r="AK591" s="229" t="str">
        <f>IFERROR(INDEX($A$4:$A$1000,MATCH(ROW()-ROW($AK$3),$AJ$4:$AJ$1000,0)),"")</f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499"/>
      <c r="AF592" s="500"/>
      <c r="AG592" s="500"/>
      <c r="AH592" s="501"/>
      <c r="AJ592" s="229" t="str">
        <f>IF(OR(A592="",AND(ISNUMBER(FIND("[", A592)), ISNUMBER(FIND("ALL", A592)), ISNUMBER(FIND("]", A592)))),"",MAX(AJ$3:AJ591)+1)</f>
        <v/>
      </c>
      <c r="AK592" s="229" t="str">
        <f>IFERROR(INDEX($A$4:$A$1000,MATCH(ROW()-ROW($AK$3),$AJ$4:$AJ$1000,0)),"")</f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499"/>
      <c r="AF593" s="500"/>
      <c r="AG593" s="500"/>
      <c r="AH593" s="501"/>
      <c r="AJ593" s="229" t="str">
        <f>IF(OR(A593="",AND(ISNUMBER(FIND("[", A593)), ISNUMBER(FIND("ALL", A593)), ISNUMBER(FIND("]", A593)))),"",MAX(AJ$3:AJ592)+1)</f>
        <v/>
      </c>
      <c r="AK593" s="229" t="str">
        <f>IFERROR(INDEX($A$4:$A$1000,MATCH(ROW()-ROW($AK$3),$AJ$4:$AJ$1000,0)),"")</f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499"/>
      <c r="AF594" s="500"/>
      <c r="AG594" s="500"/>
      <c r="AH594" s="501"/>
      <c r="AJ594" s="229" t="str">
        <f>IF(OR(A594="",AND(ISNUMBER(FIND("[", A594)), ISNUMBER(FIND("ALL", A594)), ISNUMBER(FIND("]", A594)))),"",MAX(AJ$3:AJ593)+1)</f>
        <v/>
      </c>
      <c r="AK594" s="229" t="str">
        <f>IFERROR(INDEX($A$4:$A$1000,MATCH(ROW()-ROW($AK$3),$AJ$4:$AJ$1000,0)),"")</f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499"/>
      <c r="AF595" s="500"/>
      <c r="AG595" s="500"/>
      <c r="AH595" s="501"/>
      <c r="AJ595" s="229" t="str">
        <f>IF(OR(A595="",AND(ISNUMBER(FIND("[", A595)), ISNUMBER(FIND("ALL", A595)), ISNUMBER(FIND("]", A595)))),"",MAX(AJ$3:AJ594)+1)</f>
        <v/>
      </c>
      <c r="AK595" s="229" t="str">
        <f>IFERROR(INDEX($A$4:$A$1000,MATCH(ROW()-ROW($AK$3),$AJ$4:$AJ$1000,0)),"")</f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499"/>
      <c r="AF596" s="500"/>
      <c r="AG596" s="500"/>
      <c r="AH596" s="501"/>
      <c r="AJ596" s="229" t="str">
        <f>IF(OR(A596="",AND(ISNUMBER(FIND("[", A596)), ISNUMBER(FIND("ALL", A596)), ISNUMBER(FIND("]", A596)))),"",MAX(AJ$3:AJ595)+1)</f>
        <v/>
      </c>
      <c r="AK596" s="229" t="str">
        <f>IFERROR(INDEX($A$4:$A$1000,MATCH(ROW()-ROW($AK$3),$AJ$4:$AJ$1000,0)),"")</f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499"/>
      <c r="AF597" s="500"/>
      <c r="AG597" s="500"/>
      <c r="AH597" s="501"/>
      <c r="AJ597" s="229" t="str">
        <f>IF(OR(A597="",AND(ISNUMBER(FIND("[", A597)), ISNUMBER(FIND("ALL", A597)), ISNUMBER(FIND("]", A597)))),"",MAX(AJ$3:AJ596)+1)</f>
        <v/>
      </c>
      <c r="AK597" s="229" t="str">
        <f>IFERROR(INDEX($A$4:$A$1000,MATCH(ROW()-ROW($AK$3),$AJ$4:$AJ$1000,0)),"")</f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499"/>
      <c r="AF598" s="500"/>
      <c r="AG598" s="500"/>
      <c r="AH598" s="501"/>
      <c r="AJ598" s="229" t="str">
        <f>IF(OR(A598="",AND(ISNUMBER(FIND("[", A598)), ISNUMBER(FIND("ALL", A598)), ISNUMBER(FIND("]", A598)))),"",MAX(AJ$3:AJ597)+1)</f>
        <v/>
      </c>
      <c r="AK598" s="229" t="str">
        <f>IFERROR(INDEX($A$4:$A$1000,MATCH(ROW()-ROW($AK$3),$AJ$4:$AJ$1000,0)),"")</f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499"/>
      <c r="AF599" s="500"/>
      <c r="AG599" s="500"/>
      <c r="AH599" s="501"/>
      <c r="AJ599" s="229" t="str">
        <f>IF(OR(A599="",AND(ISNUMBER(FIND("[", A599)), ISNUMBER(FIND("ALL", A599)), ISNUMBER(FIND("]", A599)))),"",MAX(AJ$3:AJ598)+1)</f>
        <v/>
      </c>
      <c r="AK599" s="229" t="str">
        <f>IFERROR(INDEX($A$4:$A$1000,MATCH(ROW()-ROW($AK$3),$AJ$4:$AJ$1000,0)),"")</f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499"/>
      <c r="AF600" s="500"/>
      <c r="AG600" s="500"/>
      <c r="AH600" s="501"/>
      <c r="AJ600" s="229" t="str">
        <f>IF(OR(A600="",AND(ISNUMBER(FIND("[", A600)), ISNUMBER(FIND("ALL", A600)), ISNUMBER(FIND("]", A600)))),"",MAX(AJ$3:AJ599)+1)</f>
        <v/>
      </c>
      <c r="AK600" s="229" t="str">
        <f>IFERROR(INDEX($A$4:$A$1000,MATCH(ROW()-ROW($AK$3),$AJ$4:$AJ$1000,0)),"")</f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499"/>
      <c r="AF601" s="500"/>
      <c r="AG601" s="500"/>
      <c r="AH601" s="501"/>
      <c r="AJ601" s="229" t="str">
        <f>IF(OR(A601="",AND(ISNUMBER(FIND("[", A601)), ISNUMBER(FIND("ALL", A601)), ISNUMBER(FIND("]", A601)))),"",MAX(AJ$3:AJ600)+1)</f>
        <v/>
      </c>
      <c r="AK601" s="229" t="str">
        <f>IFERROR(INDEX($A$4:$A$1000,MATCH(ROW()-ROW($AK$3),$AJ$4:$AJ$1000,0)),"")</f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499"/>
      <c r="AF602" s="500"/>
      <c r="AG602" s="500"/>
      <c r="AH602" s="501"/>
      <c r="AJ602" s="229" t="str">
        <f>IF(OR(A602="",AND(ISNUMBER(FIND("[", A602)), ISNUMBER(FIND("ALL", A602)), ISNUMBER(FIND("]", A602)))),"",MAX(AJ$3:AJ601)+1)</f>
        <v/>
      </c>
      <c r="AK602" s="229" t="str">
        <f>IFERROR(INDEX($A$4:$A$1000,MATCH(ROW()-ROW($AK$3),$AJ$4:$AJ$1000,0)),"")</f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499"/>
      <c r="AF603" s="500"/>
      <c r="AG603" s="500"/>
      <c r="AH603" s="501"/>
      <c r="AJ603" s="229" t="str">
        <f>IF(OR(A603="",AND(ISNUMBER(FIND("[", A603)), ISNUMBER(FIND("ALL", A603)), ISNUMBER(FIND("]", A603)))),"",MAX(AJ$3:AJ602)+1)</f>
        <v/>
      </c>
      <c r="AK603" s="229" t="str">
        <f>IFERROR(INDEX($A$4:$A$1000,MATCH(ROW()-ROW($AK$3),$AJ$4:$AJ$1000,0)),"")</f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499"/>
      <c r="AF604" s="500"/>
      <c r="AG604" s="500"/>
      <c r="AH604" s="501"/>
      <c r="AJ604" s="229" t="str">
        <f>IF(OR(A604="",AND(ISNUMBER(FIND("[", A604)), ISNUMBER(FIND("ALL", A604)), ISNUMBER(FIND("]", A604)))),"",MAX(AJ$3:AJ603)+1)</f>
        <v/>
      </c>
      <c r="AK604" s="229" t="str">
        <f>IFERROR(INDEX($A$4:$A$1000,MATCH(ROW()-ROW($AK$3),$AJ$4:$AJ$1000,0)),"")</f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499"/>
      <c r="AF605" s="500"/>
      <c r="AG605" s="500"/>
      <c r="AH605" s="501"/>
      <c r="AJ605" s="229" t="str">
        <f>IF(OR(A605="",AND(ISNUMBER(FIND("[", A605)), ISNUMBER(FIND("ALL", A605)), ISNUMBER(FIND("]", A605)))),"",MAX(AJ$3:AJ604)+1)</f>
        <v/>
      </c>
      <c r="AK605" s="229" t="str">
        <f>IFERROR(INDEX($A$4:$A$1000,MATCH(ROW()-ROW($AK$3),$AJ$4:$AJ$1000,0)),"")</f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499"/>
      <c r="AF606" s="500"/>
      <c r="AG606" s="500"/>
      <c r="AH606" s="501"/>
      <c r="AJ606" s="229" t="str">
        <f>IF(OR(A606="",AND(ISNUMBER(FIND("[", A606)), ISNUMBER(FIND("ALL", A606)), ISNUMBER(FIND("]", A606)))),"",MAX(AJ$3:AJ605)+1)</f>
        <v/>
      </c>
      <c r="AK606" s="229" t="str">
        <f>IFERROR(INDEX($A$4:$A$1000,MATCH(ROW()-ROW($AK$3),$AJ$4:$AJ$1000,0)),"")</f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499"/>
      <c r="AF607" s="500"/>
      <c r="AG607" s="500"/>
      <c r="AH607" s="501"/>
      <c r="AJ607" s="229" t="str">
        <f>IF(OR(A607="",AND(ISNUMBER(FIND("[", A607)), ISNUMBER(FIND("ALL", A607)), ISNUMBER(FIND("]", A607)))),"",MAX(AJ$3:AJ606)+1)</f>
        <v/>
      </c>
      <c r="AK607" s="229" t="str">
        <f>IFERROR(INDEX($A$4:$A$1000,MATCH(ROW()-ROW($AK$3),$AJ$4:$AJ$1000,0)),"")</f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499"/>
      <c r="AF608" s="500"/>
      <c r="AG608" s="500"/>
      <c r="AH608" s="501"/>
      <c r="AJ608" s="229" t="str">
        <f>IF(OR(A608="",AND(ISNUMBER(FIND("[", A608)), ISNUMBER(FIND("ALL", A608)), ISNUMBER(FIND("]", A608)))),"",MAX(AJ$3:AJ607)+1)</f>
        <v/>
      </c>
      <c r="AK608" s="229" t="str">
        <f>IFERROR(INDEX($A$4:$A$1000,MATCH(ROW()-ROW($AK$3),$AJ$4:$AJ$1000,0)),"")</f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499"/>
      <c r="AF609" s="500"/>
      <c r="AG609" s="500"/>
      <c r="AH609" s="501"/>
      <c r="AJ609" s="229" t="str">
        <f>IF(OR(A609="",AND(ISNUMBER(FIND("[", A609)), ISNUMBER(FIND("ALL", A609)), ISNUMBER(FIND("]", A609)))),"",MAX(AJ$3:AJ608)+1)</f>
        <v/>
      </c>
      <c r="AK609" s="229" t="str">
        <f>IFERROR(INDEX($A$4:$A$1000,MATCH(ROW()-ROW($AK$3),$AJ$4:$AJ$1000,0)),"")</f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499"/>
      <c r="AF610" s="500"/>
      <c r="AG610" s="500"/>
      <c r="AH610" s="501"/>
      <c r="AJ610" s="229" t="str">
        <f>IF(OR(A610="",AND(ISNUMBER(FIND("[", A610)), ISNUMBER(FIND("ALL", A610)), ISNUMBER(FIND("]", A610)))),"",MAX(AJ$3:AJ609)+1)</f>
        <v/>
      </c>
      <c r="AK610" s="229" t="str">
        <f>IFERROR(INDEX($A$4:$A$1000,MATCH(ROW()-ROW($AK$3),$AJ$4:$AJ$1000,0)),"")</f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499"/>
      <c r="AF611" s="500"/>
      <c r="AG611" s="500"/>
      <c r="AH611" s="501"/>
      <c r="AJ611" s="229" t="str">
        <f>IF(OR(A611="",AND(ISNUMBER(FIND("[", A611)), ISNUMBER(FIND("ALL", A611)), ISNUMBER(FIND("]", A611)))),"",MAX(AJ$3:AJ610)+1)</f>
        <v/>
      </c>
      <c r="AK611" s="229" t="str">
        <f>IFERROR(INDEX($A$4:$A$1000,MATCH(ROW()-ROW($AK$3),$AJ$4:$AJ$1000,0)),"")</f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499"/>
      <c r="AF612" s="500"/>
      <c r="AG612" s="500"/>
      <c r="AH612" s="501"/>
      <c r="AJ612" s="229" t="str">
        <f>IF(OR(A612="",AND(ISNUMBER(FIND("[", A612)), ISNUMBER(FIND("ALL", A612)), ISNUMBER(FIND("]", A612)))),"",MAX(AJ$3:AJ611)+1)</f>
        <v/>
      </c>
      <c r="AK612" s="229" t="str">
        <f>IFERROR(INDEX($A$4:$A$1000,MATCH(ROW()-ROW($AK$3),$AJ$4:$AJ$1000,0)),"")</f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499"/>
      <c r="AF613" s="500"/>
      <c r="AG613" s="500"/>
      <c r="AH613" s="501"/>
      <c r="AJ613" s="229" t="str">
        <f>IF(OR(A613="",AND(ISNUMBER(FIND("[", A613)), ISNUMBER(FIND("ALL", A613)), ISNUMBER(FIND("]", A613)))),"",MAX(AJ$3:AJ612)+1)</f>
        <v/>
      </c>
      <c r="AK613" s="229" t="str">
        <f>IFERROR(INDEX($A$4:$A$1000,MATCH(ROW()-ROW($AK$3),$AJ$4:$AJ$1000,0)),"")</f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499"/>
      <c r="AF614" s="500"/>
      <c r="AG614" s="500"/>
      <c r="AH614" s="501"/>
      <c r="AJ614" s="229" t="str">
        <f>IF(OR(A614="",AND(ISNUMBER(FIND("[", A614)), ISNUMBER(FIND("ALL", A614)), ISNUMBER(FIND("]", A614)))),"",MAX(AJ$3:AJ613)+1)</f>
        <v/>
      </c>
      <c r="AK614" s="229" t="str">
        <f>IFERROR(INDEX($A$4:$A$1000,MATCH(ROW()-ROW($AK$3),$AJ$4:$AJ$1000,0)),"")</f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499"/>
      <c r="AF615" s="500"/>
      <c r="AG615" s="500"/>
      <c r="AH615" s="501"/>
      <c r="AJ615" s="229" t="str">
        <f>IF(OR(A615="",AND(ISNUMBER(FIND("[", A615)), ISNUMBER(FIND("ALL", A615)), ISNUMBER(FIND("]", A615)))),"",MAX(AJ$3:AJ614)+1)</f>
        <v/>
      </c>
      <c r="AK615" s="229" t="str">
        <f>IFERROR(INDEX($A$4:$A$1000,MATCH(ROW()-ROW($AK$3),$AJ$4:$AJ$1000,0)),"")</f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499"/>
      <c r="AF616" s="500"/>
      <c r="AG616" s="500"/>
      <c r="AH616" s="501"/>
      <c r="AJ616" s="229" t="str">
        <f>IF(OR(A616="",AND(ISNUMBER(FIND("[", A616)), ISNUMBER(FIND("ALL", A616)), ISNUMBER(FIND("]", A616)))),"",MAX(AJ$3:AJ615)+1)</f>
        <v/>
      </c>
      <c r="AK616" s="229" t="str">
        <f>IFERROR(INDEX($A$4:$A$1000,MATCH(ROW()-ROW($AK$3),$AJ$4:$AJ$1000,0)),"")</f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499"/>
      <c r="AF617" s="500"/>
      <c r="AG617" s="500"/>
      <c r="AH617" s="501"/>
      <c r="AJ617" s="229" t="str">
        <f>IF(OR(A617="",AND(ISNUMBER(FIND("[", A617)), ISNUMBER(FIND("ALL", A617)), ISNUMBER(FIND("]", A617)))),"",MAX(AJ$3:AJ616)+1)</f>
        <v/>
      </c>
      <c r="AK617" s="229" t="str">
        <f>IFERROR(INDEX($A$4:$A$1000,MATCH(ROW()-ROW($AK$3),$AJ$4:$AJ$1000,0)),"")</f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499"/>
      <c r="AF618" s="500"/>
      <c r="AG618" s="500"/>
      <c r="AH618" s="501"/>
      <c r="AJ618" s="229" t="str">
        <f>IF(OR(A618="",AND(ISNUMBER(FIND("[", A618)), ISNUMBER(FIND("ALL", A618)), ISNUMBER(FIND("]", A618)))),"",MAX(AJ$3:AJ617)+1)</f>
        <v/>
      </c>
      <c r="AK618" s="229" t="str">
        <f>IFERROR(INDEX($A$4:$A$1000,MATCH(ROW()-ROW($AK$3),$AJ$4:$AJ$1000,0)),"")</f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499"/>
      <c r="AF619" s="500"/>
      <c r="AG619" s="500"/>
      <c r="AH619" s="501"/>
      <c r="AJ619" s="229" t="str">
        <f>IF(OR(A619="",AND(ISNUMBER(FIND("[", A619)), ISNUMBER(FIND("ALL", A619)), ISNUMBER(FIND("]", A619)))),"",MAX(AJ$3:AJ618)+1)</f>
        <v/>
      </c>
      <c r="AK619" s="229" t="str">
        <f>IFERROR(INDEX($A$4:$A$1000,MATCH(ROW()-ROW($AK$3),$AJ$4:$AJ$1000,0)),"")</f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499"/>
      <c r="AF620" s="500"/>
      <c r="AG620" s="500"/>
      <c r="AH620" s="501"/>
      <c r="AJ620" s="229" t="str">
        <f>IF(OR(A620="",AND(ISNUMBER(FIND("[", A620)), ISNUMBER(FIND("ALL", A620)), ISNUMBER(FIND("]", A620)))),"",MAX(AJ$3:AJ619)+1)</f>
        <v/>
      </c>
      <c r="AK620" s="229" t="str">
        <f>IFERROR(INDEX($A$4:$A$1000,MATCH(ROW()-ROW($AK$3),$AJ$4:$AJ$1000,0)),"")</f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499"/>
      <c r="AF621" s="500"/>
      <c r="AG621" s="500"/>
      <c r="AH621" s="501"/>
      <c r="AJ621" s="229" t="str">
        <f>IF(OR(A621="",AND(ISNUMBER(FIND("[", A621)), ISNUMBER(FIND("ALL", A621)), ISNUMBER(FIND("]", A621)))),"",MAX(AJ$3:AJ620)+1)</f>
        <v/>
      </c>
      <c r="AK621" s="229" t="str">
        <f>IFERROR(INDEX($A$4:$A$1000,MATCH(ROW()-ROW($AK$3),$AJ$4:$AJ$1000,0)),"")</f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499"/>
      <c r="AF622" s="500"/>
      <c r="AG622" s="500"/>
      <c r="AH622" s="501"/>
      <c r="AJ622" s="229" t="str">
        <f>IF(OR(A622="",AND(ISNUMBER(FIND("[", A622)), ISNUMBER(FIND("ALL", A622)), ISNUMBER(FIND("]", A622)))),"",MAX(AJ$3:AJ621)+1)</f>
        <v/>
      </c>
      <c r="AK622" s="229" t="str">
        <f>IFERROR(INDEX($A$4:$A$1000,MATCH(ROW()-ROW($AK$3),$AJ$4:$AJ$1000,0)),"")</f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499"/>
      <c r="AF623" s="500"/>
      <c r="AG623" s="500"/>
      <c r="AH623" s="501"/>
      <c r="AJ623" s="229" t="str">
        <f>IF(OR(A623="",AND(ISNUMBER(FIND("[", A623)), ISNUMBER(FIND("ALL", A623)), ISNUMBER(FIND("]", A623)))),"",MAX(AJ$3:AJ622)+1)</f>
        <v/>
      </c>
      <c r="AK623" s="229" t="str">
        <f>IFERROR(INDEX($A$4:$A$1000,MATCH(ROW()-ROW($AK$3),$AJ$4:$AJ$1000,0)),"")</f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499"/>
      <c r="AF624" s="500"/>
      <c r="AG624" s="500"/>
      <c r="AH624" s="501"/>
      <c r="AJ624" s="229" t="str">
        <f>IF(OR(A624="",AND(ISNUMBER(FIND("[", A624)), ISNUMBER(FIND("ALL", A624)), ISNUMBER(FIND("]", A624)))),"",MAX(AJ$3:AJ623)+1)</f>
        <v/>
      </c>
      <c r="AK624" s="229" t="str">
        <f>IFERROR(INDEX($A$4:$A$1000,MATCH(ROW()-ROW($AK$3),$AJ$4:$AJ$1000,0)),"")</f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499"/>
      <c r="AF625" s="500"/>
      <c r="AG625" s="500"/>
      <c r="AH625" s="501"/>
      <c r="AJ625" s="229" t="str">
        <f>IF(OR(A625="",AND(ISNUMBER(FIND("[", A625)), ISNUMBER(FIND("ALL", A625)), ISNUMBER(FIND("]", A625)))),"",MAX(AJ$3:AJ624)+1)</f>
        <v/>
      </c>
      <c r="AK625" s="229" t="str">
        <f>IFERROR(INDEX($A$4:$A$1000,MATCH(ROW()-ROW($AK$3),$AJ$4:$AJ$1000,0)),"")</f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499"/>
      <c r="AF626" s="500"/>
      <c r="AG626" s="500"/>
      <c r="AH626" s="501"/>
      <c r="AJ626" s="229" t="str">
        <f>IF(OR(A626="",AND(ISNUMBER(FIND("[", A626)), ISNUMBER(FIND("ALL", A626)), ISNUMBER(FIND("]", A626)))),"",MAX(AJ$3:AJ625)+1)</f>
        <v/>
      </c>
      <c r="AK626" s="229" t="str">
        <f>IFERROR(INDEX($A$4:$A$1000,MATCH(ROW()-ROW($AK$3),$AJ$4:$AJ$1000,0)),"")</f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499"/>
      <c r="AF627" s="500"/>
      <c r="AG627" s="500"/>
      <c r="AH627" s="501"/>
      <c r="AJ627" s="229" t="str">
        <f>IF(OR(A627="",AND(ISNUMBER(FIND("[", A627)), ISNUMBER(FIND("ALL", A627)), ISNUMBER(FIND("]", A627)))),"",MAX(AJ$3:AJ626)+1)</f>
        <v/>
      </c>
      <c r="AK627" s="229" t="str">
        <f>IFERROR(INDEX($A$4:$A$1000,MATCH(ROW()-ROW($AK$3),$AJ$4:$AJ$1000,0)),"")</f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499"/>
      <c r="AF628" s="500"/>
      <c r="AG628" s="500"/>
      <c r="AH628" s="501"/>
      <c r="AJ628" s="229" t="str">
        <f>IF(OR(A628="",AND(ISNUMBER(FIND("[", A628)), ISNUMBER(FIND("ALL", A628)), ISNUMBER(FIND("]", A628)))),"",MAX(AJ$3:AJ627)+1)</f>
        <v/>
      </c>
      <c r="AK628" s="229" t="str">
        <f>IFERROR(INDEX($A$4:$A$1000,MATCH(ROW()-ROW($AK$3),$AJ$4:$AJ$1000,0)),"")</f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499"/>
      <c r="AF629" s="500"/>
      <c r="AG629" s="500"/>
      <c r="AH629" s="501"/>
      <c r="AJ629" s="229" t="str">
        <f>IF(OR(A629="",AND(ISNUMBER(FIND("[", A629)), ISNUMBER(FIND("ALL", A629)), ISNUMBER(FIND("]", A629)))),"",MAX(AJ$3:AJ628)+1)</f>
        <v/>
      </c>
      <c r="AK629" s="229" t="str">
        <f>IFERROR(INDEX($A$4:$A$1000,MATCH(ROW()-ROW($AK$3),$AJ$4:$AJ$1000,0)),"")</f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499"/>
      <c r="AF630" s="500"/>
      <c r="AG630" s="500"/>
      <c r="AH630" s="501"/>
      <c r="AJ630" s="229" t="str">
        <f>IF(OR(A630="",AND(ISNUMBER(FIND("[", A630)), ISNUMBER(FIND("ALL", A630)), ISNUMBER(FIND("]", A630)))),"",MAX(AJ$3:AJ629)+1)</f>
        <v/>
      </c>
      <c r="AK630" s="229" t="str">
        <f>IFERROR(INDEX($A$4:$A$1000,MATCH(ROW()-ROW($AK$3),$AJ$4:$AJ$1000,0)),"")</f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499"/>
      <c r="AF631" s="500"/>
      <c r="AG631" s="500"/>
      <c r="AH631" s="501"/>
      <c r="AJ631" s="229" t="str">
        <f>IF(OR(A631="",AND(ISNUMBER(FIND("[", A631)), ISNUMBER(FIND("ALL", A631)), ISNUMBER(FIND("]", A631)))),"",MAX(AJ$3:AJ630)+1)</f>
        <v/>
      </c>
      <c r="AK631" s="229" t="str">
        <f>IFERROR(INDEX($A$4:$A$1000,MATCH(ROW()-ROW($AK$3),$AJ$4:$AJ$1000,0)),"")</f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499"/>
      <c r="AF632" s="500"/>
      <c r="AG632" s="500"/>
      <c r="AH632" s="501"/>
      <c r="AJ632" s="229" t="str">
        <f>IF(OR(A632="",AND(ISNUMBER(FIND("[", A632)), ISNUMBER(FIND("ALL", A632)), ISNUMBER(FIND("]", A632)))),"",MAX(AJ$3:AJ631)+1)</f>
        <v/>
      </c>
      <c r="AK632" s="229" t="str">
        <f>IFERROR(INDEX($A$4:$A$1000,MATCH(ROW()-ROW($AK$3),$AJ$4:$AJ$1000,0)),"")</f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499"/>
      <c r="AF633" s="500"/>
      <c r="AG633" s="500"/>
      <c r="AH633" s="501"/>
      <c r="AJ633" s="229" t="str">
        <f>IF(OR(A633="",AND(ISNUMBER(FIND("[", A633)), ISNUMBER(FIND("ALL", A633)), ISNUMBER(FIND("]", A633)))),"",MAX(AJ$3:AJ632)+1)</f>
        <v/>
      </c>
      <c r="AK633" s="229" t="str">
        <f>IFERROR(INDEX($A$4:$A$1000,MATCH(ROW()-ROW($AK$3),$AJ$4:$AJ$1000,0)),"")</f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499"/>
      <c r="AF634" s="500"/>
      <c r="AG634" s="500"/>
      <c r="AH634" s="501"/>
      <c r="AJ634" s="229" t="str">
        <f>IF(OR(A634="",AND(ISNUMBER(FIND("[", A634)), ISNUMBER(FIND("ALL", A634)), ISNUMBER(FIND("]", A634)))),"",MAX(AJ$3:AJ633)+1)</f>
        <v/>
      </c>
      <c r="AK634" s="229" t="str">
        <f>IFERROR(INDEX($A$4:$A$1000,MATCH(ROW()-ROW($AK$3),$AJ$4:$AJ$1000,0)),"")</f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499"/>
      <c r="AF635" s="500"/>
      <c r="AG635" s="500"/>
      <c r="AH635" s="501"/>
      <c r="AJ635" s="229" t="str">
        <f>IF(OR(A635="",AND(ISNUMBER(FIND("[", A635)), ISNUMBER(FIND("ALL", A635)), ISNUMBER(FIND("]", A635)))),"",MAX(AJ$3:AJ634)+1)</f>
        <v/>
      </c>
      <c r="AK635" s="229" t="str">
        <f>IFERROR(INDEX($A$4:$A$1000,MATCH(ROW()-ROW($AK$3),$AJ$4:$AJ$1000,0)),"")</f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499"/>
      <c r="AF636" s="500"/>
      <c r="AG636" s="500"/>
      <c r="AH636" s="501"/>
      <c r="AJ636" s="229" t="str">
        <f>IF(OR(A636="",AND(ISNUMBER(FIND("[", A636)), ISNUMBER(FIND("ALL", A636)), ISNUMBER(FIND("]", A636)))),"",MAX(AJ$3:AJ635)+1)</f>
        <v/>
      </c>
      <c r="AK636" s="229" t="str">
        <f>IFERROR(INDEX($A$4:$A$1000,MATCH(ROW()-ROW($AK$3),$AJ$4:$AJ$1000,0)),"")</f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499"/>
      <c r="AF637" s="500"/>
      <c r="AG637" s="500"/>
      <c r="AH637" s="501"/>
      <c r="AJ637" s="229" t="str">
        <f>IF(OR(A637="",AND(ISNUMBER(FIND("[", A637)), ISNUMBER(FIND("ALL", A637)), ISNUMBER(FIND("]", A637)))),"",MAX(AJ$3:AJ636)+1)</f>
        <v/>
      </c>
      <c r="AK637" s="229" t="str">
        <f>IFERROR(INDEX($A$4:$A$1000,MATCH(ROW()-ROW($AK$3),$AJ$4:$AJ$1000,0)),"")</f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499"/>
      <c r="AF638" s="500"/>
      <c r="AG638" s="500"/>
      <c r="AH638" s="501"/>
      <c r="AJ638" s="229" t="str">
        <f>IF(OR(A638="",AND(ISNUMBER(FIND("[", A638)), ISNUMBER(FIND("ALL", A638)), ISNUMBER(FIND("]", A638)))),"",MAX(AJ$3:AJ637)+1)</f>
        <v/>
      </c>
      <c r="AK638" s="229" t="str">
        <f>IFERROR(INDEX($A$4:$A$1000,MATCH(ROW()-ROW($AK$3),$AJ$4:$AJ$1000,0)),"")</f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499"/>
      <c r="AF639" s="500"/>
      <c r="AG639" s="500"/>
      <c r="AH639" s="501"/>
      <c r="AJ639" s="229" t="str">
        <f>IF(OR(A639="",AND(ISNUMBER(FIND("[", A639)), ISNUMBER(FIND("ALL", A639)), ISNUMBER(FIND("]", A639)))),"",MAX(AJ$3:AJ638)+1)</f>
        <v/>
      </c>
      <c r="AK639" s="229" t="str">
        <f>IFERROR(INDEX($A$4:$A$1000,MATCH(ROW()-ROW($AK$3),$AJ$4:$AJ$1000,0)),"")</f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499"/>
      <c r="AF640" s="500"/>
      <c r="AG640" s="500"/>
      <c r="AH640" s="501"/>
      <c r="AJ640" s="229" t="str">
        <f>IF(OR(A640="",AND(ISNUMBER(FIND("[", A640)), ISNUMBER(FIND("ALL", A640)), ISNUMBER(FIND("]", A640)))),"",MAX(AJ$3:AJ639)+1)</f>
        <v/>
      </c>
      <c r="AK640" s="229" t="str">
        <f>IFERROR(INDEX($A$4:$A$1000,MATCH(ROW()-ROW($AK$3),$AJ$4:$AJ$1000,0)),"")</f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499"/>
      <c r="AF641" s="500"/>
      <c r="AG641" s="500"/>
      <c r="AH641" s="501"/>
      <c r="AJ641" s="229" t="str">
        <f>IF(OR(A641="",AND(ISNUMBER(FIND("[", A641)), ISNUMBER(FIND("ALL", A641)), ISNUMBER(FIND("]", A641)))),"",MAX(AJ$3:AJ640)+1)</f>
        <v/>
      </c>
      <c r="AK641" s="229" t="str">
        <f>IFERROR(INDEX($A$4:$A$1000,MATCH(ROW()-ROW($AK$3),$AJ$4:$AJ$1000,0)),"")</f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499"/>
      <c r="AF642" s="500"/>
      <c r="AG642" s="500"/>
      <c r="AH642" s="501"/>
      <c r="AJ642" s="229" t="str">
        <f>IF(OR(A642="",AND(ISNUMBER(FIND("[", A642)), ISNUMBER(FIND("ALL", A642)), ISNUMBER(FIND("]", A642)))),"",MAX(AJ$3:AJ641)+1)</f>
        <v/>
      </c>
      <c r="AK642" s="229" t="str">
        <f>IFERROR(INDEX($A$4:$A$1000,MATCH(ROW()-ROW($AK$3),$AJ$4:$AJ$1000,0)),"")</f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499"/>
      <c r="AF643" s="500"/>
      <c r="AG643" s="500"/>
      <c r="AH643" s="501"/>
      <c r="AJ643" s="229" t="str">
        <f>IF(OR(A643="",AND(ISNUMBER(FIND("[", A643)), ISNUMBER(FIND("ALL", A643)), ISNUMBER(FIND("]", A643)))),"",MAX(AJ$3:AJ642)+1)</f>
        <v/>
      </c>
      <c r="AK643" s="229" t="str">
        <f>IFERROR(INDEX($A$4:$A$1000,MATCH(ROW()-ROW($AK$3),$AJ$4:$AJ$1000,0)),"")</f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499"/>
      <c r="AF644" s="500"/>
      <c r="AG644" s="500"/>
      <c r="AH644" s="501"/>
      <c r="AJ644" s="229" t="str">
        <f>IF(OR(A644="",AND(ISNUMBER(FIND("[", A644)), ISNUMBER(FIND("ALL", A644)), ISNUMBER(FIND("]", A644)))),"",MAX(AJ$3:AJ643)+1)</f>
        <v/>
      </c>
      <c r="AK644" s="229" t="str">
        <f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499"/>
      <c r="AF645" s="500"/>
      <c r="AG645" s="500"/>
      <c r="AH645" s="501"/>
      <c r="AJ645" s="229" t="str">
        <f>IF(OR(A645="",AND(ISNUMBER(FIND("[", A645)), ISNUMBER(FIND("ALL", A645)), ISNUMBER(FIND("]", A645)))),"",MAX(AJ$3:AJ644)+1)</f>
        <v/>
      </c>
      <c r="AK645" s="229" t="str">
        <f>IFERROR(INDEX($A$4:$A$1000,MATCH(ROW()-ROW($AK$3),$AJ$4:$AJ$1000,0)),"")</f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499"/>
      <c r="AF646" s="500"/>
      <c r="AG646" s="500"/>
      <c r="AH646" s="501"/>
      <c r="AJ646" s="229" t="str">
        <f>IF(OR(A646="",AND(ISNUMBER(FIND("[", A646)), ISNUMBER(FIND("ALL", A646)), ISNUMBER(FIND("]", A646)))),"",MAX(AJ$3:AJ645)+1)</f>
        <v/>
      </c>
      <c r="AK646" s="229" t="str">
        <f>IFERROR(INDEX($A$4:$A$1000,MATCH(ROW()-ROW($AK$3),$AJ$4:$AJ$1000,0)),"")</f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499"/>
      <c r="AF647" s="500"/>
      <c r="AG647" s="500"/>
      <c r="AH647" s="501"/>
      <c r="AJ647" s="229" t="str">
        <f>IF(OR(A647="",AND(ISNUMBER(FIND("[", A647)), ISNUMBER(FIND("ALL", A647)), ISNUMBER(FIND("]", A647)))),"",MAX(AJ$3:AJ646)+1)</f>
        <v/>
      </c>
      <c r="AK647" s="229" t="str">
        <f>IFERROR(INDEX($A$4:$A$1000,MATCH(ROW()-ROW($AK$3),$AJ$4:$AJ$1000,0)),"")</f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499"/>
      <c r="AF648" s="500"/>
      <c r="AG648" s="500"/>
      <c r="AH648" s="501"/>
      <c r="AJ648" s="229" t="str">
        <f>IF(OR(A648="",AND(ISNUMBER(FIND("[", A648)), ISNUMBER(FIND("ALL", A648)), ISNUMBER(FIND("]", A648)))),"",MAX(AJ$3:AJ647)+1)</f>
        <v/>
      </c>
      <c r="AK648" s="229" t="str">
        <f>IFERROR(INDEX($A$4:$A$1000,MATCH(ROW()-ROW($AK$3),$AJ$4:$AJ$1000,0)),"")</f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499"/>
      <c r="AF649" s="500"/>
      <c r="AG649" s="500"/>
      <c r="AH649" s="501"/>
      <c r="AJ649" s="229" t="str">
        <f>IF(OR(A649="",AND(ISNUMBER(FIND("[", A649)), ISNUMBER(FIND("ALL", A649)), ISNUMBER(FIND("]", A649)))),"",MAX(AJ$3:AJ648)+1)</f>
        <v/>
      </c>
      <c r="AK649" s="229" t="str">
        <f>IFERROR(INDEX($A$4:$A$1000,MATCH(ROW()-ROW($AK$3),$AJ$4:$AJ$1000,0)),"")</f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499"/>
      <c r="AF650" s="500"/>
      <c r="AG650" s="500"/>
      <c r="AH650" s="501"/>
      <c r="AJ650" s="229" t="str">
        <f>IF(OR(A650="",AND(ISNUMBER(FIND("[", A650)), ISNUMBER(FIND("ALL", A650)), ISNUMBER(FIND("]", A650)))),"",MAX(AJ$3:AJ649)+1)</f>
        <v/>
      </c>
      <c r="AK650" s="229" t="str">
        <f>IFERROR(INDEX($A$4:$A$1000,MATCH(ROW()-ROW($AK$3),$AJ$4:$AJ$1000,0)),"")</f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499"/>
      <c r="AF651" s="500"/>
      <c r="AG651" s="500"/>
      <c r="AH651" s="501"/>
      <c r="AJ651" s="229" t="str">
        <f>IF(OR(A651="",AND(ISNUMBER(FIND("[", A651)), ISNUMBER(FIND("ALL", A651)), ISNUMBER(FIND("]", A651)))),"",MAX(AJ$3:AJ650)+1)</f>
        <v/>
      </c>
      <c r="AK651" s="229" t="str">
        <f>IFERROR(INDEX($A$4:$A$1000,MATCH(ROW()-ROW($AK$3),$AJ$4:$AJ$1000,0)),"")</f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499"/>
      <c r="AF652" s="500"/>
      <c r="AG652" s="500"/>
      <c r="AH652" s="501"/>
      <c r="AJ652" s="229" t="str">
        <f>IF(OR(A652="",AND(ISNUMBER(FIND("[", A652)), ISNUMBER(FIND("ALL", A652)), ISNUMBER(FIND("]", A652)))),"",MAX(AJ$3:AJ651)+1)</f>
        <v/>
      </c>
      <c r="AK652" s="229" t="str">
        <f>IFERROR(INDEX($A$4:$A$1000,MATCH(ROW()-ROW($AK$3),$AJ$4:$AJ$1000,0)),"")</f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499"/>
      <c r="AF653" s="500"/>
      <c r="AG653" s="500"/>
      <c r="AH653" s="501"/>
      <c r="AJ653" s="229" t="str">
        <f>IF(OR(A653="",AND(ISNUMBER(FIND("[", A653)), ISNUMBER(FIND("ALL", A653)), ISNUMBER(FIND("]", A653)))),"",MAX(AJ$3:AJ652)+1)</f>
        <v/>
      </c>
      <c r="AK653" s="229" t="str">
        <f>IFERROR(INDEX($A$4:$A$1000,MATCH(ROW()-ROW($AK$3),$AJ$4:$AJ$1000,0)),"")</f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499"/>
      <c r="AF654" s="500"/>
      <c r="AG654" s="500"/>
      <c r="AH654" s="501"/>
      <c r="AJ654" s="229" t="str">
        <f>IF(OR(A654="",AND(ISNUMBER(FIND("[", A654)), ISNUMBER(FIND("ALL", A654)), ISNUMBER(FIND("]", A654)))),"",MAX(AJ$3:AJ653)+1)</f>
        <v/>
      </c>
      <c r="AK654" s="229" t="str">
        <f>IFERROR(INDEX($A$4:$A$1000,MATCH(ROW()-ROW($AK$3),$AJ$4:$AJ$1000,0)),"")</f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499"/>
      <c r="AF655" s="500"/>
      <c r="AG655" s="500"/>
      <c r="AH655" s="501"/>
      <c r="AJ655" s="229" t="str">
        <f>IF(OR(A655="",AND(ISNUMBER(FIND("[", A655)), ISNUMBER(FIND("ALL", A655)), ISNUMBER(FIND("]", A655)))),"",MAX(AJ$3:AJ654)+1)</f>
        <v/>
      </c>
      <c r="AK655" s="229" t="str">
        <f>IFERROR(INDEX($A$4:$A$1000,MATCH(ROW()-ROW($AK$3),$AJ$4:$AJ$1000,0)),"")</f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499"/>
      <c r="AF656" s="500"/>
      <c r="AG656" s="500"/>
      <c r="AH656" s="501"/>
      <c r="AJ656" s="229" t="str">
        <f>IF(OR(A656="",AND(ISNUMBER(FIND("[", A656)), ISNUMBER(FIND("ALL", A656)), ISNUMBER(FIND("]", A656)))),"",MAX(AJ$3:AJ655)+1)</f>
        <v/>
      </c>
      <c r="AK656" s="229" t="str">
        <f>IFERROR(INDEX($A$4:$A$1000,MATCH(ROW()-ROW($AK$3),$AJ$4:$AJ$1000,0)),"")</f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499"/>
      <c r="AF657" s="500"/>
      <c r="AG657" s="500"/>
      <c r="AH657" s="501"/>
      <c r="AJ657" s="229" t="str">
        <f>IF(OR(A657="",AND(ISNUMBER(FIND("[", A657)), ISNUMBER(FIND("ALL", A657)), ISNUMBER(FIND("]", A657)))),"",MAX(AJ$3:AJ656)+1)</f>
        <v/>
      </c>
      <c r="AK657" s="229" t="str">
        <f>IFERROR(INDEX($A$4:$A$1000,MATCH(ROW()-ROW($AK$3),$AJ$4:$AJ$1000,0)),"")</f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499"/>
      <c r="AF658" s="500"/>
      <c r="AG658" s="500"/>
      <c r="AH658" s="501"/>
      <c r="AJ658" s="229" t="str">
        <f>IF(OR(A658="",AND(ISNUMBER(FIND("[", A658)), ISNUMBER(FIND("ALL", A658)), ISNUMBER(FIND("]", A658)))),"",MAX(AJ$3:AJ657)+1)</f>
        <v/>
      </c>
      <c r="AK658" s="229" t="str">
        <f>IFERROR(INDEX($A$4:$A$1000,MATCH(ROW()-ROW($AK$3),$AJ$4:$AJ$1000,0)),"")</f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499"/>
      <c r="AF659" s="500"/>
      <c r="AG659" s="500"/>
      <c r="AH659" s="501"/>
      <c r="AJ659" s="229" t="str">
        <f>IF(OR(A659="",AND(ISNUMBER(FIND("[", A659)), ISNUMBER(FIND("ALL", A659)), ISNUMBER(FIND("]", A659)))),"",MAX(AJ$3:AJ658)+1)</f>
        <v/>
      </c>
      <c r="AK659" s="229" t="str">
        <f>IFERROR(INDEX($A$4:$A$1000,MATCH(ROW()-ROW($AK$3),$AJ$4:$AJ$1000,0)),"")</f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499"/>
      <c r="AF660" s="500"/>
      <c r="AG660" s="500"/>
      <c r="AH660" s="501"/>
      <c r="AJ660" s="229" t="str">
        <f>IF(OR(A660="",AND(ISNUMBER(FIND("[", A660)), ISNUMBER(FIND("ALL", A660)), ISNUMBER(FIND("]", A660)))),"",MAX(AJ$3:AJ659)+1)</f>
        <v/>
      </c>
      <c r="AK660" s="229" t="str">
        <f>IFERROR(INDEX($A$4:$A$1000,MATCH(ROW()-ROW($AK$3),$AJ$4:$AJ$1000,0)),"")</f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499"/>
      <c r="AF661" s="500"/>
      <c r="AG661" s="500"/>
      <c r="AH661" s="501"/>
      <c r="AJ661" s="229" t="str">
        <f>IF(OR(A661="",AND(ISNUMBER(FIND("[", A661)), ISNUMBER(FIND("ALL", A661)), ISNUMBER(FIND("]", A661)))),"",MAX(AJ$3:AJ660)+1)</f>
        <v/>
      </c>
      <c r="AK661" s="229" t="str">
        <f>IFERROR(INDEX($A$4:$A$1000,MATCH(ROW()-ROW($AK$3),$AJ$4:$AJ$1000,0)),"")</f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499"/>
      <c r="AF662" s="500"/>
      <c r="AG662" s="500"/>
      <c r="AH662" s="501"/>
      <c r="AJ662" s="229" t="str">
        <f>IF(OR(A662="",AND(ISNUMBER(FIND("[", A662)), ISNUMBER(FIND("ALL", A662)), ISNUMBER(FIND("]", A662)))),"",MAX(AJ$3:AJ661)+1)</f>
        <v/>
      </c>
      <c r="AK662" s="229" t="str">
        <f>IFERROR(INDEX($A$4:$A$1000,MATCH(ROW()-ROW($AK$3),$AJ$4:$AJ$1000,0)),"")</f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499"/>
      <c r="AF663" s="500"/>
      <c r="AG663" s="500"/>
      <c r="AH663" s="501"/>
      <c r="AJ663" s="229" t="str">
        <f>IF(OR(A663="",AND(ISNUMBER(FIND("[", A663)), ISNUMBER(FIND("ALL", A663)), ISNUMBER(FIND("]", A663)))),"",MAX(AJ$3:AJ662)+1)</f>
        <v/>
      </c>
      <c r="AK663" s="229" t="str">
        <f>IFERROR(INDEX($A$4:$A$1000,MATCH(ROW()-ROW($AK$3),$AJ$4:$AJ$1000,0)),"")</f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499"/>
      <c r="AF664" s="500"/>
      <c r="AG664" s="500"/>
      <c r="AH664" s="501"/>
      <c r="AJ664" s="229" t="str">
        <f>IF(OR(A664="",AND(ISNUMBER(FIND("[", A664)), ISNUMBER(FIND("ALL", A664)), ISNUMBER(FIND("]", A664)))),"",MAX(AJ$3:AJ663)+1)</f>
        <v/>
      </c>
      <c r="AK664" s="229" t="str">
        <f>IFERROR(INDEX($A$4:$A$1000,MATCH(ROW()-ROW($AK$3),$AJ$4:$AJ$1000,0)),"")</f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499"/>
      <c r="AF665" s="500"/>
      <c r="AG665" s="500"/>
      <c r="AH665" s="501"/>
      <c r="AJ665" s="229" t="str">
        <f>IF(OR(A665="",AND(ISNUMBER(FIND("[", A665)), ISNUMBER(FIND("ALL", A665)), ISNUMBER(FIND("]", A665)))),"",MAX(AJ$3:AJ664)+1)</f>
        <v/>
      </c>
      <c r="AK665" s="229" t="str">
        <f>IFERROR(INDEX($A$4:$A$1000,MATCH(ROW()-ROW($AK$3),$AJ$4:$AJ$1000,0)),"")</f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499"/>
      <c r="AF666" s="500"/>
      <c r="AG666" s="500"/>
      <c r="AH666" s="501"/>
      <c r="AJ666" s="229" t="str">
        <f>IF(OR(A666="",AND(ISNUMBER(FIND("[", A666)), ISNUMBER(FIND("ALL", A666)), ISNUMBER(FIND("]", A666)))),"",MAX(AJ$3:AJ665)+1)</f>
        <v/>
      </c>
      <c r="AK666" s="229" t="str">
        <f>IFERROR(INDEX($A$4:$A$1000,MATCH(ROW()-ROW($AK$3),$AJ$4:$AJ$1000,0)),"")</f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499"/>
      <c r="AF667" s="500"/>
      <c r="AG667" s="500"/>
      <c r="AH667" s="501"/>
      <c r="AJ667" s="229" t="str">
        <f>IF(OR(A667="",AND(ISNUMBER(FIND("[", A667)), ISNUMBER(FIND("ALL", A667)), ISNUMBER(FIND("]", A667)))),"",MAX(AJ$3:AJ666)+1)</f>
        <v/>
      </c>
      <c r="AK667" s="229" t="str">
        <f>IFERROR(INDEX($A$4:$A$1000,MATCH(ROW()-ROW($AK$3),$AJ$4:$AJ$1000,0)),"")</f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499"/>
      <c r="AF668" s="500"/>
      <c r="AG668" s="500"/>
      <c r="AH668" s="501"/>
      <c r="AJ668" s="229" t="str">
        <f>IF(OR(A668="",AND(ISNUMBER(FIND("[", A668)), ISNUMBER(FIND("ALL", A668)), ISNUMBER(FIND("]", A668)))),"",MAX(AJ$3:AJ667)+1)</f>
        <v/>
      </c>
      <c r="AK668" s="229" t="str">
        <f>IFERROR(INDEX($A$4:$A$1000,MATCH(ROW()-ROW($AK$3),$AJ$4:$AJ$1000,0)),"")</f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499"/>
      <c r="AF669" s="500"/>
      <c r="AG669" s="500"/>
      <c r="AH669" s="501"/>
      <c r="AJ669" s="229" t="str">
        <f>IF(OR(A669="",AND(ISNUMBER(FIND("[", A669)), ISNUMBER(FIND("ALL", A669)), ISNUMBER(FIND("]", A669)))),"",MAX(AJ$3:AJ668)+1)</f>
        <v/>
      </c>
      <c r="AK669" s="229" t="str">
        <f>IFERROR(INDEX($A$4:$A$1000,MATCH(ROW()-ROW($AK$3),$AJ$4:$AJ$1000,0)),"")</f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499"/>
      <c r="AF670" s="500"/>
      <c r="AG670" s="500"/>
      <c r="AH670" s="501"/>
      <c r="AJ670" s="229" t="str">
        <f>IF(OR(A670="",AND(ISNUMBER(FIND("[", A670)), ISNUMBER(FIND("ALL", A670)), ISNUMBER(FIND("]", A670)))),"",MAX(AJ$3:AJ669)+1)</f>
        <v/>
      </c>
      <c r="AK670" s="229" t="str">
        <f>IFERROR(INDEX($A$4:$A$1000,MATCH(ROW()-ROW($AK$3),$AJ$4:$AJ$1000,0)),"")</f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499"/>
      <c r="AF671" s="500"/>
      <c r="AG671" s="500"/>
      <c r="AH671" s="501"/>
      <c r="AJ671" s="229" t="str">
        <f>IF(OR(A671="",AND(ISNUMBER(FIND("[", A671)), ISNUMBER(FIND("ALL", A671)), ISNUMBER(FIND("]", A671)))),"",MAX(AJ$3:AJ670)+1)</f>
        <v/>
      </c>
      <c r="AK671" s="229" t="str">
        <f>IFERROR(INDEX($A$4:$A$1000,MATCH(ROW()-ROW($AK$3),$AJ$4:$AJ$1000,0)),"")</f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499"/>
      <c r="AF672" s="500"/>
      <c r="AG672" s="500"/>
      <c r="AH672" s="501"/>
      <c r="AJ672" s="229" t="str">
        <f>IF(OR(A672="",AND(ISNUMBER(FIND("[", A672)), ISNUMBER(FIND("ALL", A672)), ISNUMBER(FIND("]", A672)))),"",MAX(AJ$3:AJ671)+1)</f>
        <v/>
      </c>
      <c r="AK672" s="229" t="str">
        <f>IFERROR(INDEX($A$4:$A$1000,MATCH(ROW()-ROW($AK$3),$AJ$4:$AJ$1000,0)),"")</f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499"/>
      <c r="AF673" s="500"/>
      <c r="AG673" s="500"/>
      <c r="AH673" s="501"/>
      <c r="AJ673" s="229" t="str">
        <f>IF(OR(A673="",AND(ISNUMBER(FIND("[", A673)), ISNUMBER(FIND("ALL", A673)), ISNUMBER(FIND("]", A673)))),"",MAX(AJ$3:AJ672)+1)</f>
        <v/>
      </c>
      <c r="AK673" s="229" t="str">
        <f>IFERROR(INDEX($A$4:$A$1000,MATCH(ROW()-ROW($AK$3),$AJ$4:$AJ$1000,0)),"")</f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499"/>
      <c r="AF674" s="500"/>
      <c r="AG674" s="500"/>
      <c r="AH674" s="501"/>
      <c r="AJ674" s="229" t="str">
        <f>IF(OR(A674="",AND(ISNUMBER(FIND("[", A674)), ISNUMBER(FIND("ALL", A674)), ISNUMBER(FIND("]", A674)))),"",MAX(AJ$3:AJ673)+1)</f>
        <v/>
      </c>
      <c r="AK674" s="229" t="str">
        <f>IFERROR(INDEX($A$4:$A$1000,MATCH(ROW()-ROW($AK$3),$AJ$4:$AJ$1000,0)),"")</f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499"/>
      <c r="AF675" s="500"/>
      <c r="AG675" s="500"/>
      <c r="AH675" s="501"/>
      <c r="AJ675" s="229" t="str">
        <f>IF(OR(A675="",AND(ISNUMBER(FIND("[", A675)), ISNUMBER(FIND("ALL", A675)), ISNUMBER(FIND("]", A675)))),"",MAX(AJ$3:AJ674)+1)</f>
        <v/>
      </c>
      <c r="AK675" s="229" t="str">
        <f>IFERROR(INDEX($A$4:$A$1000,MATCH(ROW()-ROW($AK$3),$AJ$4:$AJ$1000,0)),"")</f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499"/>
      <c r="AF676" s="500"/>
      <c r="AG676" s="500"/>
      <c r="AH676" s="501"/>
      <c r="AJ676" s="229" t="str">
        <f>IF(OR(A676="",AND(ISNUMBER(FIND("[", A676)), ISNUMBER(FIND("ALL", A676)), ISNUMBER(FIND("]", A676)))),"",MAX(AJ$3:AJ675)+1)</f>
        <v/>
      </c>
      <c r="AK676" s="229" t="str">
        <f>IFERROR(INDEX($A$4:$A$1000,MATCH(ROW()-ROW($AK$3),$AJ$4:$AJ$1000,0)),"")</f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499"/>
      <c r="AF677" s="500"/>
      <c r="AG677" s="500"/>
      <c r="AH677" s="501"/>
      <c r="AJ677" s="229" t="str">
        <f>IF(OR(A677="",AND(ISNUMBER(FIND("[", A677)), ISNUMBER(FIND("ALL", A677)), ISNUMBER(FIND("]", A677)))),"",MAX(AJ$3:AJ676)+1)</f>
        <v/>
      </c>
      <c r="AK677" s="229" t="str">
        <f>IFERROR(INDEX($A$4:$A$1000,MATCH(ROW()-ROW($AK$3),$AJ$4:$AJ$1000,0)),"")</f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499"/>
      <c r="AF678" s="500"/>
      <c r="AG678" s="500"/>
      <c r="AH678" s="501"/>
      <c r="AJ678" s="229" t="str">
        <f>IF(OR(A678="",AND(ISNUMBER(FIND("[", A678)), ISNUMBER(FIND("ALL", A678)), ISNUMBER(FIND("]", A678)))),"",MAX(AJ$3:AJ677)+1)</f>
        <v/>
      </c>
      <c r="AK678" s="229" t="str">
        <f>IFERROR(INDEX($A$4:$A$1000,MATCH(ROW()-ROW($AK$3),$AJ$4:$AJ$1000,0)),"")</f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499"/>
      <c r="AF679" s="500"/>
      <c r="AG679" s="500"/>
      <c r="AH679" s="501"/>
      <c r="AJ679" s="229" t="str">
        <f>IF(OR(A679="",AND(ISNUMBER(FIND("[", A679)), ISNUMBER(FIND("ALL", A679)), ISNUMBER(FIND("]", A679)))),"",MAX(AJ$3:AJ678)+1)</f>
        <v/>
      </c>
      <c r="AK679" s="229" t="str">
        <f>IFERROR(INDEX($A$4:$A$1000,MATCH(ROW()-ROW($AK$3),$AJ$4:$AJ$1000,0)),"")</f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499"/>
      <c r="AF680" s="500"/>
      <c r="AG680" s="500"/>
      <c r="AH680" s="501"/>
      <c r="AJ680" s="229" t="str">
        <f>IF(OR(A680="",AND(ISNUMBER(FIND("[", A680)), ISNUMBER(FIND("ALL", A680)), ISNUMBER(FIND("]", A680)))),"",MAX(AJ$3:AJ679)+1)</f>
        <v/>
      </c>
      <c r="AK680" s="229" t="str">
        <f>IFERROR(INDEX($A$4:$A$1000,MATCH(ROW()-ROW($AK$3),$AJ$4:$AJ$1000,0)),"")</f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499"/>
      <c r="AF681" s="500"/>
      <c r="AG681" s="500"/>
      <c r="AH681" s="501"/>
      <c r="AJ681" s="229" t="str">
        <f>IF(OR(A681="",AND(ISNUMBER(FIND("[", A681)), ISNUMBER(FIND("ALL", A681)), ISNUMBER(FIND("]", A681)))),"",MAX(AJ$3:AJ680)+1)</f>
        <v/>
      </c>
      <c r="AK681" s="229" t="str">
        <f>IFERROR(INDEX($A$4:$A$1000,MATCH(ROW()-ROW($AK$3),$AJ$4:$AJ$1000,0)),"")</f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499"/>
      <c r="AF682" s="500"/>
      <c r="AG682" s="500"/>
      <c r="AH682" s="501"/>
      <c r="AJ682" s="229" t="str">
        <f>IF(OR(A682="",AND(ISNUMBER(FIND("[", A682)), ISNUMBER(FIND("ALL", A682)), ISNUMBER(FIND("]", A682)))),"",MAX(AJ$3:AJ681)+1)</f>
        <v/>
      </c>
      <c r="AK682" s="229" t="str">
        <f>IFERROR(INDEX($A$4:$A$1000,MATCH(ROW()-ROW($AK$3),$AJ$4:$AJ$1000,0)),"")</f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499"/>
      <c r="AF683" s="500"/>
      <c r="AG683" s="500"/>
      <c r="AH683" s="501"/>
      <c r="AJ683" s="229" t="str">
        <f>IF(OR(A683="",AND(ISNUMBER(FIND("[", A683)), ISNUMBER(FIND("ALL", A683)), ISNUMBER(FIND("]", A683)))),"",MAX(AJ$3:AJ682)+1)</f>
        <v/>
      </c>
      <c r="AK683" s="229" t="str">
        <f>IFERROR(INDEX($A$4:$A$1000,MATCH(ROW()-ROW($AK$3),$AJ$4:$AJ$1000,0)),"")</f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499"/>
      <c r="AF684" s="500"/>
      <c r="AG684" s="500"/>
      <c r="AH684" s="501"/>
      <c r="AJ684" s="229" t="str">
        <f>IF(OR(A684="",AND(ISNUMBER(FIND("[", A684)), ISNUMBER(FIND("ALL", A684)), ISNUMBER(FIND("]", A684)))),"",MAX(AJ$3:AJ683)+1)</f>
        <v/>
      </c>
      <c r="AK684" s="229" t="str">
        <f>IFERROR(INDEX($A$4:$A$1000,MATCH(ROW()-ROW($AK$3),$AJ$4:$AJ$1000,0)),"")</f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499"/>
      <c r="AF685" s="500"/>
      <c r="AG685" s="500"/>
      <c r="AH685" s="501"/>
      <c r="AJ685" s="229" t="str">
        <f>IF(OR(A685="",AND(ISNUMBER(FIND("[", A685)), ISNUMBER(FIND("ALL", A685)), ISNUMBER(FIND("]", A685)))),"",MAX(AJ$3:AJ684)+1)</f>
        <v/>
      </c>
      <c r="AK685" s="229" t="str">
        <f>IFERROR(INDEX($A$4:$A$1000,MATCH(ROW()-ROW($AK$3),$AJ$4:$AJ$1000,0)),"")</f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499"/>
      <c r="AF686" s="500"/>
      <c r="AG686" s="500"/>
      <c r="AH686" s="501"/>
      <c r="AJ686" s="229" t="str">
        <f>IF(OR(A686="",AND(ISNUMBER(FIND("[", A686)), ISNUMBER(FIND("ALL", A686)), ISNUMBER(FIND("]", A686)))),"",MAX(AJ$3:AJ685)+1)</f>
        <v/>
      </c>
      <c r="AK686" s="229" t="str">
        <f>IFERROR(INDEX($A$4:$A$1000,MATCH(ROW()-ROW($AK$3),$AJ$4:$AJ$1000,0)),"")</f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499"/>
      <c r="AF687" s="500"/>
      <c r="AG687" s="500"/>
      <c r="AH687" s="501"/>
      <c r="AJ687" s="229" t="str">
        <f>IF(OR(A687="",AND(ISNUMBER(FIND("[", A687)), ISNUMBER(FIND("ALL", A687)), ISNUMBER(FIND("]", A687)))),"",MAX(AJ$3:AJ686)+1)</f>
        <v/>
      </c>
      <c r="AK687" s="229" t="str">
        <f>IFERROR(INDEX($A$4:$A$1000,MATCH(ROW()-ROW($AK$3),$AJ$4:$AJ$1000,0)),"")</f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499"/>
      <c r="AF688" s="500"/>
      <c r="AG688" s="500"/>
      <c r="AH688" s="501"/>
      <c r="AJ688" s="229" t="str">
        <f>IF(OR(A688="",AND(ISNUMBER(FIND("[", A688)), ISNUMBER(FIND("ALL", A688)), ISNUMBER(FIND("]", A688)))),"",MAX(AJ$3:AJ687)+1)</f>
        <v/>
      </c>
      <c r="AK688" s="229" t="str">
        <f>IFERROR(INDEX($A$4:$A$1000,MATCH(ROW()-ROW($AK$3),$AJ$4:$AJ$1000,0)),"")</f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499"/>
      <c r="AF689" s="500"/>
      <c r="AG689" s="500"/>
      <c r="AH689" s="501"/>
      <c r="AJ689" s="229" t="str">
        <f>IF(OR(A689="",AND(ISNUMBER(FIND("[", A689)), ISNUMBER(FIND("ALL", A689)), ISNUMBER(FIND("]", A689)))),"",MAX(AJ$3:AJ688)+1)</f>
        <v/>
      </c>
      <c r="AK689" s="229" t="str">
        <f>IFERROR(INDEX($A$4:$A$1000,MATCH(ROW()-ROW($AK$3),$AJ$4:$AJ$1000,0)),"")</f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499"/>
      <c r="AF690" s="500"/>
      <c r="AG690" s="500"/>
      <c r="AH690" s="501"/>
      <c r="AJ690" s="229" t="str">
        <f>IF(OR(A690="",AND(ISNUMBER(FIND("[", A690)), ISNUMBER(FIND("ALL", A690)), ISNUMBER(FIND("]", A690)))),"",MAX(AJ$3:AJ689)+1)</f>
        <v/>
      </c>
      <c r="AK690" s="229" t="str">
        <f>IFERROR(INDEX($A$4:$A$1000,MATCH(ROW()-ROW($AK$3),$AJ$4:$AJ$1000,0)),"")</f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499"/>
      <c r="AF691" s="500"/>
      <c r="AG691" s="500"/>
      <c r="AH691" s="501"/>
      <c r="AJ691" s="229" t="str">
        <f>IF(OR(A691="",AND(ISNUMBER(FIND("[", A691)), ISNUMBER(FIND("ALL", A691)), ISNUMBER(FIND("]", A691)))),"",MAX(AJ$3:AJ690)+1)</f>
        <v/>
      </c>
      <c r="AK691" s="229" t="str">
        <f>IFERROR(INDEX($A$4:$A$1000,MATCH(ROW()-ROW($AK$3),$AJ$4:$AJ$1000,0)),"")</f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499"/>
      <c r="AF692" s="500"/>
      <c r="AG692" s="500"/>
      <c r="AH692" s="501"/>
      <c r="AJ692" s="229" t="str">
        <f>IF(OR(A692="",AND(ISNUMBER(FIND("[", A692)), ISNUMBER(FIND("ALL", A692)), ISNUMBER(FIND("]", A692)))),"",MAX(AJ$3:AJ691)+1)</f>
        <v/>
      </c>
      <c r="AK692" s="229" t="str">
        <f>IFERROR(INDEX($A$4:$A$1000,MATCH(ROW()-ROW($AK$3),$AJ$4:$AJ$1000,0)),"")</f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499"/>
      <c r="AF693" s="500"/>
      <c r="AG693" s="500"/>
      <c r="AH693" s="501"/>
      <c r="AJ693" s="229" t="str">
        <f>IF(OR(A693="",AND(ISNUMBER(FIND("[", A693)), ISNUMBER(FIND("ALL", A693)), ISNUMBER(FIND("]", A693)))),"",MAX(AJ$3:AJ692)+1)</f>
        <v/>
      </c>
      <c r="AK693" s="229" t="str">
        <f>IFERROR(INDEX($A$4:$A$1000,MATCH(ROW()-ROW($AK$3),$AJ$4:$AJ$1000,0)),"")</f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499"/>
      <c r="AF694" s="500"/>
      <c r="AG694" s="500"/>
      <c r="AH694" s="501"/>
      <c r="AJ694" s="229" t="str">
        <f>IF(OR(A694="",AND(ISNUMBER(FIND("[", A694)), ISNUMBER(FIND("ALL", A694)), ISNUMBER(FIND("]", A694)))),"",MAX(AJ$3:AJ693)+1)</f>
        <v/>
      </c>
      <c r="AK694" s="229" t="str">
        <f>IFERROR(INDEX($A$4:$A$1000,MATCH(ROW()-ROW($AK$3),$AJ$4:$AJ$1000,0)),"")</f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499"/>
      <c r="AF695" s="500"/>
      <c r="AG695" s="500"/>
      <c r="AH695" s="501"/>
      <c r="AJ695" s="229" t="str">
        <f>IF(OR(A695="",AND(ISNUMBER(FIND("[", A695)), ISNUMBER(FIND("ALL", A695)), ISNUMBER(FIND("]", A695)))),"",MAX(AJ$3:AJ694)+1)</f>
        <v/>
      </c>
      <c r="AK695" s="229" t="str">
        <f>IFERROR(INDEX($A$4:$A$1000,MATCH(ROW()-ROW($AK$3),$AJ$4:$AJ$1000,0)),"")</f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499"/>
      <c r="AF696" s="500"/>
      <c r="AG696" s="500"/>
      <c r="AH696" s="501"/>
      <c r="AJ696" s="229" t="str">
        <f>IF(OR(A696="",AND(ISNUMBER(FIND("[", A696)), ISNUMBER(FIND("ALL", A696)), ISNUMBER(FIND("]", A696)))),"",MAX(AJ$3:AJ695)+1)</f>
        <v/>
      </c>
      <c r="AK696" s="229" t="str">
        <f>IFERROR(INDEX($A$4:$A$1000,MATCH(ROW()-ROW($AK$3),$AJ$4:$AJ$1000,0)),"")</f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499"/>
      <c r="AF697" s="500"/>
      <c r="AG697" s="500"/>
      <c r="AH697" s="501"/>
      <c r="AJ697" s="229" t="str">
        <f>IF(OR(A697="",AND(ISNUMBER(FIND("[", A697)), ISNUMBER(FIND("ALL", A697)), ISNUMBER(FIND("]", A697)))),"",MAX(AJ$3:AJ696)+1)</f>
        <v/>
      </c>
      <c r="AK697" s="229" t="str">
        <f>IFERROR(INDEX($A$4:$A$1000,MATCH(ROW()-ROW($AK$3),$AJ$4:$AJ$1000,0)),"")</f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499"/>
      <c r="AF698" s="500"/>
      <c r="AG698" s="500"/>
      <c r="AH698" s="501"/>
      <c r="AJ698" s="229" t="str">
        <f>IF(OR(A698="",AND(ISNUMBER(FIND("[", A698)), ISNUMBER(FIND("ALL", A698)), ISNUMBER(FIND("]", A698)))),"",MAX(AJ$3:AJ697)+1)</f>
        <v/>
      </c>
      <c r="AK698" s="229" t="str">
        <f>IFERROR(INDEX($A$4:$A$1000,MATCH(ROW()-ROW($AK$3),$AJ$4:$AJ$1000,0)),"")</f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499"/>
      <c r="AF699" s="500"/>
      <c r="AG699" s="500"/>
      <c r="AH699" s="501"/>
      <c r="AJ699" s="229" t="str">
        <f>IF(OR(A699="",AND(ISNUMBER(FIND("[", A699)), ISNUMBER(FIND("ALL", A699)), ISNUMBER(FIND("]", A699)))),"",MAX(AJ$3:AJ698)+1)</f>
        <v/>
      </c>
      <c r="AK699" s="229" t="str">
        <f>IFERROR(INDEX($A$4:$A$1000,MATCH(ROW()-ROW($AK$3),$AJ$4:$AJ$1000,0)),"")</f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499"/>
      <c r="AF700" s="500"/>
      <c r="AG700" s="500"/>
      <c r="AH700" s="501"/>
      <c r="AJ700" s="229" t="str">
        <f>IF(OR(A700="",AND(ISNUMBER(FIND("[", A700)), ISNUMBER(FIND("ALL", A700)), ISNUMBER(FIND("]", A700)))),"",MAX(AJ$3:AJ699)+1)</f>
        <v/>
      </c>
      <c r="AK700" s="229" t="str">
        <f>IFERROR(INDEX($A$4:$A$1000,MATCH(ROW()-ROW($AK$3),$AJ$4:$AJ$1000,0)),"")</f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499"/>
      <c r="AF701" s="500"/>
      <c r="AG701" s="500"/>
      <c r="AH701" s="501"/>
      <c r="AJ701" s="229" t="str">
        <f>IF(OR(A701="",AND(ISNUMBER(FIND("[", A701)), ISNUMBER(FIND("ALL", A701)), ISNUMBER(FIND("]", A701)))),"",MAX(AJ$3:AJ700)+1)</f>
        <v/>
      </c>
      <c r="AK701" s="229" t="str">
        <f>IFERROR(INDEX($A$4:$A$1000,MATCH(ROW()-ROW($AK$3),$AJ$4:$AJ$1000,0)),"")</f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499"/>
      <c r="AF702" s="500"/>
      <c r="AG702" s="500"/>
      <c r="AH702" s="501"/>
      <c r="AJ702" s="229" t="str">
        <f>IF(OR(A702="",AND(ISNUMBER(FIND("[", A702)), ISNUMBER(FIND("ALL", A702)), ISNUMBER(FIND("]", A702)))),"",MAX(AJ$3:AJ701)+1)</f>
        <v/>
      </c>
      <c r="AK702" s="229" t="str">
        <f>IFERROR(INDEX($A$4:$A$1000,MATCH(ROW()-ROW($AK$3),$AJ$4:$AJ$1000,0)),"")</f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499"/>
      <c r="AF703" s="500"/>
      <c r="AG703" s="500"/>
      <c r="AH703" s="501"/>
      <c r="AJ703" s="229" t="str">
        <f>IF(OR(A703="",AND(ISNUMBER(FIND("[", A703)), ISNUMBER(FIND("ALL", A703)), ISNUMBER(FIND("]", A703)))),"",MAX(AJ$3:AJ702)+1)</f>
        <v/>
      </c>
      <c r="AK703" s="229" t="str">
        <f>IFERROR(INDEX($A$4:$A$1000,MATCH(ROW()-ROW($AK$3),$AJ$4:$AJ$1000,0)),"")</f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499"/>
      <c r="AF704" s="500"/>
      <c r="AG704" s="500"/>
      <c r="AH704" s="501"/>
      <c r="AJ704" s="229" t="str">
        <f>IF(OR(A704="",AND(ISNUMBER(FIND("[", A704)), ISNUMBER(FIND("ALL", A704)), ISNUMBER(FIND("]", A704)))),"",MAX(AJ$3:AJ703)+1)</f>
        <v/>
      </c>
      <c r="AK704" s="229" t="str">
        <f>IFERROR(INDEX($A$4:$A$1000,MATCH(ROW()-ROW($AK$3),$AJ$4:$AJ$1000,0)),"")</f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499"/>
      <c r="AF705" s="500"/>
      <c r="AG705" s="500"/>
      <c r="AH705" s="501"/>
      <c r="AJ705" s="229" t="str">
        <f>IF(OR(A705="",AND(ISNUMBER(FIND("[", A705)), ISNUMBER(FIND("ALL", A705)), ISNUMBER(FIND("]", A705)))),"",MAX(AJ$3:AJ704)+1)</f>
        <v/>
      </c>
      <c r="AK705" s="229" t="str">
        <f>IFERROR(INDEX($A$4:$A$1000,MATCH(ROW()-ROW($AK$3),$AJ$4:$AJ$1000,0)),"")</f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499"/>
      <c r="AF706" s="500"/>
      <c r="AG706" s="500"/>
      <c r="AH706" s="501"/>
      <c r="AJ706" s="229" t="str">
        <f>IF(OR(A706="",AND(ISNUMBER(FIND("[", A706)), ISNUMBER(FIND("ALL", A706)), ISNUMBER(FIND("]", A706)))),"",MAX(AJ$3:AJ705)+1)</f>
        <v/>
      </c>
      <c r="AK706" s="229" t="str">
        <f>IFERROR(INDEX($A$4:$A$1000,MATCH(ROW()-ROW($AK$3),$AJ$4:$AJ$1000,0)),"")</f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499"/>
      <c r="AF707" s="500"/>
      <c r="AG707" s="500"/>
      <c r="AH707" s="501"/>
      <c r="AJ707" s="229" t="str">
        <f>IF(OR(A707="",AND(ISNUMBER(FIND("[", A707)), ISNUMBER(FIND("ALL", A707)), ISNUMBER(FIND("]", A707)))),"",MAX(AJ$3:AJ706)+1)</f>
        <v/>
      </c>
      <c r="AK707" s="229" t="str">
        <f>IFERROR(INDEX($A$4:$A$1000,MATCH(ROW()-ROW($AK$3),$AJ$4:$AJ$1000,0)),"")</f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499"/>
      <c r="AF708" s="500"/>
      <c r="AG708" s="500"/>
      <c r="AH708" s="501"/>
      <c r="AJ708" s="229" t="str">
        <f>IF(OR(A708="",AND(ISNUMBER(FIND("[", A708)), ISNUMBER(FIND("ALL", A708)), ISNUMBER(FIND("]", A708)))),"",MAX(AJ$3:AJ707)+1)</f>
        <v/>
      </c>
      <c r="AK708" s="229" t="str">
        <f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499"/>
      <c r="AF709" s="500"/>
      <c r="AG709" s="500"/>
      <c r="AH709" s="501"/>
      <c r="AJ709" s="229" t="str">
        <f>IF(OR(A709="",AND(ISNUMBER(FIND("[", A709)), ISNUMBER(FIND("ALL", A709)), ISNUMBER(FIND("]", A709)))),"",MAX(AJ$3:AJ708)+1)</f>
        <v/>
      </c>
      <c r="AK709" s="229" t="str">
        <f>IFERROR(INDEX($A$4:$A$1000,MATCH(ROW()-ROW($AK$3),$AJ$4:$AJ$1000,0)),"")</f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499"/>
      <c r="AF710" s="500"/>
      <c r="AG710" s="500"/>
      <c r="AH710" s="501"/>
      <c r="AJ710" s="229" t="str">
        <f>IF(OR(A710="",AND(ISNUMBER(FIND("[", A710)), ISNUMBER(FIND("ALL", A710)), ISNUMBER(FIND("]", A710)))),"",MAX(AJ$3:AJ709)+1)</f>
        <v/>
      </c>
      <c r="AK710" s="229" t="str">
        <f>IFERROR(INDEX($A$4:$A$1000,MATCH(ROW()-ROW($AK$3),$AJ$4:$AJ$1000,0)),"")</f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499"/>
      <c r="AF711" s="500"/>
      <c r="AG711" s="500"/>
      <c r="AH711" s="501"/>
      <c r="AJ711" s="229" t="str">
        <f>IF(OR(A711="",AND(ISNUMBER(FIND("[", A711)), ISNUMBER(FIND("ALL", A711)), ISNUMBER(FIND("]", A711)))),"",MAX(AJ$3:AJ710)+1)</f>
        <v/>
      </c>
      <c r="AK711" s="229" t="str">
        <f>IFERROR(INDEX($A$4:$A$1000,MATCH(ROW()-ROW($AK$3),$AJ$4:$AJ$1000,0)),"")</f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499"/>
      <c r="AF712" s="500"/>
      <c r="AG712" s="500"/>
      <c r="AH712" s="501"/>
      <c r="AJ712" s="229" t="str">
        <f>IF(OR(A712="",AND(ISNUMBER(FIND("[", A712)), ISNUMBER(FIND("ALL", A712)), ISNUMBER(FIND("]", A712)))),"",MAX(AJ$3:AJ711)+1)</f>
        <v/>
      </c>
      <c r="AK712" s="229" t="str">
        <f>IFERROR(INDEX($A$4:$A$1000,MATCH(ROW()-ROW($AK$3),$AJ$4:$AJ$1000,0)),"")</f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499"/>
      <c r="AF713" s="500"/>
      <c r="AG713" s="500"/>
      <c r="AH713" s="501"/>
      <c r="AJ713" s="229" t="str">
        <f>IF(OR(A713="",AND(ISNUMBER(FIND("[", A713)), ISNUMBER(FIND("ALL", A713)), ISNUMBER(FIND("]", A713)))),"",MAX(AJ$3:AJ712)+1)</f>
        <v/>
      </c>
      <c r="AK713" s="229" t="str">
        <f>IFERROR(INDEX($A$4:$A$1000,MATCH(ROW()-ROW($AK$3),$AJ$4:$AJ$1000,0)),"")</f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499"/>
      <c r="AF714" s="500"/>
      <c r="AG714" s="500"/>
      <c r="AH714" s="501"/>
      <c r="AJ714" s="229" t="str">
        <f>IF(OR(A714="",AND(ISNUMBER(FIND("[", A714)), ISNUMBER(FIND("ALL", A714)), ISNUMBER(FIND("]", A714)))),"",MAX(AJ$3:AJ713)+1)</f>
        <v/>
      </c>
      <c r="AK714" s="229" t="str">
        <f>IFERROR(INDEX($A$4:$A$1000,MATCH(ROW()-ROW($AK$3),$AJ$4:$AJ$1000,0)),"")</f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499"/>
      <c r="AF715" s="500"/>
      <c r="AG715" s="500"/>
      <c r="AH715" s="501"/>
      <c r="AJ715" s="229" t="str">
        <f>IF(OR(A715="",AND(ISNUMBER(FIND("[", A715)), ISNUMBER(FIND("ALL", A715)), ISNUMBER(FIND("]", A715)))),"",MAX(AJ$3:AJ714)+1)</f>
        <v/>
      </c>
      <c r="AK715" s="229" t="str">
        <f>IFERROR(INDEX($A$4:$A$1000,MATCH(ROW()-ROW($AK$3),$AJ$4:$AJ$1000,0)),"")</f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499"/>
      <c r="AF716" s="500"/>
      <c r="AG716" s="500"/>
      <c r="AH716" s="501"/>
      <c r="AJ716" s="229" t="str">
        <f>IF(OR(A716="",AND(ISNUMBER(FIND("[", A716)), ISNUMBER(FIND("ALL", A716)), ISNUMBER(FIND("]", A716)))),"",MAX(AJ$3:AJ715)+1)</f>
        <v/>
      </c>
      <c r="AK716" s="229" t="str">
        <f>IFERROR(INDEX($A$4:$A$1000,MATCH(ROW()-ROW($AK$3),$AJ$4:$AJ$1000,0)),"")</f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499"/>
      <c r="AF717" s="500"/>
      <c r="AG717" s="500"/>
      <c r="AH717" s="501"/>
      <c r="AJ717" s="229" t="str">
        <f>IF(OR(A717="",AND(ISNUMBER(FIND("[", A717)), ISNUMBER(FIND("ALL", A717)), ISNUMBER(FIND("]", A717)))),"",MAX(AJ$3:AJ716)+1)</f>
        <v/>
      </c>
      <c r="AK717" s="229" t="str">
        <f>IFERROR(INDEX($A$4:$A$1000,MATCH(ROW()-ROW($AK$3),$AJ$4:$AJ$1000,0)),"")</f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499"/>
      <c r="AF718" s="500"/>
      <c r="AG718" s="500"/>
      <c r="AH718" s="501"/>
      <c r="AJ718" s="229" t="str">
        <f>IF(OR(A718="",AND(ISNUMBER(FIND("[", A718)), ISNUMBER(FIND("ALL", A718)), ISNUMBER(FIND("]", A718)))),"",MAX(AJ$3:AJ717)+1)</f>
        <v/>
      </c>
      <c r="AK718" s="229" t="str">
        <f>IFERROR(INDEX($A$4:$A$1000,MATCH(ROW()-ROW($AK$3),$AJ$4:$AJ$1000,0)),"")</f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499"/>
      <c r="AF719" s="500"/>
      <c r="AG719" s="500"/>
      <c r="AH719" s="501"/>
      <c r="AJ719" s="229" t="str">
        <f>IF(OR(A719="",AND(ISNUMBER(FIND("[", A719)), ISNUMBER(FIND("ALL", A719)), ISNUMBER(FIND("]", A719)))),"",MAX(AJ$3:AJ718)+1)</f>
        <v/>
      </c>
      <c r="AK719" s="229" t="str">
        <f>IFERROR(INDEX($A$4:$A$1000,MATCH(ROW()-ROW($AK$3),$AJ$4:$AJ$1000,0)),"")</f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499"/>
      <c r="AF720" s="500"/>
      <c r="AG720" s="500"/>
      <c r="AH720" s="501"/>
      <c r="AJ720" s="229" t="str">
        <f>IF(OR(A720="",AND(ISNUMBER(FIND("[", A720)), ISNUMBER(FIND("ALL", A720)), ISNUMBER(FIND("]", A720)))),"",MAX(AJ$3:AJ719)+1)</f>
        <v/>
      </c>
      <c r="AK720" s="229" t="str">
        <f>IFERROR(INDEX($A$4:$A$1000,MATCH(ROW()-ROW($AK$3),$AJ$4:$AJ$1000,0)),"")</f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499"/>
      <c r="AF721" s="500"/>
      <c r="AG721" s="500"/>
      <c r="AH721" s="501"/>
      <c r="AJ721" s="229" t="str">
        <f>IF(OR(A721="",AND(ISNUMBER(FIND("[", A721)), ISNUMBER(FIND("ALL", A721)), ISNUMBER(FIND("]", A721)))),"",MAX(AJ$3:AJ720)+1)</f>
        <v/>
      </c>
      <c r="AK721" s="229" t="str">
        <f>IFERROR(INDEX($A$4:$A$1000,MATCH(ROW()-ROW($AK$3),$AJ$4:$AJ$1000,0)),"")</f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499"/>
      <c r="AF722" s="500"/>
      <c r="AG722" s="500"/>
      <c r="AH722" s="501"/>
      <c r="AJ722" s="229" t="str">
        <f>IF(OR(A722="",AND(ISNUMBER(FIND("[", A722)), ISNUMBER(FIND("ALL", A722)), ISNUMBER(FIND("]", A722)))),"",MAX(AJ$3:AJ721)+1)</f>
        <v/>
      </c>
      <c r="AK722" s="229" t="str">
        <f>IFERROR(INDEX($A$4:$A$1000,MATCH(ROW()-ROW($AK$3),$AJ$4:$AJ$1000,0)),"")</f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499"/>
      <c r="AF723" s="500"/>
      <c r="AG723" s="500"/>
      <c r="AH723" s="501"/>
      <c r="AJ723" s="229" t="str">
        <f>IF(OR(A723="",AND(ISNUMBER(FIND("[", A723)), ISNUMBER(FIND("ALL", A723)), ISNUMBER(FIND("]", A723)))),"",MAX(AJ$3:AJ722)+1)</f>
        <v/>
      </c>
      <c r="AK723" s="229" t="str">
        <f>IFERROR(INDEX($A$4:$A$1000,MATCH(ROW()-ROW($AK$3),$AJ$4:$AJ$1000,0)),"")</f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499"/>
      <c r="AF724" s="500"/>
      <c r="AG724" s="500"/>
      <c r="AH724" s="501"/>
      <c r="AJ724" s="229" t="str">
        <f>IF(OR(A724="",AND(ISNUMBER(FIND("[", A724)), ISNUMBER(FIND("ALL", A724)), ISNUMBER(FIND("]", A724)))),"",MAX(AJ$3:AJ723)+1)</f>
        <v/>
      </c>
      <c r="AK724" s="229" t="str">
        <f>IFERROR(INDEX($A$4:$A$1000,MATCH(ROW()-ROW($AK$3),$AJ$4:$AJ$1000,0)),"")</f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499"/>
      <c r="AF725" s="500"/>
      <c r="AG725" s="500"/>
      <c r="AH725" s="501"/>
      <c r="AJ725" s="229" t="str">
        <f>IF(OR(A725="",AND(ISNUMBER(FIND("[", A725)), ISNUMBER(FIND("ALL", A725)), ISNUMBER(FIND("]", A725)))),"",MAX(AJ$3:AJ724)+1)</f>
        <v/>
      </c>
      <c r="AK725" s="229" t="str">
        <f>IFERROR(INDEX($A$4:$A$1000,MATCH(ROW()-ROW($AK$3),$AJ$4:$AJ$1000,0)),"")</f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499"/>
      <c r="AF726" s="500"/>
      <c r="AG726" s="500"/>
      <c r="AH726" s="501"/>
      <c r="AJ726" s="229" t="str">
        <f>IF(OR(A726="",AND(ISNUMBER(FIND("[", A726)), ISNUMBER(FIND("ALL", A726)), ISNUMBER(FIND("]", A726)))),"",MAX(AJ$3:AJ725)+1)</f>
        <v/>
      </c>
      <c r="AK726" s="229" t="str">
        <f>IFERROR(INDEX($A$4:$A$1000,MATCH(ROW()-ROW($AK$3),$AJ$4:$AJ$1000,0)),"")</f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499"/>
      <c r="AF727" s="500"/>
      <c r="AG727" s="500"/>
      <c r="AH727" s="501"/>
      <c r="AJ727" s="229" t="str">
        <f>IF(OR(A727="",AND(ISNUMBER(FIND("[", A727)), ISNUMBER(FIND("ALL", A727)), ISNUMBER(FIND("]", A727)))),"",MAX(AJ$3:AJ726)+1)</f>
        <v/>
      </c>
      <c r="AK727" s="229" t="str">
        <f>IFERROR(INDEX($A$4:$A$1000,MATCH(ROW()-ROW($AK$3),$AJ$4:$AJ$1000,0)),"")</f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499"/>
      <c r="AF728" s="500"/>
      <c r="AG728" s="500"/>
      <c r="AH728" s="501"/>
      <c r="AJ728" s="229" t="str">
        <f>IF(OR(A728="",AND(ISNUMBER(FIND("[", A728)), ISNUMBER(FIND("ALL", A728)), ISNUMBER(FIND("]", A728)))),"",MAX(AJ$3:AJ727)+1)</f>
        <v/>
      </c>
      <c r="AK728" s="229" t="str">
        <f>IFERROR(INDEX($A$4:$A$1000,MATCH(ROW()-ROW($AK$3),$AJ$4:$AJ$1000,0)),"")</f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499"/>
      <c r="AF729" s="500"/>
      <c r="AG729" s="500"/>
      <c r="AH729" s="501"/>
      <c r="AJ729" s="229" t="str">
        <f>IF(OR(A729="",AND(ISNUMBER(FIND("[", A729)), ISNUMBER(FIND("ALL", A729)), ISNUMBER(FIND("]", A729)))),"",MAX(AJ$3:AJ728)+1)</f>
        <v/>
      </c>
      <c r="AK729" s="229" t="str">
        <f>IFERROR(INDEX($A$4:$A$1000,MATCH(ROW()-ROW($AK$3),$AJ$4:$AJ$1000,0)),"")</f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499"/>
      <c r="AF730" s="500"/>
      <c r="AG730" s="500"/>
      <c r="AH730" s="501"/>
      <c r="AJ730" s="229" t="str">
        <f>IF(OR(A730="",AND(ISNUMBER(FIND("[", A730)), ISNUMBER(FIND("ALL", A730)), ISNUMBER(FIND("]", A730)))),"",MAX(AJ$3:AJ729)+1)</f>
        <v/>
      </c>
      <c r="AK730" s="229" t="str">
        <f>IFERROR(INDEX($A$4:$A$1000,MATCH(ROW()-ROW($AK$3),$AJ$4:$AJ$1000,0)),"")</f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499"/>
      <c r="AF731" s="500"/>
      <c r="AG731" s="500"/>
      <c r="AH731" s="501"/>
      <c r="AJ731" s="229" t="str">
        <f>IF(OR(A731="",AND(ISNUMBER(FIND("[", A731)), ISNUMBER(FIND("ALL", A731)), ISNUMBER(FIND("]", A731)))),"",MAX(AJ$3:AJ730)+1)</f>
        <v/>
      </c>
      <c r="AK731" s="229" t="str">
        <f>IFERROR(INDEX($A$4:$A$1000,MATCH(ROW()-ROW($AK$3),$AJ$4:$AJ$1000,0)),"")</f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499"/>
      <c r="AF732" s="500"/>
      <c r="AG732" s="500"/>
      <c r="AH732" s="501"/>
      <c r="AJ732" s="229" t="str">
        <f>IF(OR(A732="",AND(ISNUMBER(FIND("[", A732)), ISNUMBER(FIND("ALL", A732)), ISNUMBER(FIND("]", A732)))),"",MAX(AJ$3:AJ731)+1)</f>
        <v/>
      </c>
      <c r="AK732" s="229" t="str">
        <f>IFERROR(INDEX($A$4:$A$1000,MATCH(ROW()-ROW($AK$3),$AJ$4:$AJ$1000,0)),"")</f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499"/>
      <c r="AF733" s="500"/>
      <c r="AG733" s="500"/>
      <c r="AH733" s="501"/>
      <c r="AJ733" s="229" t="str">
        <f>IF(OR(A733="",AND(ISNUMBER(FIND("[", A733)), ISNUMBER(FIND("ALL", A733)), ISNUMBER(FIND("]", A733)))),"",MAX(AJ$3:AJ732)+1)</f>
        <v/>
      </c>
      <c r="AK733" s="229" t="str">
        <f>IFERROR(INDEX($A$4:$A$1000,MATCH(ROW()-ROW($AK$3),$AJ$4:$AJ$1000,0)),"")</f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499"/>
      <c r="AF734" s="500"/>
      <c r="AG734" s="500"/>
      <c r="AH734" s="501"/>
      <c r="AJ734" s="229" t="str">
        <f>IF(OR(A734="",AND(ISNUMBER(FIND("[", A734)), ISNUMBER(FIND("ALL", A734)), ISNUMBER(FIND("]", A734)))),"",MAX(AJ$3:AJ733)+1)</f>
        <v/>
      </c>
      <c r="AK734" s="229" t="str">
        <f>IFERROR(INDEX($A$4:$A$1000,MATCH(ROW()-ROW($AK$3),$AJ$4:$AJ$1000,0)),"")</f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499"/>
      <c r="AF735" s="500"/>
      <c r="AG735" s="500"/>
      <c r="AH735" s="501"/>
      <c r="AJ735" s="229" t="str">
        <f>IF(OR(A735="",AND(ISNUMBER(FIND("[", A735)), ISNUMBER(FIND("ALL", A735)), ISNUMBER(FIND("]", A735)))),"",MAX(AJ$3:AJ734)+1)</f>
        <v/>
      </c>
      <c r="AK735" s="229" t="str">
        <f>IFERROR(INDEX($A$4:$A$1000,MATCH(ROW()-ROW($AK$3),$AJ$4:$AJ$1000,0)),"")</f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499"/>
      <c r="AF736" s="500"/>
      <c r="AG736" s="500"/>
      <c r="AH736" s="501"/>
      <c r="AJ736" s="229" t="str">
        <f>IF(OR(A736="",AND(ISNUMBER(FIND("[", A736)), ISNUMBER(FIND("ALL", A736)), ISNUMBER(FIND("]", A736)))),"",MAX(AJ$3:AJ735)+1)</f>
        <v/>
      </c>
      <c r="AK736" s="229" t="str">
        <f>IFERROR(INDEX($A$4:$A$1000,MATCH(ROW()-ROW($AK$3),$AJ$4:$AJ$1000,0)),"")</f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499"/>
      <c r="AF737" s="500"/>
      <c r="AG737" s="500"/>
      <c r="AH737" s="501"/>
      <c r="AJ737" s="229" t="str">
        <f>IF(OR(A737="",AND(ISNUMBER(FIND("[", A737)), ISNUMBER(FIND("ALL", A737)), ISNUMBER(FIND("]", A737)))),"",MAX(AJ$3:AJ736)+1)</f>
        <v/>
      </c>
      <c r="AK737" s="229" t="str">
        <f>IFERROR(INDEX($A$4:$A$1000,MATCH(ROW()-ROW($AK$3),$AJ$4:$AJ$1000,0)),"")</f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499"/>
      <c r="AF738" s="500"/>
      <c r="AG738" s="500"/>
      <c r="AH738" s="501"/>
      <c r="AJ738" s="229" t="str">
        <f>IF(OR(A738="",AND(ISNUMBER(FIND("[", A738)), ISNUMBER(FIND("ALL", A738)), ISNUMBER(FIND("]", A738)))),"",MAX(AJ$3:AJ737)+1)</f>
        <v/>
      </c>
      <c r="AK738" s="229" t="str">
        <f>IFERROR(INDEX($A$4:$A$1000,MATCH(ROW()-ROW($AK$3),$AJ$4:$AJ$1000,0)),"")</f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499"/>
      <c r="AF739" s="500"/>
      <c r="AG739" s="500"/>
      <c r="AH739" s="501"/>
      <c r="AJ739" s="229" t="str">
        <f>IF(OR(A739="",AND(ISNUMBER(FIND("[", A739)), ISNUMBER(FIND("ALL", A739)), ISNUMBER(FIND("]", A739)))),"",MAX(AJ$3:AJ738)+1)</f>
        <v/>
      </c>
      <c r="AK739" s="229" t="str">
        <f>IFERROR(INDEX($A$4:$A$1000,MATCH(ROW()-ROW($AK$3),$AJ$4:$AJ$1000,0)),"")</f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499"/>
      <c r="AF740" s="500"/>
      <c r="AG740" s="500"/>
      <c r="AH740" s="501"/>
      <c r="AJ740" s="229" t="str">
        <f>IF(OR(A740="",AND(ISNUMBER(FIND("[", A740)), ISNUMBER(FIND("ALL", A740)), ISNUMBER(FIND("]", A740)))),"",MAX(AJ$3:AJ739)+1)</f>
        <v/>
      </c>
      <c r="AK740" s="229" t="str">
        <f>IFERROR(INDEX($A$4:$A$1000,MATCH(ROW()-ROW($AK$3),$AJ$4:$AJ$1000,0)),"")</f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499"/>
      <c r="AF741" s="500"/>
      <c r="AG741" s="500"/>
      <c r="AH741" s="501"/>
      <c r="AJ741" s="229" t="str">
        <f>IF(OR(A741="",AND(ISNUMBER(FIND("[", A741)), ISNUMBER(FIND("ALL", A741)), ISNUMBER(FIND("]", A741)))),"",MAX(AJ$3:AJ740)+1)</f>
        <v/>
      </c>
      <c r="AK741" s="229" t="str">
        <f>IFERROR(INDEX($A$4:$A$1000,MATCH(ROW()-ROW($AK$3),$AJ$4:$AJ$1000,0)),"")</f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499"/>
      <c r="AF742" s="500"/>
      <c r="AG742" s="500"/>
      <c r="AH742" s="501"/>
      <c r="AJ742" s="229" t="str">
        <f>IF(OR(A742="",AND(ISNUMBER(FIND("[", A742)), ISNUMBER(FIND("ALL", A742)), ISNUMBER(FIND("]", A742)))),"",MAX(AJ$3:AJ741)+1)</f>
        <v/>
      </c>
      <c r="AK742" s="229" t="str">
        <f>IFERROR(INDEX($A$4:$A$1000,MATCH(ROW()-ROW($AK$3),$AJ$4:$AJ$1000,0)),"")</f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499"/>
      <c r="AF743" s="500"/>
      <c r="AG743" s="500"/>
      <c r="AH743" s="501"/>
      <c r="AJ743" s="229" t="str">
        <f>IF(OR(A743="",AND(ISNUMBER(FIND("[", A743)), ISNUMBER(FIND("ALL", A743)), ISNUMBER(FIND("]", A743)))),"",MAX(AJ$3:AJ742)+1)</f>
        <v/>
      </c>
      <c r="AK743" s="229" t="str">
        <f>IFERROR(INDEX($A$4:$A$1000,MATCH(ROW()-ROW($AK$3),$AJ$4:$AJ$1000,0)),"")</f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499"/>
      <c r="AF744" s="500"/>
      <c r="AG744" s="500"/>
      <c r="AH744" s="501"/>
      <c r="AJ744" s="229" t="str">
        <f>IF(OR(A744="",AND(ISNUMBER(FIND("[", A744)), ISNUMBER(FIND("ALL", A744)), ISNUMBER(FIND("]", A744)))),"",MAX(AJ$3:AJ743)+1)</f>
        <v/>
      </c>
      <c r="AK744" s="229" t="str">
        <f>IFERROR(INDEX($A$4:$A$1000,MATCH(ROW()-ROW($AK$3),$AJ$4:$AJ$1000,0)),"")</f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499"/>
      <c r="AF745" s="500"/>
      <c r="AG745" s="500"/>
      <c r="AH745" s="501"/>
      <c r="AJ745" s="229" t="str">
        <f>IF(OR(A745="",AND(ISNUMBER(FIND("[", A745)), ISNUMBER(FIND("ALL", A745)), ISNUMBER(FIND("]", A745)))),"",MAX(AJ$3:AJ744)+1)</f>
        <v/>
      </c>
      <c r="AK745" s="229" t="str">
        <f>IFERROR(INDEX($A$4:$A$1000,MATCH(ROW()-ROW($AK$3),$AJ$4:$AJ$1000,0)),"")</f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499"/>
      <c r="AF746" s="500"/>
      <c r="AG746" s="500"/>
      <c r="AH746" s="501"/>
      <c r="AJ746" s="229" t="str">
        <f>IF(OR(A746="",AND(ISNUMBER(FIND("[", A746)), ISNUMBER(FIND("ALL", A746)), ISNUMBER(FIND("]", A746)))),"",MAX(AJ$3:AJ745)+1)</f>
        <v/>
      </c>
      <c r="AK746" s="229" t="str">
        <f>IFERROR(INDEX($A$4:$A$1000,MATCH(ROW()-ROW($AK$3),$AJ$4:$AJ$1000,0)),"")</f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499"/>
      <c r="AF747" s="500"/>
      <c r="AG747" s="500"/>
      <c r="AH747" s="501"/>
      <c r="AJ747" s="229" t="str">
        <f>IF(OR(A747="",AND(ISNUMBER(FIND("[", A747)), ISNUMBER(FIND("ALL", A747)), ISNUMBER(FIND("]", A747)))),"",MAX(AJ$3:AJ746)+1)</f>
        <v/>
      </c>
      <c r="AK747" s="229" t="str">
        <f>IFERROR(INDEX($A$4:$A$1000,MATCH(ROW()-ROW($AK$3),$AJ$4:$AJ$1000,0)),"")</f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499"/>
      <c r="AF748" s="500"/>
      <c r="AG748" s="500"/>
      <c r="AH748" s="501"/>
      <c r="AJ748" s="229" t="str">
        <f>IF(OR(A748="",AND(ISNUMBER(FIND("[", A748)), ISNUMBER(FIND("ALL", A748)), ISNUMBER(FIND("]", A748)))),"",MAX(AJ$3:AJ747)+1)</f>
        <v/>
      </c>
      <c r="AK748" s="229" t="str">
        <f>IFERROR(INDEX($A$4:$A$1000,MATCH(ROW()-ROW($AK$3),$AJ$4:$AJ$1000,0)),"")</f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499"/>
      <c r="AF749" s="500"/>
      <c r="AG749" s="500"/>
      <c r="AH749" s="501"/>
      <c r="AJ749" s="229" t="str">
        <f>IF(OR(A749="",AND(ISNUMBER(FIND("[", A749)), ISNUMBER(FIND("ALL", A749)), ISNUMBER(FIND("]", A749)))),"",MAX(AJ$3:AJ748)+1)</f>
        <v/>
      </c>
      <c r="AK749" s="229" t="str">
        <f>IFERROR(INDEX($A$4:$A$1000,MATCH(ROW()-ROW($AK$3),$AJ$4:$AJ$1000,0)),"")</f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499"/>
      <c r="AF750" s="500"/>
      <c r="AG750" s="500"/>
      <c r="AH750" s="501"/>
      <c r="AJ750" s="229" t="str">
        <f>IF(OR(A750="",AND(ISNUMBER(FIND("[", A750)), ISNUMBER(FIND("ALL", A750)), ISNUMBER(FIND("]", A750)))),"",MAX(AJ$3:AJ749)+1)</f>
        <v/>
      </c>
      <c r="AK750" s="229" t="str">
        <f>IFERROR(INDEX($A$4:$A$1000,MATCH(ROW()-ROW($AK$3),$AJ$4:$AJ$1000,0)),"")</f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499"/>
      <c r="AF751" s="500"/>
      <c r="AG751" s="500"/>
      <c r="AH751" s="501"/>
      <c r="AJ751" s="229" t="str">
        <f>IF(OR(A751="",AND(ISNUMBER(FIND("[", A751)), ISNUMBER(FIND("ALL", A751)), ISNUMBER(FIND("]", A751)))),"",MAX(AJ$3:AJ750)+1)</f>
        <v/>
      </c>
      <c r="AK751" s="229" t="str">
        <f>IFERROR(INDEX($A$4:$A$1000,MATCH(ROW()-ROW($AK$3),$AJ$4:$AJ$1000,0)),"")</f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499"/>
      <c r="AF752" s="500"/>
      <c r="AG752" s="500"/>
      <c r="AH752" s="501"/>
      <c r="AJ752" s="229" t="str">
        <f>IF(OR(A752="",AND(ISNUMBER(FIND("[", A752)), ISNUMBER(FIND("ALL", A752)), ISNUMBER(FIND("]", A752)))),"",MAX(AJ$3:AJ751)+1)</f>
        <v/>
      </c>
      <c r="AK752" s="229" t="str">
        <f>IFERROR(INDEX($A$4:$A$1000,MATCH(ROW()-ROW($AK$3),$AJ$4:$AJ$1000,0)),"")</f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499"/>
      <c r="AF753" s="500"/>
      <c r="AG753" s="500"/>
      <c r="AH753" s="501"/>
      <c r="AJ753" s="229" t="str">
        <f>IF(OR(A753="",AND(ISNUMBER(FIND("[", A753)), ISNUMBER(FIND("ALL", A753)), ISNUMBER(FIND("]", A753)))),"",MAX(AJ$3:AJ752)+1)</f>
        <v/>
      </c>
      <c r="AK753" s="229" t="str">
        <f>IFERROR(INDEX($A$4:$A$1000,MATCH(ROW()-ROW($AK$3),$AJ$4:$AJ$1000,0)),"")</f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499"/>
      <c r="AF754" s="500"/>
      <c r="AG754" s="500"/>
      <c r="AH754" s="501"/>
      <c r="AJ754" s="229" t="str">
        <f>IF(OR(A754="",AND(ISNUMBER(FIND("[", A754)), ISNUMBER(FIND("ALL", A754)), ISNUMBER(FIND("]", A754)))),"",MAX(AJ$3:AJ753)+1)</f>
        <v/>
      </c>
      <c r="AK754" s="229" t="str">
        <f>IFERROR(INDEX($A$4:$A$1000,MATCH(ROW()-ROW($AK$3),$AJ$4:$AJ$1000,0)),"")</f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499"/>
      <c r="AF755" s="500"/>
      <c r="AG755" s="500"/>
      <c r="AH755" s="501"/>
      <c r="AJ755" s="229" t="str">
        <f>IF(OR(A755="",AND(ISNUMBER(FIND("[", A755)), ISNUMBER(FIND("ALL", A755)), ISNUMBER(FIND("]", A755)))),"",MAX(AJ$3:AJ754)+1)</f>
        <v/>
      </c>
      <c r="AK755" s="229" t="str">
        <f>IFERROR(INDEX($A$4:$A$1000,MATCH(ROW()-ROW($AK$3),$AJ$4:$AJ$1000,0)),"")</f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499"/>
      <c r="AF756" s="500"/>
      <c r="AG756" s="500"/>
      <c r="AH756" s="501"/>
      <c r="AJ756" s="229" t="str">
        <f>IF(OR(A756="",AND(ISNUMBER(FIND("[", A756)), ISNUMBER(FIND("ALL", A756)), ISNUMBER(FIND("]", A756)))),"",MAX(AJ$3:AJ755)+1)</f>
        <v/>
      </c>
      <c r="AK756" s="229" t="str">
        <f>IFERROR(INDEX($A$4:$A$1000,MATCH(ROW()-ROW($AK$3),$AJ$4:$AJ$1000,0)),"")</f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499"/>
      <c r="AF757" s="500"/>
      <c r="AG757" s="500"/>
      <c r="AH757" s="501"/>
      <c r="AJ757" s="229" t="str">
        <f>IF(OR(A757="",AND(ISNUMBER(FIND("[", A757)), ISNUMBER(FIND("ALL", A757)), ISNUMBER(FIND("]", A757)))),"",MAX(AJ$3:AJ756)+1)</f>
        <v/>
      </c>
      <c r="AK757" s="229" t="str">
        <f>IFERROR(INDEX($A$4:$A$1000,MATCH(ROW()-ROW($AK$3),$AJ$4:$AJ$1000,0)),"")</f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499"/>
      <c r="AF758" s="500"/>
      <c r="AG758" s="500"/>
      <c r="AH758" s="501"/>
      <c r="AJ758" s="229" t="str">
        <f>IF(OR(A758="",AND(ISNUMBER(FIND("[", A758)), ISNUMBER(FIND("ALL", A758)), ISNUMBER(FIND("]", A758)))),"",MAX(AJ$3:AJ757)+1)</f>
        <v/>
      </c>
      <c r="AK758" s="229" t="str">
        <f>IFERROR(INDEX($A$4:$A$1000,MATCH(ROW()-ROW($AK$3),$AJ$4:$AJ$1000,0)),"")</f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499"/>
      <c r="AF759" s="500"/>
      <c r="AG759" s="500"/>
      <c r="AH759" s="501"/>
      <c r="AJ759" s="229" t="str">
        <f>IF(OR(A759="",AND(ISNUMBER(FIND("[", A759)), ISNUMBER(FIND("ALL", A759)), ISNUMBER(FIND("]", A759)))),"",MAX(AJ$3:AJ758)+1)</f>
        <v/>
      </c>
      <c r="AK759" s="229" t="str">
        <f>IFERROR(INDEX($A$4:$A$1000,MATCH(ROW()-ROW($AK$3),$AJ$4:$AJ$1000,0)),"")</f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499"/>
      <c r="AF760" s="500"/>
      <c r="AG760" s="500"/>
      <c r="AH760" s="501"/>
      <c r="AJ760" s="229" t="str">
        <f>IF(OR(A760="",AND(ISNUMBER(FIND("[", A760)), ISNUMBER(FIND("ALL", A760)), ISNUMBER(FIND("]", A760)))),"",MAX(AJ$3:AJ759)+1)</f>
        <v/>
      </c>
      <c r="AK760" s="229" t="str">
        <f>IFERROR(INDEX($A$4:$A$1000,MATCH(ROW()-ROW($AK$3),$AJ$4:$AJ$1000,0)),"")</f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499"/>
      <c r="AF761" s="500"/>
      <c r="AG761" s="500"/>
      <c r="AH761" s="501"/>
      <c r="AJ761" s="229" t="str">
        <f>IF(OR(A761="",AND(ISNUMBER(FIND("[", A761)), ISNUMBER(FIND("ALL", A761)), ISNUMBER(FIND("]", A761)))),"",MAX(AJ$3:AJ760)+1)</f>
        <v/>
      </c>
      <c r="AK761" s="229" t="str">
        <f>IFERROR(INDEX($A$4:$A$1000,MATCH(ROW()-ROW($AK$3),$AJ$4:$AJ$1000,0)),"")</f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499"/>
      <c r="AF762" s="500"/>
      <c r="AG762" s="500"/>
      <c r="AH762" s="501"/>
      <c r="AJ762" s="229" t="str">
        <f>IF(OR(A762="",AND(ISNUMBER(FIND("[", A762)), ISNUMBER(FIND("ALL", A762)), ISNUMBER(FIND("]", A762)))),"",MAX(AJ$3:AJ761)+1)</f>
        <v/>
      </c>
      <c r="AK762" s="229" t="str">
        <f>IFERROR(INDEX($A$4:$A$1000,MATCH(ROW()-ROW($AK$3),$AJ$4:$AJ$1000,0)),"")</f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499"/>
      <c r="AF763" s="500"/>
      <c r="AG763" s="500"/>
      <c r="AH763" s="501"/>
      <c r="AJ763" s="229" t="str">
        <f>IF(OR(A763="",AND(ISNUMBER(FIND("[", A763)), ISNUMBER(FIND("ALL", A763)), ISNUMBER(FIND("]", A763)))),"",MAX(AJ$3:AJ762)+1)</f>
        <v/>
      </c>
      <c r="AK763" s="229" t="str">
        <f>IFERROR(INDEX($A$4:$A$1000,MATCH(ROW()-ROW($AK$3),$AJ$4:$AJ$1000,0)),"")</f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499"/>
      <c r="AF764" s="500"/>
      <c r="AG764" s="500"/>
      <c r="AH764" s="501"/>
      <c r="AJ764" s="229" t="str">
        <f>IF(OR(A764="",AND(ISNUMBER(FIND("[", A764)), ISNUMBER(FIND("ALL", A764)), ISNUMBER(FIND("]", A764)))),"",MAX(AJ$3:AJ763)+1)</f>
        <v/>
      </c>
      <c r="AK764" s="229" t="str">
        <f>IFERROR(INDEX($A$4:$A$1000,MATCH(ROW()-ROW($AK$3),$AJ$4:$AJ$1000,0)),"")</f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499"/>
      <c r="AF765" s="500"/>
      <c r="AG765" s="500"/>
      <c r="AH765" s="501"/>
      <c r="AJ765" s="229" t="str">
        <f>IF(OR(A765="",AND(ISNUMBER(FIND("[", A765)), ISNUMBER(FIND("ALL", A765)), ISNUMBER(FIND("]", A765)))),"",MAX(AJ$3:AJ764)+1)</f>
        <v/>
      </c>
      <c r="AK765" s="229" t="str">
        <f>IFERROR(INDEX($A$4:$A$1000,MATCH(ROW()-ROW($AK$3),$AJ$4:$AJ$1000,0)),"")</f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499"/>
      <c r="AF766" s="500"/>
      <c r="AG766" s="500"/>
      <c r="AH766" s="501"/>
      <c r="AJ766" s="229" t="str">
        <f>IF(OR(A766="",AND(ISNUMBER(FIND("[", A766)), ISNUMBER(FIND("ALL", A766)), ISNUMBER(FIND("]", A766)))),"",MAX(AJ$3:AJ765)+1)</f>
        <v/>
      </c>
      <c r="AK766" s="229" t="str">
        <f>IFERROR(INDEX($A$4:$A$1000,MATCH(ROW()-ROW($AK$3),$AJ$4:$AJ$1000,0)),"")</f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499"/>
      <c r="AF767" s="500"/>
      <c r="AG767" s="500"/>
      <c r="AH767" s="501"/>
      <c r="AJ767" s="229" t="str">
        <f>IF(OR(A767="",AND(ISNUMBER(FIND("[", A767)), ISNUMBER(FIND("ALL", A767)), ISNUMBER(FIND("]", A767)))),"",MAX(AJ$3:AJ766)+1)</f>
        <v/>
      </c>
      <c r="AK767" s="229" t="str">
        <f>IFERROR(INDEX($A$4:$A$1000,MATCH(ROW()-ROW($AK$3),$AJ$4:$AJ$1000,0)),"")</f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499"/>
      <c r="AF768" s="500"/>
      <c r="AG768" s="500"/>
      <c r="AH768" s="501"/>
      <c r="AJ768" s="229" t="str">
        <f>IF(OR(A768="",AND(ISNUMBER(FIND("[", A768)), ISNUMBER(FIND("ALL", A768)), ISNUMBER(FIND("]", A768)))),"",MAX(AJ$3:AJ767)+1)</f>
        <v/>
      </c>
      <c r="AK768" s="229" t="str">
        <f>IFERROR(INDEX($A$4:$A$1000,MATCH(ROW()-ROW($AK$3),$AJ$4:$AJ$1000,0)),"")</f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499"/>
      <c r="AF769" s="500"/>
      <c r="AG769" s="500"/>
      <c r="AH769" s="501"/>
      <c r="AJ769" s="229" t="str">
        <f>IF(OR(A769="",AND(ISNUMBER(FIND("[", A769)), ISNUMBER(FIND("ALL", A769)), ISNUMBER(FIND("]", A769)))),"",MAX(AJ$3:AJ768)+1)</f>
        <v/>
      </c>
      <c r="AK769" s="229" t="str">
        <f>IFERROR(INDEX($A$4:$A$1000,MATCH(ROW()-ROW($AK$3),$AJ$4:$AJ$1000,0)),"")</f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499"/>
      <c r="AF770" s="500"/>
      <c r="AG770" s="500"/>
      <c r="AH770" s="501"/>
      <c r="AJ770" s="229" t="str">
        <f>IF(OR(A770="",AND(ISNUMBER(FIND("[", A770)), ISNUMBER(FIND("ALL", A770)), ISNUMBER(FIND("]", A770)))),"",MAX(AJ$3:AJ769)+1)</f>
        <v/>
      </c>
      <c r="AK770" s="229" t="str">
        <f>IFERROR(INDEX($A$4:$A$1000,MATCH(ROW()-ROW($AK$3),$AJ$4:$AJ$1000,0)),"")</f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499"/>
      <c r="AF771" s="500"/>
      <c r="AG771" s="500"/>
      <c r="AH771" s="501"/>
      <c r="AJ771" s="229" t="str">
        <f>IF(OR(A771="",AND(ISNUMBER(FIND("[", A771)), ISNUMBER(FIND("ALL", A771)), ISNUMBER(FIND("]", A771)))),"",MAX(AJ$3:AJ770)+1)</f>
        <v/>
      </c>
      <c r="AK771" s="229" t="str">
        <f>IFERROR(INDEX($A$4:$A$1000,MATCH(ROW()-ROW($AK$3),$AJ$4:$AJ$1000,0)),"")</f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499"/>
      <c r="AF772" s="500"/>
      <c r="AG772" s="500"/>
      <c r="AH772" s="501"/>
      <c r="AJ772" s="229" t="str">
        <f>IF(OR(A772="",AND(ISNUMBER(FIND("[", A772)), ISNUMBER(FIND("ALL", A772)), ISNUMBER(FIND("]", A772)))),"",MAX(AJ$3:AJ771)+1)</f>
        <v/>
      </c>
      <c r="AK772" s="229" t="str">
        <f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499"/>
      <c r="AF773" s="500"/>
      <c r="AG773" s="500"/>
      <c r="AH773" s="501"/>
      <c r="AJ773" s="229" t="str">
        <f>IF(OR(A773="",AND(ISNUMBER(FIND("[", A773)), ISNUMBER(FIND("ALL", A773)), ISNUMBER(FIND("]", A773)))),"",MAX(AJ$3:AJ772)+1)</f>
        <v/>
      </c>
      <c r="AK773" s="229" t="str">
        <f>IFERROR(INDEX($A$4:$A$1000,MATCH(ROW()-ROW($AK$3),$AJ$4:$AJ$1000,0)),"")</f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499"/>
      <c r="AF774" s="500"/>
      <c r="AG774" s="500"/>
      <c r="AH774" s="501"/>
      <c r="AJ774" s="229" t="str">
        <f>IF(OR(A774="",AND(ISNUMBER(FIND("[", A774)), ISNUMBER(FIND("ALL", A774)), ISNUMBER(FIND("]", A774)))),"",MAX(AJ$3:AJ773)+1)</f>
        <v/>
      </c>
      <c r="AK774" s="229" t="str">
        <f>IFERROR(INDEX($A$4:$A$1000,MATCH(ROW()-ROW($AK$3),$AJ$4:$AJ$1000,0)),"")</f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499"/>
      <c r="AF775" s="500"/>
      <c r="AG775" s="500"/>
      <c r="AH775" s="501"/>
      <c r="AJ775" s="229" t="str">
        <f>IF(OR(A775="",AND(ISNUMBER(FIND("[", A775)), ISNUMBER(FIND("ALL", A775)), ISNUMBER(FIND("]", A775)))),"",MAX(AJ$3:AJ774)+1)</f>
        <v/>
      </c>
      <c r="AK775" s="229" t="str">
        <f>IFERROR(INDEX($A$4:$A$1000,MATCH(ROW()-ROW($AK$3),$AJ$4:$AJ$1000,0)),"")</f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499"/>
      <c r="AF776" s="500"/>
      <c r="AG776" s="500"/>
      <c r="AH776" s="501"/>
      <c r="AJ776" s="229" t="str">
        <f>IF(OR(A776="",AND(ISNUMBER(FIND("[", A776)), ISNUMBER(FIND("ALL", A776)), ISNUMBER(FIND("]", A776)))),"",MAX(AJ$3:AJ775)+1)</f>
        <v/>
      </c>
      <c r="AK776" s="229" t="str">
        <f>IFERROR(INDEX($A$4:$A$1000,MATCH(ROW()-ROW($AK$3),$AJ$4:$AJ$1000,0)),"")</f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499"/>
      <c r="AF777" s="500"/>
      <c r="AG777" s="500"/>
      <c r="AH777" s="501"/>
      <c r="AJ777" s="229" t="str">
        <f>IF(OR(A777="",AND(ISNUMBER(FIND("[", A777)), ISNUMBER(FIND("ALL", A777)), ISNUMBER(FIND("]", A777)))),"",MAX(AJ$3:AJ776)+1)</f>
        <v/>
      </c>
      <c r="AK777" s="229" t="str">
        <f>IFERROR(INDEX($A$4:$A$1000,MATCH(ROW()-ROW($AK$3),$AJ$4:$AJ$1000,0)),"")</f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499"/>
      <c r="AF778" s="500"/>
      <c r="AG778" s="500"/>
      <c r="AH778" s="501"/>
      <c r="AJ778" s="229" t="str">
        <f>IF(OR(A778="",AND(ISNUMBER(FIND("[", A778)), ISNUMBER(FIND("ALL", A778)), ISNUMBER(FIND("]", A778)))),"",MAX(AJ$3:AJ777)+1)</f>
        <v/>
      </c>
      <c r="AK778" s="229" t="str">
        <f>IFERROR(INDEX($A$4:$A$1000,MATCH(ROW()-ROW($AK$3),$AJ$4:$AJ$1000,0)),"")</f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499"/>
      <c r="AF779" s="500"/>
      <c r="AG779" s="500"/>
      <c r="AH779" s="501"/>
      <c r="AJ779" s="229" t="str">
        <f>IF(OR(A779="",AND(ISNUMBER(FIND("[", A779)), ISNUMBER(FIND("ALL", A779)), ISNUMBER(FIND("]", A779)))),"",MAX(AJ$3:AJ778)+1)</f>
        <v/>
      </c>
      <c r="AK779" s="229" t="str">
        <f>IFERROR(INDEX($A$4:$A$1000,MATCH(ROW()-ROW($AK$3),$AJ$4:$AJ$1000,0)),"")</f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499"/>
      <c r="AF780" s="500"/>
      <c r="AG780" s="500"/>
      <c r="AH780" s="501"/>
      <c r="AJ780" s="229" t="str">
        <f>IF(OR(A780="",AND(ISNUMBER(FIND("[", A780)), ISNUMBER(FIND("ALL", A780)), ISNUMBER(FIND("]", A780)))),"",MAX(AJ$3:AJ779)+1)</f>
        <v/>
      </c>
      <c r="AK780" s="229" t="str">
        <f>IFERROR(INDEX($A$4:$A$1000,MATCH(ROW()-ROW($AK$3),$AJ$4:$AJ$1000,0)),"")</f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499"/>
      <c r="AF781" s="500"/>
      <c r="AG781" s="500"/>
      <c r="AH781" s="501"/>
      <c r="AJ781" s="229" t="str">
        <f>IF(OR(A781="",AND(ISNUMBER(FIND("[", A781)), ISNUMBER(FIND("ALL", A781)), ISNUMBER(FIND("]", A781)))),"",MAX(AJ$3:AJ780)+1)</f>
        <v/>
      </c>
      <c r="AK781" s="229" t="str">
        <f>IFERROR(INDEX($A$4:$A$1000,MATCH(ROW()-ROW($AK$3),$AJ$4:$AJ$1000,0)),"")</f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499"/>
      <c r="AF782" s="500"/>
      <c r="AG782" s="500"/>
      <c r="AH782" s="501"/>
      <c r="AJ782" s="229" t="str">
        <f>IF(OR(A782="",AND(ISNUMBER(FIND("[", A782)), ISNUMBER(FIND("ALL", A782)), ISNUMBER(FIND("]", A782)))),"",MAX(AJ$3:AJ781)+1)</f>
        <v/>
      </c>
      <c r="AK782" s="229" t="str">
        <f>IFERROR(INDEX($A$4:$A$1000,MATCH(ROW()-ROW($AK$3),$AJ$4:$AJ$1000,0)),"")</f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499"/>
      <c r="AF783" s="500"/>
      <c r="AG783" s="500"/>
      <c r="AH783" s="501"/>
      <c r="AJ783" s="229" t="str">
        <f>IF(OR(A783="",AND(ISNUMBER(FIND("[", A783)), ISNUMBER(FIND("ALL", A783)), ISNUMBER(FIND("]", A783)))),"",MAX(AJ$3:AJ782)+1)</f>
        <v/>
      </c>
      <c r="AK783" s="229" t="str">
        <f>IFERROR(INDEX($A$4:$A$1000,MATCH(ROW()-ROW($AK$3),$AJ$4:$AJ$1000,0)),"")</f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499"/>
      <c r="AF784" s="500"/>
      <c r="AG784" s="500"/>
      <c r="AH784" s="501"/>
      <c r="AJ784" s="229" t="str">
        <f>IF(OR(A784="",AND(ISNUMBER(FIND("[", A784)), ISNUMBER(FIND("ALL", A784)), ISNUMBER(FIND("]", A784)))),"",MAX(AJ$3:AJ783)+1)</f>
        <v/>
      </c>
      <c r="AK784" s="229" t="str">
        <f>IFERROR(INDEX($A$4:$A$1000,MATCH(ROW()-ROW($AK$3),$AJ$4:$AJ$1000,0)),"")</f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499"/>
      <c r="AF785" s="500"/>
      <c r="AG785" s="500"/>
      <c r="AH785" s="501"/>
      <c r="AJ785" s="229" t="str">
        <f>IF(OR(A785="",AND(ISNUMBER(FIND("[", A785)), ISNUMBER(FIND("ALL", A785)), ISNUMBER(FIND("]", A785)))),"",MAX(AJ$3:AJ784)+1)</f>
        <v/>
      </c>
      <c r="AK785" s="229" t="str">
        <f>IFERROR(INDEX($A$4:$A$1000,MATCH(ROW()-ROW($AK$3),$AJ$4:$AJ$1000,0)),"")</f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499"/>
      <c r="AF786" s="500"/>
      <c r="AG786" s="500"/>
      <c r="AH786" s="501"/>
      <c r="AJ786" s="229" t="str">
        <f>IF(OR(A786="",AND(ISNUMBER(FIND("[", A786)), ISNUMBER(FIND("ALL", A786)), ISNUMBER(FIND("]", A786)))),"",MAX(AJ$3:AJ785)+1)</f>
        <v/>
      </c>
      <c r="AK786" s="229" t="str">
        <f>IFERROR(INDEX($A$4:$A$1000,MATCH(ROW()-ROW($AK$3),$AJ$4:$AJ$1000,0)),"")</f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499"/>
      <c r="AF787" s="500"/>
      <c r="AG787" s="500"/>
      <c r="AH787" s="501"/>
      <c r="AJ787" s="229" t="str">
        <f>IF(OR(A787="",AND(ISNUMBER(FIND("[", A787)), ISNUMBER(FIND("ALL", A787)), ISNUMBER(FIND("]", A787)))),"",MAX(AJ$3:AJ786)+1)</f>
        <v/>
      </c>
      <c r="AK787" s="229" t="str">
        <f>IFERROR(INDEX($A$4:$A$1000,MATCH(ROW()-ROW($AK$3),$AJ$4:$AJ$1000,0)),"")</f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499"/>
      <c r="AF788" s="500"/>
      <c r="AG788" s="500"/>
      <c r="AH788" s="501"/>
      <c r="AJ788" s="229" t="str">
        <f>IF(OR(A788="",AND(ISNUMBER(FIND("[", A788)), ISNUMBER(FIND("ALL", A788)), ISNUMBER(FIND("]", A788)))),"",MAX(AJ$3:AJ787)+1)</f>
        <v/>
      </c>
      <c r="AK788" s="229" t="str">
        <f>IFERROR(INDEX($A$4:$A$1000,MATCH(ROW()-ROW($AK$3),$AJ$4:$AJ$1000,0)),"")</f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499"/>
      <c r="AF789" s="500"/>
      <c r="AG789" s="500"/>
      <c r="AH789" s="501"/>
      <c r="AJ789" s="229" t="str">
        <f>IF(OR(A789="",AND(ISNUMBER(FIND("[", A789)), ISNUMBER(FIND("ALL", A789)), ISNUMBER(FIND("]", A789)))),"",MAX(AJ$3:AJ788)+1)</f>
        <v/>
      </c>
      <c r="AK789" s="229" t="str">
        <f>IFERROR(INDEX($A$4:$A$1000,MATCH(ROW()-ROW($AK$3),$AJ$4:$AJ$1000,0)),"")</f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499"/>
      <c r="AF790" s="500"/>
      <c r="AG790" s="500"/>
      <c r="AH790" s="501"/>
      <c r="AJ790" s="229" t="str">
        <f>IF(OR(A790="",AND(ISNUMBER(FIND("[", A790)), ISNUMBER(FIND("ALL", A790)), ISNUMBER(FIND("]", A790)))),"",MAX(AJ$3:AJ789)+1)</f>
        <v/>
      </c>
      <c r="AK790" s="229" t="str">
        <f>IFERROR(INDEX($A$4:$A$1000,MATCH(ROW()-ROW($AK$3),$AJ$4:$AJ$1000,0)),"")</f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499"/>
      <c r="AF791" s="500"/>
      <c r="AG791" s="500"/>
      <c r="AH791" s="501"/>
      <c r="AJ791" s="229" t="str">
        <f>IF(OR(A791="",AND(ISNUMBER(FIND("[", A791)), ISNUMBER(FIND("ALL", A791)), ISNUMBER(FIND("]", A791)))),"",MAX(AJ$3:AJ790)+1)</f>
        <v/>
      </c>
      <c r="AK791" s="229" t="str">
        <f>IFERROR(INDEX($A$4:$A$1000,MATCH(ROW()-ROW($AK$3),$AJ$4:$AJ$1000,0)),"")</f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499"/>
      <c r="AF792" s="500"/>
      <c r="AG792" s="500"/>
      <c r="AH792" s="501"/>
      <c r="AJ792" s="229" t="str">
        <f>IF(OR(A792="",AND(ISNUMBER(FIND("[", A792)), ISNUMBER(FIND("ALL", A792)), ISNUMBER(FIND("]", A792)))),"",MAX(AJ$3:AJ791)+1)</f>
        <v/>
      </c>
      <c r="AK792" s="229" t="str">
        <f>IFERROR(INDEX($A$4:$A$1000,MATCH(ROW()-ROW($AK$3),$AJ$4:$AJ$1000,0)),"")</f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499"/>
      <c r="AF793" s="500"/>
      <c r="AG793" s="500"/>
      <c r="AH793" s="501"/>
      <c r="AJ793" s="229" t="str">
        <f>IF(OR(A793="",AND(ISNUMBER(FIND("[", A793)), ISNUMBER(FIND("ALL", A793)), ISNUMBER(FIND("]", A793)))),"",MAX(AJ$3:AJ792)+1)</f>
        <v/>
      </c>
      <c r="AK793" s="229" t="str">
        <f>IFERROR(INDEX($A$4:$A$1000,MATCH(ROW()-ROW($AK$3),$AJ$4:$AJ$1000,0)),"")</f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499"/>
      <c r="AF794" s="500"/>
      <c r="AG794" s="500"/>
      <c r="AH794" s="501"/>
      <c r="AJ794" s="229" t="str">
        <f>IF(OR(A794="",AND(ISNUMBER(FIND("[", A794)), ISNUMBER(FIND("ALL", A794)), ISNUMBER(FIND("]", A794)))),"",MAX(AJ$3:AJ793)+1)</f>
        <v/>
      </c>
      <c r="AK794" s="229" t="str">
        <f>IFERROR(INDEX($A$4:$A$1000,MATCH(ROW()-ROW($AK$3),$AJ$4:$AJ$1000,0)),"")</f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499"/>
      <c r="AF795" s="500"/>
      <c r="AG795" s="500"/>
      <c r="AH795" s="501"/>
      <c r="AJ795" s="229" t="str">
        <f>IF(OR(A795="",AND(ISNUMBER(FIND("[", A795)), ISNUMBER(FIND("ALL", A795)), ISNUMBER(FIND("]", A795)))),"",MAX(AJ$3:AJ794)+1)</f>
        <v/>
      </c>
      <c r="AK795" s="229" t="str">
        <f>IFERROR(INDEX($A$4:$A$1000,MATCH(ROW()-ROW($AK$3),$AJ$4:$AJ$1000,0)),"")</f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499"/>
      <c r="AF796" s="500"/>
      <c r="AG796" s="500"/>
      <c r="AH796" s="501"/>
      <c r="AJ796" s="229" t="str">
        <f>IF(OR(A796="",AND(ISNUMBER(FIND("[", A796)), ISNUMBER(FIND("ALL", A796)), ISNUMBER(FIND("]", A796)))),"",MAX(AJ$3:AJ795)+1)</f>
        <v/>
      </c>
      <c r="AK796" s="229" t="str">
        <f>IFERROR(INDEX($A$4:$A$1000,MATCH(ROW()-ROW($AK$3),$AJ$4:$AJ$1000,0)),"")</f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499"/>
      <c r="AF797" s="500"/>
      <c r="AG797" s="500"/>
      <c r="AH797" s="501"/>
      <c r="AJ797" s="229" t="str">
        <f>IF(OR(A797="",AND(ISNUMBER(FIND("[", A797)), ISNUMBER(FIND("ALL", A797)), ISNUMBER(FIND("]", A797)))),"",MAX(AJ$3:AJ796)+1)</f>
        <v/>
      </c>
      <c r="AK797" s="229" t="str">
        <f>IFERROR(INDEX($A$4:$A$1000,MATCH(ROW()-ROW($AK$3),$AJ$4:$AJ$1000,0)),"")</f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499"/>
      <c r="AF798" s="500"/>
      <c r="AG798" s="500"/>
      <c r="AH798" s="501"/>
      <c r="AJ798" s="229" t="str">
        <f>IF(OR(A798="",AND(ISNUMBER(FIND("[", A798)), ISNUMBER(FIND("ALL", A798)), ISNUMBER(FIND("]", A798)))),"",MAX(AJ$3:AJ797)+1)</f>
        <v/>
      </c>
      <c r="AK798" s="229" t="str">
        <f>IFERROR(INDEX($A$4:$A$1000,MATCH(ROW()-ROW($AK$3),$AJ$4:$AJ$1000,0)),"")</f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499"/>
      <c r="AF799" s="500"/>
      <c r="AG799" s="500"/>
      <c r="AH799" s="501"/>
      <c r="AJ799" s="229" t="str">
        <f>IF(OR(A799="",AND(ISNUMBER(FIND("[", A799)), ISNUMBER(FIND("ALL", A799)), ISNUMBER(FIND("]", A799)))),"",MAX(AJ$3:AJ798)+1)</f>
        <v/>
      </c>
      <c r="AK799" s="229" t="str">
        <f>IFERROR(INDEX($A$4:$A$1000,MATCH(ROW()-ROW($AK$3),$AJ$4:$AJ$1000,0)),"")</f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499"/>
      <c r="AF800" s="500"/>
      <c r="AG800" s="500"/>
      <c r="AH800" s="501"/>
      <c r="AJ800" s="229" t="str">
        <f>IF(OR(A800="",AND(ISNUMBER(FIND("[", A800)), ISNUMBER(FIND("ALL", A800)), ISNUMBER(FIND("]", A800)))),"",MAX(AJ$3:AJ799)+1)</f>
        <v/>
      </c>
      <c r="AK800" s="229" t="str">
        <f>IFERROR(INDEX($A$4:$A$1000,MATCH(ROW()-ROW($AK$3),$AJ$4:$AJ$1000,0)),"")</f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499"/>
      <c r="AF801" s="500"/>
      <c r="AG801" s="500"/>
      <c r="AH801" s="501"/>
      <c r="AJ801" s="229" t="str">
        <f>IF(OR(A801="",AND(ISNUMBER(FIND("[", A801)), ISNUMBER(FIND("ALL", A801)), ISNUMBER(FIND("]", A801)))),"",MAX(AJ$3:AJ800)+1)</f>
        <v/>
      </c>
      <c r="AK801" s="229" t="str">
        <f>IFERROR(INDEX($A$4:$A$1000,MATCH(ROW()-ROW($AK$3),$AJ$4:$AJ$1000,0)),"")</f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499"/>
      <c r="AF802" s="500"/>
      <c r="AG802" s="500"/>
      <c r="AH802" s="501"/>
      <c r="AJ802" s="229" t="str">
        <f>IF(OR(A802="",AND(ISNUMBER(FIND("[", A802)), ISNUMBER(FIND("ALL", A802)), ISNUMBER(FIND("]", A802)))),"",MAX(AJ$3:AJ801)+1)</f>
        <v/>
      </c>
      <c r="AK802" s="229" t="str">
        <f>IFERROR(INDEX($A$4:$A$1000,MATCH(ROW()-ROW($AK$3),$AJ$4:$AJ$1000,0)),"")</f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499"/>
      <c r="AF803" s="500"/>
      <c r="AG803" s="500"/>
      <c r="AH803" s="501"/>
      <c r="AJ803" s="229" t="str">
        <f>IF(OR(A803="",AND(ISNUMBER(FIND("[", A803)), ISNUMBER(FIND("ALL", A803)), ISNUMBER(FIND("]", A803)))),"",MAX(AJ$3:AJ802)+1)</f>
        <v/>
      </c>
      <c r="AK803" s="229" t="str">
        <f>IFERROR(INDEX($A$4:$A$1000,MATCH(ROW()-ROW($AK$3),$AJ$4:$AJ$1000,0)),"")</f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499"/>
      <c r="AF804" s="500"/>
      <c r="AG804" s="500"/>
      <c r="AH804" s="501"/>
      <c r="AJ804" s="229" t="str">
        <f>IF(OR(A804="",AND(ISNUMBER(FIND("[", A804)), ISNUMBER(FIND("ALL", A804)), ISNUMBER(FIND("]", A804)))),"",MAX(AJ$3:AJ803)+1)</f>
        <v/>
      </c>
      <c r="AK804" s="229" t="str">
        <f>IFERROR(INDEX($A$4:$A$1000,MATCH(ROW()-ROW($AK$3),$AJ$4:$AJ$1000,0)),"")</f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499"/>
      <c r="AF805" s="500"/>
      <c r="AG805" s="500"/>
      <c r="AH805" s="501"/>
      <c r="AJ805" s="229" t="str">
        <f>IF(OR(A805="",AND(ISNUMBER(FIND("[", A805)), ISNUMBER(FIND("ALL", A805)), ISNUMBER(FIND("]", A805)))),"",MAX(AJ$3:AJ804)+1)</f>
        <v/>
      </c>
      <c r="AK805" s="229" t="str">
        <f>IFERROR(INDEX($A$4:$A$1000,MATCH(ROW()-ROW($AK$3),$AJ$4:$AJ$1000,0)),"")</f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499"/>
      <c r="AF806" s="500"/>
      <c r="AG806" s="500"/>
      <c r="AH806" s="501"/>
      <c r="AJ806" s="229" t="str">
        <f>IF(OR(A806="",AND(ISNUMBER(FIND("[", A806)), ISNUMBER(FIND("ALL", A806)), ISNUMBER(FIND("]", A806)))),"",MAX(AJ$3:AJ805)+1)</f>
        <v/>
      </c>
      <c r="AK806" s="229" t="str">
        <f>IFERROR(INDEX($A$4:$A$1000,MATCH(ROW()-ROW($AK$3),$AJ$4:$AJ$1000,0)),"")</f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499"/>
      <c r="AF807" s="500"/>
      <c r="AG807" s="500"/>
      <c r="AH807" s="501"/>
      <c r="AJ807" s="229" t="str">
        <f>IF(OR(A807="",AND(ISNUMBER(FIND("[", A807)), ISNUMBER(FIND("ALL", A807)), ISNUMBER(FIND("]", A807)))),"",MAX(AJ$3:AJ806)+1)</f>
        <v/>
      </c>
      <c r="AK807" s="229" t="str">
        <f>IFERROR(INDEX($A$4:$A$1000,MATCH(ROW()-ROW($AK$3),$AJ$4:$AJ$1000,0)),"")</f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499"/>
      <c r="AF808" s="500"/>
      <c r="AG808" s="500"/>
      <c r="AH808" s="501"/>
      <c r="AJ808" s="229" t="str">
        <f>IF(OR(A808="",AND(ISNUMBER(FIND("[", A808)), ISNUMBER(FIND("ALL", A808)), ISNUMBER(FIND("]", A808)))),"",MAX(AJ$3:AJ807)+1)</f>
        <v/>
      </c>
      <c r="AK808" s="229" t="str">
        <f>IFERROR(INDEX($A$4:$A$1000,MATCH(ROW()-ROW($AK$3),$AJ$4:$AJ$1000,0)),"")</f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499"/>
      <c r="AF809" s="500"/>
      <c r="AG809" s="500"/>
      <c r="AH809" s="501"/>
      <c r="AJ809" s="229" t="str">
        <f>IF(OR(A809="",AND(ISNUMBER(FIND("[", A809)), ISNUMBER(FIND("ALL", A809)), ISNUMBER(FIND("]", A809)))),"",MAX(AJ$3:AJ808)+1)</f>
        <v/>
      </c>
      <c r="AK809" s="229" t="str">
        <f>IFERROR(INDEX($A$4:$A$1000,MATCH(ROW()-ROW($AK$3),$AJ$4:$AJ$1000,0)),"")</f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499"/>
      <c r="AF810" s="500"/>
      <c r="AG810" s="500"/>
      <c r="AH810" s="501"/>
      <c r="AJ810" s="229" t="str">
        <f>IF(OR(A810="",AND(ISNUMBER(FIND("[", A810)), ISNUMBER(FIND("ALL", A810)), ISNUMBER(FIND("]", A810)))),"",MAX(AJ$3:AJ809)+1)</f>
        <v/>
      </c>
      <c r="AK810" s="229" t="str">
        <f>IFERROR(INDEX($A$4:$A$1000,MATCH(ROW()-ROW($AK$3),$AJ$4:$AJ$1000,0)),"")</f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499"/>
      <c r="AF811" s="500"/>
      <c r="AG811" s="500"/>
      <c r="AH811" s="501"/>
      <c r="AJ811" s="229" t="str">
        <f>IF(OR(A811="",AND(ISNUMBER(FIND("[", A811)), ISNUMBER(FIND("ALL", A811)), ISNUMBER(FIND("]", A811)))),"",MAX(AJ$3:AJ810)+1)</f>
        <v/>
      </c>
      <c r="AK811" s="229" t="str">
        <f>IFERROR(INDEX($A$4:$A$1000,MATCH(ROW()-ROW($AK$3),$AJ$4:$AJ$1000,0)),"")</f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499"/>
      <c r="AF812" s="500"/>
      <c r="AG812" s="500"/>
      <c r="AH812" s="501"/>
      <c r="AJ812" s="229" t="str">
        <f>IF(OR(A812="",AND(ISNUMBER(FIND("[", A812)), ISNUMBER(FIND("ALL", A812)), ISNUMBER(FIND("]", A812)))),"",MAX(AJ$3:AJ811)+1)</f>
        <v/>
      </c>
      <c r="AK812" s="229" t="str">
        <f>IFERROR(INDEX($A$4:$A$1000,MATCH(ROW()-ROW($AK$3),$AJ$4:$AJ$1000,0)),"")</f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499"/>
      <c r="AF813" s="500"/>
      <c r="AG813" s="500"/>
      <c r="AH813" s="501"/>
      <c r="AJ813" s="229" t="str">
        <f>IF(OR(A813="",AND(ISNUMBER(FIND("[", A813)), ISNUMBER(FIND("ALL", A813)), ISNUMBER(FIND("]", A813)))),"",MAX(AJ$3:AJ812)+1)</f>
        <v/>
      </c>
      <c r="AK813" s="229" t="str">
        <f>IFERROR(INDEX($A$4:$A$1000,MATCH(ROW()-ROW($AK$3),$AJ$4:$AJ$1000,0)),"")</f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499"/>
      <c r="AF814" s="500"/>
      <c r="AG814" s="500"/>
      <c r="AH814" s="501"/>
      <c r="AJ814" s="229" t="str">
        <f>IF(OR(A814="",AND(ISNUMBER(FIND("[", A814)), ISNUMBER(FIND("ALL", A814)), ISNUMBER(FIND("]", A814)))),"",MAX(AJ$3:AJ813)+1)</f>
        <v/>
      </c>
      <c r="AK814" s="229" t="str">
        <f>IFERROR(INDEX($A$4:$A$1000,MATCH(ROW()-ROW($AK$3),$AJ$4:$AJ$1000,0)),"")</f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499"/>
      <c r="AF815" s="500"/>
      <c r="AG815" s="500"/>
      <c r="AH815" s="501"/>
      <c r="AJ815" s="229" t="str">
        <f>IF(OR(A815="",AND(ISNUMBER(FIND("[", A815)), ISNUMBER(FIND("ALL", A815)), ISNUMBER(FIND("]", A815)))),"",MAX(AJ$3:AJ814)+1)</f>
        <v/>
      </c>
      <c r="AK815" s="229" t="str">
        <f>IFERROR(INDEX($A$4:$A$1000,MATCH(ROW()-ROW($AK$3),$AJ$4:$AJ$1000,0)),"")</f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499"/>
      <c r="AF816" s="500"/>
      <c r="AG816" s="500"/>
      <c r="AH816" s="501"/>
      <c r="AJ816" s="229" t="str">
        <f>IF(OR(A816="",AND(ISNUMBER(FIND("[", A816)), ISNUMBER(FIND("ALL", A816)), ISNUMBER(FIND("]", A816)))),"",MAX(AJ$3:AJ815)+1)</f>
        <v/>
      </c>
      <c r="AK816" s="229" t="str">
        <f>IFERROR(INDEX($A$4:$A$1000,MATCH(ROW()-ROW($AK$3),$AJ$4:$AJ$1000,0)),"")</f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499"/>
      <c r="AF817" s="500"/>
      <c r="AG817" s="500"/>
      <c r="AH817" s="501"/>
      <c r="AJ817" s="229" t="str">
        <f>IF(OR(A817="",AND(ISNUMBER(FIND("[", A817)), ISNUMBER(FIND("ALL", A817)), ISNUMBER(FIND("]", A817)))),"",MAX(AJ$3:AJ816)+1)</f>
        <v/>
      </c>
      <c r="AK817" s="229" t="str">
        <f>IFERROR(INDEX($A$4:$A$1000,MATCH(ROW()-ROW($AK$3),$AJ$4:$AJ$1000,0)),"")</f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499"/>
      <c r="AF818" s="500"/>
      <c r="AG818" s="500"/>
      <c r="AH818" s="501"/>
      <c r="AJ818" s="229" t="str">
        <f>IF(OR(A818="",AND(ISNUMBER(FIND("[", A818)), ISNUMBER(FIND("ALL", A818)), ISNUMBER(FIND("]", A818)))),"",MAX(AJ$3:AJ817)+1)</f>
        <v/>
      </c>
      <c r="AK818" s="229" t="str">
        <f>IFERROR(INDEX($A$4:$A$1000,MATCH(ROW()-ROW($AK$3),$AJ$4:$AJ$1000,0)),"")</f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499"/>
      <c r="AF819" s="500"/>
      <c r="AG819" s="500"/>
      <c r="AH819" s="501"/>
      <c r="AJ819" s="229" t="str">
        <f>IF(OR(A819="",AND(ISNUMBER(FIND("[", A819)), ISNUMBER(FIND("ALL", A819)), ISNUMBER(FIND("]", A819)))),"",MAX(AJ$3:AJ818)+1)</f>
        <v/>
      </c>
      <c r="AK819" s="229" t="str">
        <f>IFERROR(INDEX($A$4:$A$1000,MATCH(ROW()-ROW($AK$3),$AJ$4:$AJ$1000,0)),"")</f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499"/>
      <c r="AF820" s="500"/>
      <c r="AG820" s="500"/>
      <c r="AH820" s="501"/>
      <c r="AJ820" s="229" t="str">
        <f>IF(OR(A820="",AND(ISNUMBER(FIND("[", A820)), ISNUMBER(FIND("ALL", A820)), ISNUMBER(FIND("]", A820)))),"",MAX(AJ$3:AJ819)+1)</f>
        <v/>
      </c>
      <c r="AK820" s="229" t="str">
        <f>IFERROR(INDEX($A$4:$A$1000,MATCH(ROW()-ROW($AK$3),$AJ$4:$AJ$1000,0)),"")</f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499"/>
      <c r="AF821" s="500"/>
      <c r="AG821" s="500"/>
      <c r="AH821" s="501"/>
      <c r="AJ821" s="229" t="str">
        <f>IF(OR(A821="",AND(ISNUMBER(FIND("[", A821)), ISNUMBER(FIND("ALL", A821)), ISNUMBER(FIND("]", A821)))),"",MAX(AJ$3:AJ820)+1)</f>
        <v/>
      </c>
      <c r="AK821" s="229" t="str">
        <f>IFERROR(INDEX($A$4:$A$1000,MATCH(ROW()-ROW($AK$3),$AJ$4:$AJ$1000,0)),"")</f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499"/>
      <c r="AF822" s="500"/>
      <c r="AG822" s="500"/>
      <c r="AH822" s="501"/>
      <c r="AJ822" s="229" t="str">
        <f>IF(OR(A822="",AND(ISNUMBER(FIND("[", A822)), ISNUMBER(FIND("ALL", A822)), ISNUMBER(FIND("]", A822)))),"",MAX(AJ$3:AJ821)+1)</f>
        <v/>
      </c>
      <c r="AK822" s="229" t="str">
        <f>IFERROR(INDEX($A$4:$A$1000,MATCH(ROW()-ROW($AK$3),$AJ$4:$AJ$1000,0)),"")</f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499"/>
      <c r="AF823" s="500"/>
      <c r="AG823" s="500"/>
      <c r="AH823" s="501"/>
      <c r="AJ823" s="229" t="str">
        <f>IF(OR(A823="",AND(ISNUMBER(FIND("[", A823)), ISNUMBER(FIND("ALL", A823)), ISNUMBER(FIND("]", A823)))),"",MAX(AJ$3:AJ822)+1)</f>
        <v/>
      </c>
      <c r="AK823" s="229" t="str">
        <f>IFERROR(INDEX($A$4:$A$1000,MATCH(ROW()-ROW($AK$3),$AJ$4:$AJ$1000,0)),"")</f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499"/>
      <c r="AF824" s="500"/>
      <c r="AG824" s="500"/>
      <c r="AH824" s="501"/>
      <c r="AJ824" s="229" t="str">
        <f>IF(OR(A824="",AND(ISNUMBER(FIND("[", A824)), ISNUMBER(FIND("ALL", A824)), ISNUMBER(FIND("]", A824)))),"",MAX(AJ$3:AJ823)+1)</f>
        <v/>
      </c>
      <c r="AK824" s="229" t="str">
        <f>IFERROR(INDEX($A$4:$A$1000,MATCH(ROW()-ROW($AK$3),$AJ$4:$AJ$1000,0)),"")</f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499"/>
      <c r="AF825" s="500"/>
      <c r="AG825" s="500"/>
      <c r="AH825" s="501"/>
      <c r="AJ825" s="229" t="str">
        <f>IF(OR(A825="",AND(ISNUMBER(FIND("[", A825)), ISNUMBER(FIND("ALL", A825)), ISNUMBER(FIND("]", A825)))),"",MAX(AJ$3:AJ824)+1)</f>
        <v/>
      </c>
      <c r="AK825" s="229" t="str">
        <f>IFERROR(INDEX($A$4:$A$1000,MATCH(ROW()-ROW($AK$3),$AJ$4:$AJ$1000,0)),"")</f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499"/>
      <c r="AF826" s="500"/>
      <c r="AG826" s="500"/>
      <c r="AH826" s="501"/>
      <c r="AJ826" s="229" t="str">
        <f>IF(OR(A826="",AND(ISNUMBER(FIND("[", A826)), ISNUMBER(FIND("ALL", A826)), ISNUMBER(FIND("]", A826)))),"",MAX(AJ$3:AJ825)+1)</f>
        <v/>
      </c>
      <c r="AK826" s="229" t="str">
        <f>IFERROR(INDEX($A$4:$A$1000,MATCH(ROW()-ROW($AK$3),$AJ$4:$AJ$1000,0)),"")</f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499"/>
      <c r="AF827" s="500"/>
      <c r="AG827" s="500"/>
      <c r="AH827" s="501"/>
      <c r="AJ827" s="229" t="str">
        <f>IF(OR(A827="",AND(ISNUMBER(FIND("[", A827)), ISNUMBER(FIND("ALL", A827)), ISNUMBER(FIND("]", A827)))),"",MAX(AJ$3:AJ826)+1)</f>
        <v/>
      </c>
      <c r="AK827" s="229" t="str">
        <f>IFERROR(INDEX($A$4:$A$1000,MATCH(ROW()-ROW($AK$3),$AJ$4:$AJ$1000,0)),"")</f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499"/>
      <c r="AF828" s="500"/>
      <c r="AG828" s="500"/>
      <c r="AH828" s="501"/>
      <c r="AJ828" s="229" t="str">
        <f>IF(OR(A828="",AND(ISNUMBER(FIND("[", A828)), ISNUMBER(FIND("ALL", A828)), ISNUMBER(FIND("]", A828)))),"",MAX(AJ$3:AJ827)+1)</f>
        <v/>
      </c>
      <c r="AK828" s="229" t="str">
        <f>IFERROR(INDEX($A$4:$A$1000,MATCH(ROW()-ROW($AK$3),$AJ$4:$AJ$1000,0)),"")</f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499"/>
      <c r="AF829" s="500"/>
      <c r="AG829" s="500"/>
      <c r="AH829" s="501"/>
      <c r="AJ829" s="229" t="str">
        <f>IF(OR(A829="",AND(ISNUMBER(FIND("[", A829)), ISNUMBER(FIND("ALL", A829)), ISNUMBER(FIND("]", A829)))),"",MAX(AJ$3:AJ828)+1)</f>
        <v/>
      </c>
      <c r="AK829" s="229" t="str">
        <f>IFERROR(INDEX($A$4:$A$1000,MATCH(ROW()-ROW($AK$3),$AJ$4:$AJ$1000,0)),"")</f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499"/>
      <c r="AF830" s="500"/>
      <c r="AG830" s="500"/>
      <c r="AH830" s="501"/>
      <c r="AJ830" s="229" t="str">
        <f>IF(OR(A830="",AND(ISNUMBER(FIND("[", A830)), ISNUMBER(FIND("ALL", A830)), ISNUMBER(FIND("]", A830)))),"",MAX(AJ$3:AJ829)+1)</f>
        <v/>
      </c>
      <c r="AK830" s="229" t="str">
        <f>IFERROR(INDEX($A$4:$A$1000,MATCH(ROW()-ROW($AK$3),$AJ$4:$AJ$1000,0)),"")</f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499"/>
      <c r="AF831" s="500"/>
      <c r="AG831" s="500"/>
      <c r="AH831" s="501"/>
      <c r="AJ831" s="229" t="str">
        <f>IF(OR(A831="",AND(ISNUMBER(FIND("[", A831)), ISNUMBER(FIND("ALL", A831)), ISNUMBER(FIND("]", A831)))),"",MAX(AJ$3:AJ830)+1)</f>
        <v/>
      </c>
      <c r="AK831" s="229" t="str">
        <f>IFERROR(INDEX($A$4:$A$1000,MATCH(ROW()-ROW($AK$3),$AJ$4:$AJ$1000,0)),"")</f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499"/>
      <c r="AF832" s="500"/>
      <c r="AG832" s="500"/>
      <c r="AH832" s="501"/>
      <c r="AJ832" s="229" t="str">
        <f>IF(OR(A832="",AND(ISNUMBER(FIND("[", A832)), ISNUMBER(FIND("ALL", A832)), ISNUMBER(FIND("]", A832)))),"",MAX(AJ$3:AJ831)+1)</f>
        <v/>
      </c>
      <c r="AK832" s="229" t="str">
        <f>IFERROR(INDEX($A$4:$A$1000,MATCH(ROW()-ROW($AK$3),$AJ$4:$AJ$1000,0)),"")</f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499"/>
      <c r="AF833" s="500"/>
      <c r="AG833" s="500"/>
      <c r="AH833" s="501"/>
      <c r="AJ833" s="229" t="str">
        <f>IF(OR(A833="",AND(ISNUMBER(FIND("[", A833)), ISNUMBER(FIND("ALL", A833)), ISNUMBER(FIND("]", A833)))),"",MAX(AJ$3:AJ832)+1)</f>
        <v/>
      </c>
      <c r="AK833" s="229" t="str">
        <f>IFERROR(INDEX($A$4:$A$1000,MATCH(ROW()-ROW($AK$3),$AJ$4:$AJ$1000,0)),"")</f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499"/>
      <c r="AF834" s="500"/>
      <c r="AG834" s="500"/>
      <c r="AH834" s="501"/>
      <c r="AJ834" s="229" t="str">
        <f>IF(OR(A834="",AND(ISNUMBER(FIND("[", A834)), ISNUMBER(FIND("ALL", A834)), ISNUMBER(FIND("]", A834)))),"",MAX(AJ$3:AJ833)+1)</f>
        <v/>
      </c>
      <c r="AK834" s="229" t="str">
        <f>IFERROR(INDEX($A$4:$A$1000,MATCH(ROW()-ROW($AK$3),$AJ$4:$AJ$1000,0)),"")</f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499"/>
      <c r="AF835" s="500"/>
      <c r="AG835" s="500"/>
      <c r="AH835" s="501"/>
      <c r="AJ835" s="229" t="str">
        <f>IF(OR(A835="",AND(ISNUMBER(FIND("[", A835)), ISNUMBER(FIND("ALL", A835)), ISNUMBER(FIND("]", A835)))),"",MAX(AJ$3:AJ834)+1)</f>
        <v/>
      </c>
      <c r="AK835" s="229" t="str">
        <f>IFERROR(INDEX($A$4:$A$1000,MATCH(ROW()-ROW($AK$3),$AJ$4:$AJ$1000,0)),"")</f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499"/>
      <c r="AF836" s="500"/>
      <c r="AG836" s="500"/>
      <c r="AH836" s="501"/>
      <c r="AJ836" s="229" t="str">
        <f>IF(OR(A836="",AND(ISNUMBER(FIND("[", A836)), ISNUMBER(FIND("ALL", A836)), ISNUMBER(FIND("]", A836)))),"",MAX(AJ$3:AJ835)+1)</f>
        <v/>
      </c>
      <c r="AK836" s="229" t="str">
        <f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499"/>
      <c r="AF837" s="500"/>
      <c r="AG837" s="500"/>
      <c r="AH837" s="501"/>
      <c r="AJ837" s="229" t="str">
        <f>IF(OR(A837="",AND(ISNUMBER(FIND("[", A837)), ISNUMBER(FIND("ALL", A837)), ISNUMBER(FIND("]", A837)))),"",MAX(AJ$3:AJ836)+1)</f>
        <v/>
      </c>
      <c r="AK837" s="229" t="str">
        <f>IFERROR(INDEX($A$4:$A$1000,MATCH(ROW()-ROW($AK$3),$AJ$4:$AJ$1000,0)),"")</f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499"/>
      <c r="AF838" s="500"/>
      <c r="AG838" s="500"/>
      <c r="AH838" s="501"/>
      <c r="AJ838" s="229" t="str">
        <f>IF(OR(A838="",AND(ISNUMBER(FIND("[", A838)), ISNUMBER(FIND("ALL", A838)), ISNUMBER(FIND("]", A838)))),"",MAX(AJ$3:AJ837)+1)</f>
        <v/>
      </c>
      <c r="AK838" s="229" t="str">
        <f>IFERROR(INDEX($A$4:$A$1000,MATCH(ROW()-ROW($AK$3),$AJ$4:$AJ$1000,0)),"")</f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499"/>
      <c r="AF839" s="500"/>
      <c r="AG839" s="500"/>
      <c r="AH839" s="501"/>
      <c r="AJ839" s="229" t="str">
        <f>IF(OR(A839="",AND(ISNUMBER(FIND("[", A839)), ISNUMBER(FIND("ALL", A839)), ISNUMBER(FIND("]", A839)))),"",MAX(AJ$3:AJ838)+1)</f>
        <v/>
      </c>
      <c r="AK839" s="229" t="str">
        <f>IFERROR(INDEX($A$4:$A$1000,MATCH(ROW()-ROW($AK$3),$AJ$4:$AJ$1000,0)),"")</f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499"/>
      <c r="AF840" s="500"/>
      <c r="AG840" s="500"/>
      <c r="AH840" s="501"/>
      <c r="AJ840" s="229" t="str">
        <f>IF(OR(A840="",AND(ISNUMBER(FIND("[", A840)), ISNUMBER(FIND("ALL", A840)), ISNUMBER(FIND("]", A840)))),"",MAX(AJ$3:AJ839)+1)</f>
        <v/>
      </c>
      <c r="AK840" s="229" t="str">
        <f>IFERROR(INDEX($A$4:$A$1000,MATCH(ROW()-ROW($AK$3),$AJ$4:$AJ$1000,0)),"")</f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499"/>
      <c r="AF841" s="500"/>
      <c r="AG841" s="500"/>
      <c r="AH841" s="501"/>
      <c r="AJ841" s="229" t="str">
        <f>IF(OR(A841="",AND(ISNUMBER(FIND("[", A841)), ISNUMBER(FIND("ALL", A841)), ISNUMBER(FIND("]", A841)))),"",MAX(AJ$3:AJ840)+1)</f>
        <v/>
      </c>
      <c r="AK841" s="229" t="str">
        <f>IFERROR(INDEX($A$4:$A$1000,MATCH(ROW()-ROW($AK$3),$AJ$4:$AJ$1000,0)),"")</f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499"/>
      <c r="AF842" s="500"/>
      <c r="AG842" s="500"/>
      <c r="AH842" s="501"/>
      <c r="AJ842" s="229" t="str">
        <f>IF(OR(A842="",AND(ISNUMBER(FIND("[", A842)), ISNUMBER(FIND("ALL", A842)), ISNUMBER(FIND("]", A842)))),"",MAX(AJ$3:AJ841)+1)</f>
        <v/>
      </c>
      <c r="AK842" s="229" t="str">
        <f>IFERROR(INDEX($A$4:$A$1000,MATCH(ROW()-ROW($AK$3),$AJ$4:$AJ$1000,0)),"")</f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499"/>
      <c r="AF843" s="500"/>
      <c r="AG843" s="500"/>
      <c r="AH843" s="501"/>
      <c r="AJ843" s="229" t="str">
        <f>IF(OR(A843="",AND(ISNUMBER(FIND("[", A843)), ISNUMBER(FIND("ALL", A843)), ISNUMBER(FIND("]", A843)))),"",MAX(AJ$3:AJ842)+1)</f>
        <v/>
      </c>
      <c r="AK843" s="229" t="str">
        <f>IFERROR(INDEX($A$4:$A$1000,MATCH(ROW()-ROW($AK$3),$AJ$4:$AJ$1000,0)),"")</f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499"/>
      <c r="AF844" s="500"/>
      <c r="AG844" s="500"/>
      <c r="AH844" s="501"/>
      <c r="AJ844" s="229" t="str">
        <f>IF(OR(A844="",AND(ISNUMBER(FIND("[", A844)), ISNUMBER(FIND("ALL", A844)), ISNUMBER(FIND("]", A844)))),"",MAX(AJ$3:AJ843)+1)</f>
        <v/>
      </c>
      <c r="AK844" s="229" t="str">
        <f>IFERROR(INDEX($A$4:$A$1000,MATCH(ROW()-ROW($AK$3),$AJ$4:$AJ$1000,0)),"")</f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499"/>
      <c r="AF845" s="500"/>
      <c r="AG845" s="500"/>
      <c r="AH845" s="501"/>
      <c r="AJ845" s="229" t="str">
        <f>IF(OR(A845="",AND(ISNUMBER(FIND("[", A845)), ISNUMBER(FIND("ALL", A845)), ISNUMBER(FIND("]", A845)))),"",MAX(AJ$3:AJ844)+1)</f>
        <v/>
      </c>
      <c r="AK845" s="229" t="str">
        <f>IFERROR(INDEX($A$4:$A$1000,MATCH(ROW()-ROW($AK$3),$AJ$4:$AJ$1000,0)),"")</f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499"/>
      <c r="AF846" s="500"/>
      <c r="AG846" s="500"/>
      <c r="AH846" s="501"/>
      <c r="AJ846" s="229" t="str">
        <f>IF(OR(A846="",AND(ISNUMBER(FIND("[", A846)), ISNUMBER(FIND("ALL", A846)), ISNUMBER(FIND("]", A846)))),"",MAX(AJ$3:AJ845)+1)</f>
        <v/>
      </c>
      <c r="AK846" s="229" t="str">
        <f>IFERROR(INDEX($A$4:$A$1000,MATCH(ROW()-ROW($AK$3),$AJ$4:$AJ$1000,0)),"")</f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499"/>
      <c r="AF847" s="500"/>
      <c r="AG847" s="500"/>
      <c r="AH847" s="501"/>
      <c r="AJ847" s="229" t="str">
        <f>IF(OR(A847="",AND(ISNUMBER(FIND("[", A847)), ISNUMBER(FIND("ALL", A847)), ISNUMBER(FIND("]", A847)))),"",MAX(AJ$3:AJ846)+1)</f>
        <v/>
      </c>
      <c r="AK847" s="229" t="str">
        <f>IFERROR(INDEX($A$4:$A$1000,MATCH(ROW()-ROW($AK$3),$AJ$4:$AJ$1000,0)),"")</f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499"/>
      <c r="AF848" s="500"/>
      <c r="AG848" s="500"/>
      <c r="AH848" s="501"/>
      <c r="AJ848" s="229" t="str">
        <f>IF(OR(A848="",AND(ISNUMBER(FIND("[", A848)), ISNUMBER(FIND("ALL", A848)), ISNUMBER(FIND("]", A848)))),"",MAX(AJ$3:AJ847)+1)</f>
        <v/>
      </c>
      <c r="AK848" s="229" t="str">
        <f>IFERROR(INDEX($A$4:$A$1000,MATCH(ROW()-ROW($AK$3),$AJ$4:$AJ$1000,0)),"")</f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499"/>
      <c r="AF849" s="500"/>
      <c r="AG849" s="500"/>
      <c r="AH849" s="501"/>
      <c r="AJ849" s="229" t="str">
        <f>IF(OR(A849="",AND(ISNUMBER(FIND("[", A849)), ISNUMBER(FIND("ALL", A849)), ISNUMBER(FIND("]", A849)))),"",MAX(AJ$3:AJ848)+1)</f>
        <v/>
      </c>
      <c r="AK849" s="229" t="str">
        <f>IFERROR(INDEX($A$4:$A$1000,MATCH(ROW()-ROW($AK$3),$AJ$4:$AJ$1000,0)),"")</f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499"/>
      <c r="AF850" s="500"/>
      <c r="AG850" s="500"/>
      <c r="AH850" s="501"/>
      <c r="AJ850" s="229" t="str">
        <f>IF(OR(A850="",AND(ISNUMBER(FIND("[", A850)), ISNUMBER(FIND("ALL", A850)), ISNUMBER(FIND("]", A850)))),"",MAX(AJ$3:AJ849)+1)</f>
        <v/>
      </c>
      <c r="AK850" s="229" t="str">
        <f>IFERROR(INDEX($A$4:$A$1000,MATCH(ROW()-ROW($AK$3),$AJ$4:$AJ$1000,0)),"")</f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499"/>
      <c r="AF851" s="500"/>
      <c r="AG851" s="500"/>
      <c r="AH851" s="501"/>
      <c r="AJ851" s="229" t="str">
        <f>IF(OR(A851="",AND(ISNUMBER(FIND("[", A851)), ISNUMBER(FIND("ALL", A851)), ISNUMBER(FIND("]", A851)))),"",MAX(AJ$3:AJ850)+1)</f>
        <v/>
      </c>
      <c r="AK851" s="229" t="str">
        <f>IFERROR(INDEX($A$4:$A$1000,MATCH(ROW()-ROW($AK$3),$AJ$4:$AJ$1000,0)),"")</f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499"/>
      <c r="AF852" s="500"/>
      <c r="AG852" s="500"/>
      <c r="AH852" s="501"/>
      <c r="AJ852" s="229" t="str">
        <f>IF(OR(A852="",AND(ISNUMBER(FIND("[", A852)), ISNUMBER(FIND("ALL", A852)), ISNUMBER(FIND("]", A852)))),"",MAX(AJ$3:AJ851)+1)</f>
        <v/>
      </c>
      <c r="AK852" s="229" t="str">
        <f>IFERROR(INDEX($A$4:$A$1000,MATCH(ROW()-ROW($AK$3),$AJ$4:$AJ$1000,0)),"")</f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499"/>
      <c r="AF853" s="500"/>
      <c r="AG853" s="500"/>
      <c r="AH853" s="501"/>
      <c r="AJ853" s="229" t="str">
        <f>IF(OR(A853="",AND(ISNUMBER(FIND("[", A853)), ISNUMBER(FIND("ALL", A853)), ISNUMBER(FIND("]", A853)))),"",MAX(AJ$3:AJ852)+1)</f>
        <v/>
      </c>
      <c r="AK853" s="229" t="str">
        <f>IFERROR(INDEX($A$4:$A$1000,MATCH(ROW()-ROW($AK$3),$AJ$4:$AJ$1000,0)),"")</f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499"/>
      <c r="AF854" s="500"/>
      <c r="AG854" s="500"/>
      <c r="AH854" s="501"/>
      <c r="AJ854" s="229" t="str">
        <f>IF(OR(A854="",AND(ISNUMBER(FIND("[", A854)), ISNUMBER(FIND("ALL", A854)), ISNUMBER(FIND("]", A854)))),"",MAX(AJ$3:AJ853)+1)</f>
        <v/>
      </c>
      <c r="AK854" s="229" t="str">
        <f>IFERROR(INDEX($A$4:$A$1000,MATCH(ROW()-ROW($AK$3),$AJ$4:$AJ$1000,0)),"")</f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499"/>
      <c r="AF855" s="500"/>
      <c r="AG855" s="500"/>
      <c r="AH855" s="501"/>
      <c r="AJ855" s="229" t="str">
        <f>IF(OR(A855="",AND(ISNUMBER(FIND("[", A855)), ISNUMBER(FIND("ALL", A855)), ISNUMBER(FIND("]", A855)))),"",MAX(AJ$3:AJ854)+1)</f>
        <v/>
      </c>
      <c r="AK855" s="229" t="str">
        <f>IFERROR(INDEX($A$4:$A$1000,MATCH(ROW()-ROW($AK$3),$AJ$4:$AJ$1000,0)),"")</f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499"/>
      <c r="AF856" s="500"/>
      <c r="AG856" s="500"/>
      <c r="AH856" s="501"/>
      <c r="AJ856" s="229" t="str">
        <f>IF(OR(A856="",AND(ISNUMBER(FIND("[", A856)), ISNUMBER(FIND("ALL", A856)), ISNUMBER(FIND("]", A856)))),"",MAX(AJ$3:AJ855)+1)</f>
        <v/>
      </c>
      <c r="AK856" s="229" t="str">
        <f>IFERROR(INDEX($A$4:$A$1000,MATCH(ROW()-ROW($AK$3),$AJ$4:$AJ$1000,0)),"")</f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499"/>
      <c r="AF857" s="500"/>
      <c r="AG857" s="500"/>
      <c r="AH857" s="501"/>
      <c r="AJ857" s="229" t="str">
        <f>IF(OR(A857="",AND(ISNUMBER(FIND("[", A857)), ISNUMBER(FIND("ALL", A857)), ISNUMBER(FIND("]", A857)))),"",MAX(AJ$3:AJ856)+1)</f>
        <v/>
      </c>
      <c r="AK857" s="229" t="str">
        <f>IFERROR(INDEX($A$4:$A$1000,MATCH(ROW()-ROW($AK$3),$AJ$4:$AJ$1000,0)),"")</f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499"/>
      <c r="AF858" s="500"/>
      <c r="AG858" s="500"/>
      <c r="AH858" s="501"/>
      <c r="AJ858" s="229" t="str">
        <f>IF(OR(A858="",AND(ISNUMBER(FIND("[", A858)), ISNUMBER(FIND("ALL", A858)), ISNUMBER(FIND("]", A858)))),"",MAX(AJ$3:AJ857)+1)</f>
        <v/>
      </c>
      <c r="AK858" s="229" t="str">
        <f>IFERROR(INDEX($A$4:$A$1000,MATCH(ROW()-ROW($AK$3),$AJ$4:$AJ$1000,0)),"")</f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499"/>
      <c r="AF859" s="500"/>
      <c r="AG859" s="500"/>
      <c r="AH859" s="501"/>
      <c r="AJ859" s="229" t="str">
        <f>IF(OR(A859="",AND(ISNUMBER(FIND("[", A859)), ISNUMBER(FIND("ALL", A859)), ISNUMBER(FIND("]", A859)))),"",MAX(AJ$3:AJ858)+1)</f>
        <v/>
      </c>
      <c r="AK859" s="229" t="str">
        <f>IFERROR(INDEX($A$4:$A$1000,MATCH(ROW()-ROW($AK$3),$AJ$4:$AJ$1000,0)),"")</f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499"/>
      <c r="AF860" s="500"/>
      <c r="AG860" s="500"/>
      <c r="AH860" s="501"/>
      <c r="AJ860" s="229" t="str">
        <f>IF(OR(A860="",AND(ISNUMBER(FIND("[", A860)), ISNUMBER(FIND("ALL", A860)), ISNUMBER(FIND("]", A860)))),"",MAX(AJ$3:AJ859)+1)</f>
        <v/>
      </c>
      <c r="AK860" s="229" t="str">
        <f>IFERROR(INDEX($A$4:$A$1000,MATCH(ROW()-ROW($AK$3),$AJ$4:$AJ$1000,0)),"")</f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499"/>
      <c r="AF861" s="500"/>
      <c r="AG861" s="500"/>
      <c r="AH861" s="501"/>
      <c r="AJ861" s="229" t="str">
        <f>IF(OR(A861="",AND(ISNUMBER(FIND("[", A861)), ISNUMBER(FIND("ALL", A861)), ISNUMBER(FIND("]", A861)))),"",MAX(AJ$3:AJ860)+1)</f>
        <v/>
      </c>
      <c r="AK861" s="229" t="str">
        <f>IFERROR(INDEX($A$4:$A$1000,MATCH(ROW()-ROW($AK$3),$AJ$4:$AJ$1000,0)),"")</f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499"/>
      <c r="AF862" s="500"/>
      <c r="AG862" s="500"/>
      <c r="AH862" s="501"/>
      <c r="AJ862" s="229" t="str">
        <f>IF(OR(A862="",AND(ISNUMBER(FIND("[", A862)), ISNUMBER(FIND("ALL", A862)), ISNUMBER(FIND("]", A862)))),"",MAX(AJ$3:AJ861)+1)</f>
        <v/>
      </c>
      <c r="AK862" s="229" t="str">
        <f>IFERROR(INDEX($A$4:$A$1000,MATCH(ROW()-ROW($AK$3),$AJ$4:$AJ$1000,0)),"")</f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499"/>
      <c r="AF863" s="500"/>
      <c r="AG863" s="500"/>
      <c r="AH863" s="501"/>
      <c r="AJ863" s="229" t="str">
        <f>IF(OR(A863="",AND(ISNUMBER(FIND("[", A863)), ISNUMBER(FIND("ALL", A863)), ISNUMBER(FIND("]", A863)))),"",MAX(AJ$3:AJ862)+1)</f>
        <v/>
      </c>
      <c r="AK863" s="229" t="str">
        <f>IFERROR(INDEX($A$4:$A$1000,MATCH(ROW()-ROW($AK$3),$AJ$4:$AJ$1000,0)),"")</f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499"/>
      <c r="AF864" s="500"/>
      <c r="AG864" s="500"/>
      <c r="AH864" s="501"/>
      <c r="AJ864" s="229" t="str">
        <f>IF(OR(A864="",AND(ISNUMBER(FIND("[", A864)), ISNUMBER(FIND("ALL", A864)), ISNUMBER(FIND("]", A864)))),"",MAX(AJ$3:AJ863)+1)</f>
        <v/>
      </c>
      <c r="AK864" s="229" t="str">
        <f>IFERROR(INDEX($A$4:$A$1000,MATCH(ROW()-ROW($AK$3),$AJ$4:$AJ$1000,0)),"")</f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499"/>
      <c r="AF865" s="500"/>
      <c r="AG865" s="500"/>
      <c r="AH865" s="501"/>
      <c r="AJ865" s="229" t="str">
        <f>IF(OR(A865="",AND(ISNUMBER(FIND("[", A865)), ISNUMBER(FIND("ALL", A865)), ISNUMBER(FIND("]", A865)))),"",MAX(AJ$3:AJ864)+1)</f>
        <v/>
      </c>
      <c r="AK865" s="229" t="str">
        <f>IFERROR(INDEX($A$4:$A$1000,MATCH(ROW()-ROW($AK$3),$AJ$4:$AJ$1000,0)),"")</f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499"/>
      <c r="AF866" s="500"/>
      <c r="AG866" s="500"/>
      <c r="AH866" s="501"/>
      <c r="AJ866" s="229" t="str">
        <f>IF(OR(A866="",AND(ISNUMBER(FIND("[", A866)), ISNUMBER(FIND("ALL", A866)), ISNUMBER(FIND("]", A866)))),"",MAX(AJ$3:AJ865)+1)</f>
        <v/>
      </c>
      <c r="AK866" s="229" t="str">
        <f>IFERROR(INDEX($A$4:$A$1000,MATCH(ROW()-ROW($AK$3),$AJ$4:$AJ$1000,0)),"")</f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499"/>
      <c r="AF867" s="500"/>
      <c r="AG867" s="500"/>
      <c r="AH867" s="501"/>
      <c r="AJ867" s="229" t="str">
        <f>IF(OR(A867="",AND(ISNUMBER(FIND("[", A867)), ISNUMBER(FIND("ALL", A867)), ISNUMBER(FIND("]", A867)))),"",MAX(AJ$3:AJ866)+1)</f>
        <v/>
      </c>
      <c r="AK867" s="229" t="str">
        <f>IFERROR(INDEX($A$4:$A$1000,MATCH(ROW()-ROW($AK$3),$AJ$4:$AJ$1000,0)),"")</f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499"/>
      <c r="AF868" s="500"/>
      <c r="AG868" s="500"/>
      <c r="AH868" s="501"/>
      <c r="AJ868" s="229" t="str">
        <f>IF(OR(A868="",AND(ISNUMBER(FIND("[", A868)), ISNUMBER(FIND("ALL", A868)), ISNUMBER(FIND("]", A868)))),"",MAX(AJ$3:AJ867)+1)</f>
        <v/>
      </c>
      <c r="AK868" s="229" t="str">
        <f>IFERROR(INDEX($A$4:$A$1000,MATCH(ROW()-ROW($AK$3),$AJ$4:$AJ$1000,0)),"")</f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499"/>
      <c r="AF869" s="500"/>
      <c r="AG869" s="500"/>
      <c r="AH869" s="501"/>
      <c r="AJ869" s="229" t="str">
        <f>IF(OR(A869="",AND(ISNUMBER(FIND("[", A869)), ISNUMBER(FIND("ALL", A869)), ISNUMBER(FIND("]", A869)))),"",MAX(AJ$3:AJ868)+1)</f>
        <v/>
      </c>
      <c r="AK869" s="229" t="str">
        <f>IFERROR(INDEX($A$4:$A$1000,MATCH(ROW()-ROW($AK$3),$AJ$4:$AJ$1000,0)),"")</f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499"/>
      <c r="AF870" s="500"/>
      <c r="AG870" s="500"/>
      <c r="AH870" s="501"/>
      <c r="AJ870" s="229" t="str">
        <f>IF(OR(A870="",AND(ISNUMBER(FIND("[", A870)), ISNUMBER(FIND("ALL", A870)), ISNUMBER(FIND("]", A870)))),"",MAX(AJ$3:AJ869)+1)</f>
        <v/>
      </c>
      <c r="AK870" s="229" t="str">
        <f>IFERROR(INDEX($A$4:$A$1000,MATCH(ROW()-ROW($AK$3),$AJ$4:$AJ$1000,0)),"")</f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499"/>
      <c r="AF871" s="500"/>
      <c r="AG871" s="500"/>
      <c r="AH871" s="501"/>
      <c r="AJ871" s="229" t="str">
        <f>IF(OR(A871="",AND(ISNUMBER(FIND("[", A871)), ISNUMBER(FIND("ALL", A871)), ISNUMBER(FIND("]", A871)))),"",MAX(AJ$3:AJ870)+1)</f>
        <v/>
      </c>
      <c r="AK871" s="229" t="str">
        <f>IFERROR(INDEX($A$4:$A$1000,MATCH(ROW()-ROW($AK$3),$AJ$4:$AJ$1000,0)),"")</f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499"/>
      <c r="AF872" s="500"/>
      <c r="AG872" s="500"/>
      <c r="AH872" s="501"/>
      <c r="AJ872" s="229" t="str">
        <f>IF(OR(A872="",AND(ISNUMBER(FIND("[", A872)), ISNUMBER(FIND("ALL", A872)), ISNUMBER(FIND("]", A872)))),"",MAX(AJ$3:AJ871)+1)</f>
        <v/>
      </c>
      <c r="AK872" s="229" t="str">
        <f>IFERROR(INDEX($A$4:$A$1000,MATCH(ROW()-ROW($AK$3),$AJ$4:$AJ$1000,0)),"")</f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499"/>
      <c r="AF873" s="500"/>
      <c r="AG873" s="500"/>
      <c r="AH873" s="501"/>
      <c r="AJ873" s="229" t="str">
        <f>IF(OR(A873="",AND(ISNUMBER(FIND("[", A873)), ISNUMBER(FIND("ALL", A873)), ISNUMBER(FIND("]", A873)))),"",MAX(AJ$3:AJ872)+1)</f>
        <v/>
      </c>
      <c r="AK873" s="229" t="str">
        <f>IFERROR(INDEX($A$4:$A$1000,MATCH(ROW()-ROW($AK$3),$AJ$4:$AJ$1000,0)),"")</f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499"/>
      <c r="AF874" s="500"/>
      <c r="AG874" s="500"/>
      <c r="AH874" s="501"/>
      <c r="AJ874" s="229" t="str">
        <f>IF(OR(A874="",AND(ISNUMBER(FIND("[", A874)), ISNUMBER(FIND("ALL", A874)), ISNUMBER(FIND("]", A874)))),"",MAX(AJ$3:AJ873)+1)</f>
        <v/>
      </c>
      <c r="AK874" s="229" t="str">
        <f>IFERROR(INDEX($A$4:$A$1000,MATCH(ROW()-ROW($AK$3),$AJ$4:$AJ$1000,0)),"")</f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499"/>
      <c r="AF875" s="500"/>
      <c r="AG875" s="500"/>
      <c r="AH875" s="501"/>
      <c r="AJ875" s="229" t="str">
        <f>IF(OR(A875="",AND(ISNUMBER(FIND("[", A875)), ISNUMBER(FIND("ALL", A875)), ISNUMBER(FIND("]", A875)))),"",MAX(AJ$3:AJ874)+1)</f>
        <v/>
      </c>
      <c r="AK875" s="229" t="str">
        <f>IFERROR(INDEX($A$4:$A$1000,MATCH(ROW()-ROW($AK$3),$AJ$4:$AJ$1000,0)),"")</f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499"/>
      <c r="AF876" s="500"/>
      <c r="AG876" s="500"/>
      <c r="AH876" s="501"/>
      <c r="AJ876" s="229" t="str">
        <f>IF(OR(A876="",AND(ISNUMBER(FIND("[", A876)), ISNUMBER(FIND("ALL", A876)), ISNUMBER(FIND("]", A876)))),"",MAX(AJ$3:AJ875)+1)</f>
        <v/>
      </c>
      <c r="AK876" s="229" t="str">
        <f>IFERROR(INDEX($A$4:$A$1000,MATCH(ROW()-ROW($AK$3),$AJ$4:$AJ$1000,0)),"")</f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499"/>
      <c r="AF877" s="500"/>
      <c r="AG877" s="500"/>
      <c r="AH877" s="501"/>
      <c r="AJ877" s="229" t="str">
        <f>IF(OR(A877="",AND(ISNUMBER(FIND("[", A877)), ISNUMBER(FIND("ALL", A877)), ISNUMBER(FIND("]", A877)))),"",MAX(AJ$3:AJ876)+1)</f>
        <v/>
      </c>
      <c r="AK877" s="229" t="str">
        <f>IFERROR(INDEX($A$4:$A$1000,MATCH(ROW()-ROW($AK$3),$AJ$4:$AJ$1000,0)),"")</f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499"/>
      <c r="AF878" s="500"/>
      <c r="AG878" s="500"/>
      <c r="AH878" s="501"/>
      <c r="AJ878" s="229" t="str">
        <f>IF(OR(A878="",AND(ISNUMBER(FIND("[", A878)), ISNUMBER(FIND("ALL", A878)), ISNUMBER(FIND("]", A878)))),"",MAX(AJ$3:AJ877)+1)</f>
        <v/>
      </c>
      <c r="AK878" s="229" t="str">
        <f>IFERROR(INDEX($A$4:$A$1000,MATCH(ROW()-ROW($AK$3),$AJ$4:$AJ$1000,0)),"")</f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499"/>
      <c r="AF879" s="500"/>
      <c r="AG879" s="500"/>
      <c r="AH879" s="501"/>
      <c r="AJ879" s="229" t="str">
        <f>IF(OR(A879="",AND(ISNUMBER(FIND("[", A879)), ISNUMBER(FIND("ALL", A879)), ISNUMBER(FIND("]", A879)))),"",MAX(AJ$3:AJ878)+1)</f>
        <v/>
      </c>
      <c r="AK879" s="229" t="str">
        <f>IFERROR(INDEX($A$4:$A$1000,MATCH(ROW()-ROW($AK$3),$AJ$4:$AJ$1000,0)),"")</f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499"/>
      <c r="AF880" s="500"/>
      <c r="AG880" s="500"/>
      <c r="AH880" s="501"/>
      <c r="AJ880" s="229" t="str">
        <f>IF(OR(A880="",AND(ISNUMBER(FIND("[", A880)), ISNUMBER(FIND("ALL", A880)), ISNUMBER(FIND("]", A880)))),"",MAX(AJ$3:AJ879)+1)</f>
        <v/>
      </c>
      <c r="AK880" s="229" t="str">
        <f>IFERROR(INDEX($A$4:$A$1000,MATCH(ROW()-ROW($AK$3),$AJ$4:$AJ$1000,0)),"")</f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499"/>
      <c r="AF881" s="500"/>
      <c r="AG881" s="500"/>
      <c r="AH881" s="501"/>
      <c r="AJ881" s="229" t="str">
        <f>IF(OR(A881="",AND(ISNUMBER(FIND("[", A881)), ISNUMBER(FIND("ALL", A881)), ISNUMBER(FIND("]", A881)))),"",MAX(AJ$3:AJ880)+1)</f>
        <v/>
      </c>
      <c r="AK881" s="229" t="str">
        <f>IFERROR(INDEX($A$4:$A$1000,MATCH(ROW()-ROW($AK$3),$AJ$4:$AJ$1000,0)),"")</f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499"/>
      <c r="AF882" s="500"/>
      <c r="AG882" s="500"/>
      <c r="AH882" s="501"/>
      <c r="AJ882" s="229" t="str">
        <f>IF(OR(A882="",AND(ISNUMBER(FIND("[", A882)), ISNUMBER(FIND("ALL", A882)), ISNUMBER(FIND("]", A882)))),"",MAX(AJ$3:AJ881)+1)</f>
        <v/>
      </c>
      <c r="AK882" s="229" t="str">
        <f>IFERROR(INDEX($A$4:$A$1000,MATCH(ROW()-ROW($AK$3),$AJ$4:$AJ$1000,0)),"")</f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499"/>
      <c r="AF883" s="500"/>
      <c r="AG883" s="500"/>
      <c r="AH883" s="501"/>
      <c r="AJ883" s="229" t="str">
        <f>IF(OR(A883="",AND(ISNUMBER(FIND("[", A883)), ISNUMBER(FIND("ALL", A883)), ISNUMBER(FIND("]", A883)))),"",MAX(AJ$3:AJ882)+1)</f>
        <v/>
      </c>
      <c r="AK883" s="229" t="str">
        <f>IFERROR(INDEX($A$4:$A$1000,MATCH(ROW()-ROW($AK$3),$AJ$4:$AJ$1000,0)),"")</f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499"/>
      <c r="AF884" s="500"/>
      <c r="AG884" s="500"/>
      <c r="AH884" s="501"/>
      <c r="AJ884" s="229" t="str">
        <f>IF(OR(A884="",AND(ISNUMBER(FIND("[", A884)), ISNUMBER(FIND("ALL", A884)), ISNUMBER(FIND("]", A884)))),"",MAX(AJ$3:AJ883)+1)</f>
        <v/>
      </c>
      <c r="AK884" s="229" t="str">
        <f>IFERROR(INDEX($A$4:$A$1000,MATCH(ROW()-ROW($AK$3),$AJ$4:$AJ$1000,0)),"")</f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499"/>
      <c r="AF885" s="500"/>
      <c r="AG885" s="500"/>
      <c r="AH885" s="501"/>
      <c r="AJ885" s="229" t="str">
        <f>IF(OR(A885="",AND(ISNUMBER(FIND("[", A885)), ISNUMBER(FIND("ALL", A885)), ISNUMBER(FIND("]", A885)))),"",MAX(AJ$3:AJ884)+1)</f>
        <v/>
      </c>
      <c r="AK885" s="229" t="str">
        <f>IFERROR(INDEX($A$4:$A$1000,MATCH(ROW()-ROW($AK$3),$AJ$4:$AJ$1000,0)),"")</f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499"/>
      <c r="AF886" s="500"/>
      <c r="AG886" s="500"/>
      <c r="AH886" s="501"/>
      <c r="AJ886" s="229" t="str">
        <f>IF(OR(A886="",AND(ISNUMBER(FIND("[", A886)), ISNUMBER(FIND("ALL", A886)), ISNUMBER(FIND("]", A886)))),"",MAX(AJ$3:AJ885)+1)</f>
        <v/>
      </c>
      <c r="AK886" s="229" t="str">
        <f>IFERROR(INDEX($A$4:$A$1000,MATCH(ROW()-ROW($AK$3),$AJ$4:$AJ$1000,0)),"")</f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499"/>
      <c r="AF887" s="500"/>
      <c r="AG887" s="500"/>
      <c r="AH887" s="501"/>
      <c r="AJ887" s="229" t="str">
        <f>IF(OR(A887="",AND(ISNUMBER(FIND("[", A887)), ISNUMBER(FIND("ALL", A887)), ISNUMBER(FIND("]", A887)))),"",MAX(AJ$3:AJ886)+1)</f>
        <v/>
      </c>
      <c r="AK887" s="229" t="str">
        <f>IFERROR(INDEX($A$4:$A$1000,MATCH(ROW()-ROW($AK$3),$AJ$4:$AJ$1000,0)),"")</f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499"/>
      <c r="AF888" s="500"/>
      <c r="AG888" s="500"/>
      <c r="AH888" s="501"/>
      <c r="AJ888" s="229" t="str">
        <f>IF(OR(A888="",AND(ISNUMBER(FIND("[", A888)), ISNUMBER(FIND("ALL", A888)), ISNUMBER(FIND("]", A888)))),"",MAX(AJ$3:AJ887)+1)</f>
        <v/>
      </c>
      <c r="AK888" s="229" t="str">
        <f>IFERROR(INDEX($A$4:$A$1000,MATCH(ROW()-ROW($AK$3),$AJ$4:$AJ$1000,0)),"")</f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499"/>
      <c r="AF889" s="500"/>
      <c r="AG889" s="500"/>
      <c r="AH889" s="501"/>
      <c r="AJ889" s="229" t="str">
        <f>IF(OR(A889="",AND(ISNUMBER(FIND("[", A889)), ISNUMBER(FIND("ALL", A889)), ISNUMBER(FIND("]", A889)))),"",MAX(AJ$3:AJ888)+1)</f>
        <v/>
      </c>
      <c r="AK889" s="229" t="str">
        <f>IFERROR(INDEX($A$4:$A$1000,MATCH(ROW()-ROW($AK$3),$AJ$4:$AJ$1000,0)),"")</f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499"/>
      <c r="AF890" s="500"/>
      <c r="AG890" s="500"/>
      <c r="AH890" s="501"/>
      <c r="AJ890" s="229" t="str">
        <f>IF(OR(A890="",AND(ISNUMBER(FIND("[", A890)), ISNUMBER(FIND("ALL", A890)), ISNUMBER(FIND("]", A890)))),"",MAX(AJ$3:AJ889)+1)</f>
        <v/>
      </c>
      <c r="AK890" s="229" t="str">
        <f>IFERROR(INDEX($A$4:$A$1000,MATCH(ROW()-ROW($AK$3),$AJ$4:$AJ$1000,0)),"")</f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499"/>
      <c r="AF891" s="500"/>
      <c r="AG891" s="500"/>
      <c r="AH891" s="501"/>
      <c r="AJ891" s="229" t="str">
        <f>IF(OR(A891="",AND(ISNUMBER(FIND("[", A891)), ISNUMBER(FIND("ALL", A891)), ISNUMBER(FIND("]", A891)))),"",MAX(AJ$3:AJ890)+1)</f>
        <v/>
      </c>
      <c r="AK891" s="229" t="str">
        <f>IFERROR(INDEX($A$4:$A$1000,MATCH(ROW()-ROW($AK$3),$AJ$4:$AJ$1000,0)),"")</f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499"/>
      <c r="AF892" s="500"/>
      <c r="AG892" s="500"/>
      <c r="AH892" s="501"/>
      <c r="AJ892" s="229" t="str">
        <f>IF(OR(A892="",AND(ISNUMBER(FIND("[", A892)), ISNUMBER(FIND("ALL", A892)), ISNUMBER(FIND("]", A892)))),"",MAX(AJ$3:AJ891)+1)</f>
        <v/>
      </c>
      <c r="AK892" s="229" t="str">
        <f>IFERROR(INDEX($A$4:$A$1000,MATCH(ROW()-ROW($AK$3),$AJ$4:$AJ$1000,0)),"")</f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499"/>
      <c r="AF893" s="500"/>
      <c r="AG893" s="500"/>
      <c r="AH893" s="501"/>
      <c r="AJ893" s="229" t="str">
        <f>IF(OR(A893="",AND(ISNUMBER(FIND("[", A893)), ISNUMBER(FIND("ALL", A893)), ISNUMBER(FIND("]", A893)))),"",MAX(AJ$3:AJ892)+1)</f>
        <v/>
      </c>
      <c r="AK893" s="229" t="str">
        <f>IFERROR(INDEX($A$4:$A$1000,MATCH(ROW()-ROW($AK$3),$AJ$4:$AJ$1000,0)),"")</f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499"/>
      <c r="AF894" s="500"/>
      <c r="AG894" s="500"/>
      <c r="AH894" s="501"/>
      <c r="AJ894" s="229" t="str">
        <f>IF(OR(A894="",AND(ISNUMBER(FIND("[", A894)), ISNUMBER(FIND("ALL", A894)), ISNUMBER(FIND("]", A894)))),"",MAX(AJ$3:AJ893)+1)</f>
        <v/>
      </c>
      <c r="AK894" s="229" t="str">
        <f>IFERROR(INDEX($A$4:$A$1000,MATCH(ROW()-ROW($AK$3),$AJ$4:$AJ$1000,0)),"")</f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499"/>
      <c r="AF895" s="500"/>
      <c r="AG895" s="500"/>
      <c r="AH895" s="501"/>
      <c r="AJ895" s="229" t="str">
        <f>IF(OR(A895="",AND(ISNUMBER(FIND("[", A895)), ISNUMBER(FIND("ALL", A895)), ISNUMBER(FIND("]", A895)))),"",MAX(AJ$3:AJ894)+1)</f>
        <v/>
      </c>
      <c r="AK895" s="229" t="str">
        <f>IFERROR(INDEX($A$4:$A$1000,MATCH(ROW()-ROW($AK$3),$AJ$4:$AJ$1000,0)),"")</f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499"/>
      <c r="AF896" s="500"/>
      <c r="AG896" s="500"/>
      <c r="AH896" s="501"/>
      <c r="AJ896" s="229" t="str">
        <f>IF(OR(A896="",AND(ISNUMBER(FIND("[", A896)), ISNUMBER(FIND("ALL", A896)), ISNUMBER(FIND("]", A896)))),"",MAX(AJ$3:AJ895)+1)</f>
        <v/>
      </c>
      <c r="AK896" s="229" t="str">
        <f>IFERROR(INDEX($A$4:$A$1000,MATCH(ROW()-ROW($AK$3),$AJ$4:$AJ$1000,0)),"")</f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499"/>
      <c r="AF897" s="500"/>
      <c r="AG897" s="500"/>
      <c r="AH897" s="501"/>
      <c r="AJ897" s="229" t="str">
        <f>IF(OR(A897="",AND(ISNUMBER(FIND("[", A897)), ISNUMBER(FIND("ALL", A897)), ISNUMBER(FIND("]", A897)))),"",MAX(AJ$3:AJ896)+1)</f>
        <v/>
      </c>
      <c r="AK897" s="229" t="str">
        <f>IFERROR(INDEX($A$4:$A$1000,MATCH(ROW()-ROW($AK$3),$AJ$4:$AJ$1000,0)),"")</f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499"/>
      <c r="AF898" s="500"/>
      <c r="AG898" s="500"/>
      <c r="AH898" s="501"/>
      <c r="AJ898" s="229" t="str">
        <f>IF(OR(A898="",AND(ISNUMBER(FIND("[", A898)), ISNUMBER(FIND("ALL", A898)), ISNUMBER(FIND("]", A898)))),"",MAX(AJ$3:AJ897)+1)</f>
        <v/>
      </c>
      <c r="AK898" s="229" t="str">
        <f>IFERROR(INDEX($A$4:$A$1000,MATCH(ROW()-ROW($AK$3),$AJ$4:$AJ$1000,0)),"")</f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499"/>
      <c r="AF899" s="500"/>
      <c r="AG899" s="500"/>
      <c r="AH899" s="501"/>
      <c r="AJ899" s="229" t="str">
        <f>IF(OR(A899="",AND(ISNUMBER(FIND("[", A899)), ISNUMBER(FIND("ALL", A899)), ISNUMBER(FIND("]", A899)))),"",MAX(AJ$3:AJ898)+1)</f>
        <v/>
      </c>
      <c r="AK899" s="229" t="str">
        <f>IFERROR(INDEX($A$4:$A$1000,MATCH(ROW()-ROW($AK$3),$AJ$4:$AJ$1000,0)),"")</f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499"/>
      <c r="AF900" s="500"/>
      <c r="AG900" s="500"/>
      <c r="AH900" s="501"/>
      <c r="AJ900" s="229" t="str">
        <f>IF(OR(A900="",AND(ISNUMBER(FIND("[", A900)), ISNUMBER(FIND("ALL", A900)), ISNUMBER(FIND("]", A900)))),"",MAX(AJ$3:AJ899)+1)</f>
        <v/>
      </c>
      <c r="AK900" s="229" t="str">
        <f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499"/>
      <c r="AF901" s="500"/>
      <c r="AG901" s="500"/>
      <c r="AH901" s="501"/>
      <c r="AJ901" s="229" t="str">
        <f>IF(OR(A901="",AND(ISNUMBER(FIND("[", A901)), ISNUMBER(FIND("ALL", A901)), ISNUMBER(FIND("]", A901)))),"",MAX(AJ$3:AJ900)+1)</f>
        <v/>
      </c>
      <c r="AK901" s="229" t="str">
        <f>IFERROR(INDEX($A$4:$A$1000,MATCH(ROW()-ROW($AK$3),$AJ$4:$AJ$1000,0)),"")</f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499"/>
      <c r="AF902" s="500"/>
      <c r="AG902" s="500"/>
      <c r="AH902" s="501"/>
      <c r="AJ902" s="229" t="str">
        <f>IF(OR(A902="",AND(ISNUMBER(FIND("[", A902)), ISNUMBER(FIND("ALL", A902)), ISNUMBER(FIND("]", A902)))),"",MAX(AJ$3:AJ901)+1)</f>
        <v/>
      </c>
      <c r="AK902" s="229" t="str">
        <f>IFERROR(INDEX($A$4:$A$1000,MATCH(ROW()-ROW($AK$3),$AJ$4:$AJ$1000,0)),"")</f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499"/>
      <c r="AF903" s="500"/>
      <c r="AG903" s="500"/>
      <c r="AH903" s="501"/>
      <c r="AJ903" s="229" t="str">
        <f>IF(OR(A903="",AND(ISNUMBER(FIND("[", A903)), ISNUMBER(FIND("ALL", A903)), ISNUMBER(FIND("]", A903)))),"",MAX(AJ$3:AJ902)+1)</f>
        <v/>
      </c>
      <c r="AK903" s="229" t="str">
        <f>IFERROR(INDEX($A$4:$A$1000,MATCH(ROW()-ROW($AK$3),$AJ$4:$AJ$1000,0)),"")</f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499"/>
      <c r="AF904" s="500"/>
      <c r="AG904" s="500"/>
      <c r="AH904" s="501"/>
      <c r="AJ904" s="229" t="str">
        <f>IF(OR(A904="",AND(ISNUMBER(FIND("[", A904)), ISNUMBER(FIND("ALL", A904)), ISNUMBER(FIND("]", A904)))),"",MAX(AJ$3:AJ903)+1)</f>
        <v/>
      </c>
      <c r="AK904" s="229" t="str">
        <f>IFERROR(INDEX($A$4:$A$1000,MATCH(ROW()-ROW($AK$3),$AJ$4:$AJ$1000,0)),"")</f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499"/>
      <c r="AF905" s="500"/>
      <c r="AG905" s="500"/>
      <c r="AH905" s="501"/>
      <c r="AJ905" s="229" t="str">
        <f>IF(OR(A905="",AND(ISNUMBER(FIND("[", A905)), ISNUMBER(FIND("ALL", A905)), ISNUMBER(FIND("]", A905)))),"",MAX(AJ$3:AJ904)+1)</f>
        <v/>
      </c>
      <c r="AK905" s="229" t="str">
        <f>IFERROR(INDEX($A$4:$A$1000,MATCH(ROW()-ROW($AK$3),$AJ$4:$AJ$1000,0)),"")</f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499"/>
      <c r="AF906" s="500"/>
      <c r="AG906" s="500"/>
      <c r="AH906" s="501"/>
      <c r="AJ906" s="229" t="str">
        <f>IF(OR(A906="",AND(ISNUMBER(FIND("[", A906)), ISNUMBER(FIND("ALL", A906)), ISNUMBER(FIND("]", A906)))),"",MAX(AJ$3:AJ905)+1)</f>
        <v/>
      </c>
      <c r="AK906" s="229" t="str">
        <f>IFERROR(INDEX($A$4:$A$1000,MATCH(ROW()-ROW($AK$3),$AJ$4:$AJ$1000,0)),"")</f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499"/>
      <c r="AF907" s="500"/>
      <c r="AG907" s="500"/>
      <c r="AH907" s="501"/>
      <c r="AJ907" s="229" t="str">
        <f>IF(OR(A907="",AND(ISNUMBER(FIND("[", A907)), ISNUMBER(FIND("ALL", A907)), ISNUMBER(FIND("]", A907)))),"",MAX(AJ$3:AJ906)+1)</f>
        <v/>
      </c>
      <c r="AK907" s="229" t="str">
        <f>IFERROR(INDEX($A$4:$A$1000,MATCH(ROW()-ROW($AK$3),$AJ$4:$AJ$1000,0)),"")</f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499"/>
      <c r="AF908" s="500"/>
      <c r="AG908" s="500"/>
      <c r="AH908" s="501"/>
      <c r="AJ908" s="229" t="str">
        <f>IF(OR(A908="",AND(ISNUMBER(FIND("[", A908)), ISNUMBER(FIND("ALL", A908)), ISNUMBER(FIND("]", A908)))),"",MAX(AJ$3:AJ907)+1)</f>
        <v/>
      </c>
      <c r="AK908" s="229" t="str">
        <f>IFERROR(INDEX($A$4:$A$1000,MATCH(ROW()-ROW($AK$3),$AJ$4:$AJ$1000,0)),"")</f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499"/>
      <c r="AF909" s="500"/>
      <c r="AG909" s="500"/>
      <c r="AH909" s="501"/>
      <c r="AJ909" s="229" t="str">
        <f>IF(OR(A909="",AND(ISNUMBER(FIND("[", A909)), ISNUMBER(FIND("ALL", A909)), ISNUMBER(FIND("]", A909)))),"",MAX(AJ$3:AJ908)+1)</f>
        <v/>
      </c>
      <c r="AK909" s="229" t="str">
        <f>IFERROR(INDEX($A$4:$A$1000,MATCH(ROW()-ROW($AK$3),$AJ$4:$AJ$1000,0)),"")</f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499"/>
      <c r="AF910" s="500"/>
      <c r="AG910" s="500"/>
      <c r="AH910" s="501"/>
      <c r="AJ910" s="229" t="str">
        <f>IF(OR(A910="",AND(ISNUMBER(FIND("[", A910)), ISNUMBER(FIND("ALL", A910)), ISNUMBER(FIND("]", A910)))),"",MAX(AJ$3:AJ909)+1)</f>
        <v/>
      </c>
      <c r="AK910" s="229" t="str">
        <f>IFERROR(INDEX($A$4:$A$1000,MATCH(ROW()-ROW($AK$3),$AJ$4:$AJ$1000,0)),"")</f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499"/>
      <c r="AF911" s="500"/>
      <c r="AG911" s="500"/>
      <c r="AH911" s="501"/>
      <c r="AJ911" s="229" t="str">
        <f>IF(OR(A911="",AND(ISNUMBER(FIND("[", A911)), ISNUMBER(FIND("ALL", A911)), ISNUMBER(FIND("]", A911)))),"",MAX(AJ$3:AJ910)+1)</f>
        <v/>
      </c>
      <c r="AK911" s="229" t="str">
        <f>IFERROR(INDEX($A$4:$A$1000,MATCH(ROW()-ROW($AK$3),$AJ$4:$AJ$1000,0)),"")</f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499"/>
      <c r="AF912" s="500"/>
      <c r="AG912" s="500"/>
      <c r="AH912" s="501"/>
      <c r="AJ912" s="229" t="str">
        <f>IF(OR(A912="",AND(ISNUMBER(FIND("[", A912)), ISNUMBER(FIND("ALL", A912)), ISNUMBER(FIND("]", A912)))),"",MAX(AJ$3:AJ911)+1)</f>
        <v/>
      </c>
      <c r="AK912" s="229" t="str">
        <f>IFERROR(INDEX($A$4:$A$1000,MATCH(ROW()-ROW($AK$3),$AJ$4:$AJ$1000,0)),"")</f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499"/>
      <c r="AF913" s="500"/>
      <c r="AG913" s="500"/>
      <c r="AH913" s="501"/>
      <c r="AJ913" s="229" t="str">
        <f>IF(OR(A913="",AND(ISNUMBER(FIND("[", A913)), ISNUMBER(FIND("ALL", A913)), ISNUMBER(FIND("]", A913)))),"",MAX(AJ$3:AJ912)+1)</f>
        <v/>
      </c>
      <c r="AK913" s="229" t="str">
        <f>IFERROR(INDEX($A$4:$A$1000,MATCH(ROW()-ROW($AK$3),$AJ$4:$AJ$1000,0)),"")</f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499"/>
      <c r="AF914" s="500"/>
      <c r="AG914" s="500"/>
      <c r="AH914" s="501"/>
      <c r="AJ914" s="229" t="str">
        <f>IF(OR(A914="",AND(ISNUMBER(FIND("[", A914)), ISNUMBER(FIND("ALL", A914)), ISNUMBER(FIND("]", A914)))),"",MAX(AJ$3:AJ913)+1)</f>
        <v/>
      </c>
      <c r="AK914" s="229" t="str">
        <f>IFERROR(INDEX($A$4:$A$1000,MATCH(ROW()-ROW($AK$3),$AJ$4:$AJ$1000,0)),"")</f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499"/>
      <c r="AF915" s="500"/>
      <c r="AG915" s="500"/>
      <c r="AH915" s="501"/>
      <c r="AJ915" s="229" t="str">
        <f>IF(OR(A915="",AND(ISNUMBER(FIND("[", A915)), ISNUMBER(FIND("ALL", A915)), ISNUMBER(FIND("]", A915)))),"",MAX(AJ$3:AJ914)+1)</f>
        <v/>
      </c>
      <c r="AK915" s="229" t="str">
        <f>IFERROR(INDEX($A$4:$A$1000,MATCH(ROW()-ROW($AK$3),$AJ$4:$AJ$1000,0)),"")</f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499"/>
      <c r="AF916" s="500"/>
      <c r="AG916" s="500"/>
      <c r="AH916" s="501"/>
      <c r="AJ916" s="229" t="str">
        <f>IF(OR(A916="",AND(ISNUMBER(FIND("[", A916)), ISNUMBER(FIND("ALL", A916)), ISNUMBER(FIND("]", A916)))),"",MAX(AJ$3:AJ915)+1)</f>
        <v/>
      </c>
      <c r="AK916" s="229" t="str">
        <f>IFERROR(INDEX($A$4:$A$1000,MATCH(ROW()-ROW($AK$3),$AJ$4:$AJ$1000,0)),"")</f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499"/>
      <c r="AF917" s="500"/>
      <c r="AG917" s="500"/>
      <c r="AH917" s="501"/>
      <c r="AJ917" s="229" t="str">
        <f>IF(OR(A917="",AND(ISNUMBER(FIND("[", A917)), ISNUMBER(FIND("ALL", A917)), ISNUMBER(FIND("]", A917)))),"",MAX(AJ$3:AJ916)+1)</f>
        <v/>
      </c>
      <c r="AK917" s="229" t="str">
        <f>IFERROR(INDEX($A$4:$A$1000,MATCH(ROW()-ROW($AK$3),$AJ$4:$AJ$1000,0)),"")</f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499"/>
      <c r="AF918" s="500"/>
      <c r="AG918" s="500"/>
      <c r="AH918" s="501"/>
      <c r="AJ918" s="229" t="str">
        <f>IF(OR(A918="",AND(ISNUMBER(FIND("[", A918)), ISNUMBER(FIND("ALL", A918)), ISNUMBER(FIND("]", A918)))),"",MAX(AJ$3:AJ917)+1)</f>
        <v/>
      </c>
      <c r="AK918" s="229" t="str">
        <f>IFERROR(INDEX($A$4:$A$1000,MATCH(ROW()-ROW($AK$3),$AJ$4:$AJ$1000,0)),"")</f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499"/>
      <c r="AF919" s="500"/>
      <c r="AG919" s="500"/>
      <c r="AH919" s="501"/>
      <c r="AJ919" s="229" t="str">
        <f>IF(OR(A919="",AND(ISNUMBER(FIND("[", A919)), ISNUMBER(FIND("ALL", A919)), ISNUMBER(FIND("]", A919)))),"",MAX(AJ$3:AJ918)+1)</f>
        <v/>
      </c>
      <c r="AK919" s="229" t="str">
        <f>IFERROR(INDEX($A$4:$A$1000,MATCH(ROW()-ROW($AK$3),$AJ$4:$AJ$1000,0)),"")</f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499"/>
      <c r="AF920" s="500"/>
      <c r="AG920" s="500"/>
      <c r="AH920" s="501"/>
      <c r="AJ920" s="229" t="str">
        <f>IF(OR(A920="",AND(ISNUMBER(FIND("[", A920)), ISNUMBER(FIND("ALL", A920)), ISNUMBER(FIND("]", A920)))),"",MAX(AJ$3:AJ919)+1)</f>
        <v/>
      </c>
      <c r="AK920" s="229" t="str">
        <f>IFERROR(INDEX($A$4:$A$1000,MATCH(ROW()-ROW($AK$3),$AJ$4:$AJ$1000,0)),"")</f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499"/>
      <c r="AF921" s="500"/>
      <c r="AG921" s="500"/>
      <c r="AH921" s="501"/>
      <c r="AJ921" s="229" t="str">
        <f>IF(OR(A921="",AND(ISNUMBER(FIND("[", A921)), ISNUMBER(FIND("ALL", A921)), ISNUMBER(FIND("]", A921)))),"",MAX(AJ$3:AJ920)+1)</f>
        <v/>
      </c>
      <c r="AK921" s="229" t="str">
        <f>IFERROR(INDEX($A$4:$A$1000,MATCH(ROW()-ROW($AK$3),$AJ$4:$AJ$1000,0)),"")</f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499"/>
      <c r="AF922" s="500"/>
      <c r="AG922" s="500"/>
      <c r="AH922" s="501"/>
      <c r="AJ922" s="229" t="str">
        <f>IF(OR(A922="",AND(ISNUMBER(FIND("[", A922)), ISNUMBER(FIND("ALL", A922)), ISNUMBER(FIND("]", A922)))),"",MAX(AJ$3:AJ921)+1)</f>
        <v/>
      </c>
      <c r="AK922" s="229" t="str">
        <f>IFERROR(INDEX($A$4:$A$1000,MATCH(ROW()-ROW($AK$3),$AJ$4:$AJ$1000,0)),"")</f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499"/>
      <c r="AF923" s="500"/>
      <c r="AG923" s="500"/>
      <c r="AH923" s="501"/>
      <c r="AJ923" s="229" t="str">
        <f>IF(OR(A923="",AND(ISNUMBER(FIND("[", A923)), ISNUMBER(FIND("ALL", A923)), ISNUMBER(FIND("]", A923)))),"",MAX(AJ$3:AJ922)+1)</f>
        <v/>
      </c>
      <c r="AK923" s="229" t="str">
        <f>IFERROR(INDEX($A$4:$A$1000,MATCH(ROW()-ROW($AK$3),$AJ$4:$AJ$1000,0)),"")</f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499"/>
      <c r="AF924" s="500"/>
      <c r="AG924" s="500"/>
      <c r="AH924" s="501"/>
      <c r="AJ924" s="229" t="str">
        <f>IF(OR(A924="",AND(ISNUMBER(FIND("[", A924)), ISNUMBER(FIND("ALL", A924)), ISNUMBER(FIND("]", A924)))),"",MAX(AJ$3:AJ923)+1)</f>
        <v/>
      </c>
      <c r="AK924" s="229" t="str">
        <f>IFERROR(INDEX($A$4:$A$1000,MATCH(ROW()-ROW($AK$3),$AJ$4:$AJ$1000,0)),"")</f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499"/>
      <c r="AF925" s="500"/>
      <c r="AG925" s="500"/>
      <c r="AH925" s="501"/>
      <c r="AJ925" s="229" t="str">
        <f>IF(OR(A925="",AND(ISNUMBER(FIND("[", A925)), ISNUMBER(FIND("ALL", A925)), ISNUMBER(FIND("]", A925)))),"",MAX(AJ$3:AJ924)+1)</f>
        <v/>
      </c>
      <c r="AK925" s="229" t="str">
        <f>IFERROR(INDEX($A$4:$A$1000,MATCH(ROW()-ROW($AK$3),$AJ$4:$AJ$1000,0)),"")</f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499"/>
      <c r="AF926" s="500"/>
      <c r="AG926" s="500"/>
      <c r="AH926" s="501"/>
      <c r="AJ926" s="229" t="str">
        <f>IF(OR(A926="",AND(ISNUMBER(FIND("[", A926)), ISNUMBER(FIND("ALL", A926)), ISNUMBER(FIND("]", A926)))),"",MAX(AJ$3:AJ925)+1)</f>
        <v/>
      </c>
      <c r="AK926" s="229" t="str">
        <f>IFERROR(INDEX($A$4:$A$1000,MATCH(ROW()-ROW($AK$3),$AJ$4:$AJ$1000,0)),"")</f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499"/>
      <c r="AF927" s="500"/>
      <c r="AG927" s="500"/>
      <c r="AH927" s="501"/>
      <c r="AJ927" s="229" t="str">
        <f>IF(OR(A927="",AND(ISNUMBER(FIND("[", A927)), ISNUMBER(FIND("ALL", A927)), ISNUMBER(FIND("]", A927)))),"",MAX(AJ$3:AJ926)+1)</f>
        <v/>
      </c>
      <c r="AK927" s="229" t="str">
        <f>IFERROR(INDEX($A$4:$A$1000,MATCH(ROW()-ROW($AK$3),$AJ$4:$AJ$1000,0)),"")</f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499"/>
      <c r="AF928" s="500"/>
      <c r="AG928" s="500"/>
      <c r="AH928" s="501"/>
      <c r="AJ928" s="229" t="str">
        <f>IF(OR(A928="",AND(ISNUMBER(FIND("[", A928)), ISNUMBER(FIND("ALL", A928)), ISNUMBER(FIND("]", A928)))),"",MAX(AJ$3:AJ927)+1)</f>
        <v/>
      </c>
      <c r="AK928" s="229" t="str">
        <f>IFERROR(INDEX($A$4:$A$1000,MATCH(ROW()-ROW($AK$3),$AJ$4:$AJ$1000,0)),"")</f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499"/>
      <c r="AF929" s="500"/>
      <c r="AG929" s="500"/>
      <c r="AH929" s="501"/>
      <c r="AJ929" s="229" t="str">
        <f>IF(OR(A929="",AND(ISNUMBER(FIND("[", A929)), ISNUMBER(FIND("ALL", A929)), ISNUMBER(FIND("]", A929)))),"",MAX(AJ$3:AJ928)+1)</f>
        <v/>
      </c>
      <c r="AK929" s="229" t="str">
        <f>IFERROR(INDEX($A$4:$A$1000,MATCH(ROW()-ROW($AK$3),$AJ$4:$AJ$1000,0)),"")</f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499"/>
      <c r="AF930" s="500"/>
      <c r="AG930" s="500"/>
      <c r="AH930" s="501"/>
      <c r="AJ930" s="229" t="str">
        <f>IF(OR(A930="",AND(ISNUMBER(FIND("[", A930)), ISNUMBER(FIND("ALL", A930)), ISNUMBER(FIND("]", A930)))),"",MAX(AJ$3:AJ929)+1)</f>
        <v/>
      </c>
      <c r="AK930" s="229" t="str">
        <f>IFERROR(INDEX($A$4:$A$1000,MATCH(ROW()-ROW($AK$3),$AJ$4:$AJ$1000,0)),"")</f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499"/>
      <c r="AF931" s="500"/>
      <c r="AG931" s="500"/>
      <c r="AH931" s="501"/>
      <c r="AJ931" s="229" t="str">
        <f>IF(OR(A931="",AND(ISNUMBER(FIND("[", A931)), ISNUMBER(FIND("ALL", A931)), ISNUMBER(FIND("]", A931)))),"",MAX(AJ$3:AJ930)+1)</f>
        <v/>
      </c>
      <c r="AK931" s="229" t="str">
        <f>IFERROR(INDEX($A$4:$A$1000,MATCH(ROW()-ROW($AK$3),$AJ$4:$AJ$1000,0)),"")</f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499"/>
      <c r="AF932" s="500"/>
      <c r="AG932" s="500"/>
      <c r="AH932" s="501"/>
      <c r="AJ932" s="229" t="str">
        <f>IF(OR(A932="",AND(ISNUMBER(FIND("[", A932)), ISNUMBER(FIND("ALL", A932)), ISNUMBER(FIND("]", A932)))),"",MAX(AJ$3:AJ931)+1)</f>
        <v/>
      </c>
      <c r="AK932" s="229" t="str">
        <f>IFERROR(INDEX($A$4:$A$1000,MATCH(ROW()-ROW($AK$3),$AJ$4:$AJ$1000,0)),"")</f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499"/>
      <c r="AF933" s="500"/>
      <c r="AG933" s="500"/>
      <c r="AH933" s="501"/>
      <c r="AJ933" s="229" t="str">
        <f>IF(OR(A933="",AND(ISNUMBER(FIND("[", A933)), ISNUMBER(FIND("ALL", A933)), ISNUMBER(FIND("]", A933)))),"",MAX(AJ$3:AJ932)+1)</f>
        <v/>
      </c>
      <c r="AK933" s="229" t="str">
        <f>IFERROR(INDEX($A$4:$A$1000,MATCH(ROW()-ROW($AK$3),$AJ$4:$AJ$1000,0)),"")</f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499"/>
      <c r="AF934" s="500"/>
      <c r="AG934" s="500"/>
      <c r="AH934" s="501"/>
      <c r="AJ934" s="229" t="str">
        <f>IF(OR(A934="",AND(ISNUMBER(FIND("[", A934)), ISNUMBER(FIND("ALL", A934)), ISNUMBER(FIND("]", A934)))),"",MAX(AJ$3:AJ933)+1)</f>
        <v/>
      </c>
      <c r="AK934" s="229" t="str">
        <f>IFERROR(INDEX($A$4:$A$1000,MATCH(ROW()-ROW($AK$3),$AJ$4:$AJ$1000,0)),"")</f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499"/>
      <c r="AF935" s="500"/>
      <c r="AG935" s="500"/>
      <c r="AH935" s="501"/>
      <c r="AJ935" s="229" t="str">
        <f>IF(OR(A935="",AND(ISNUMBER(FIND("[", A935)), ISNUMBER(FIND("ALL", A935)), ISNUMBER(FIND("]", A935)))),"",MAX(AJ$3:AJ934)+1)</f>
        <v/>
      </c>
      <c r="AK935" s="229" t="str">
        <f>IFERROR(INDEX($A$4:$A$1000,MATCH(ROW()-ROW($AK$3),$AJ$4:$AJ$1000,0)),"")</f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499"/>
      <c r="AF936" s="500"/>
      <c r="AG936" s="500"/>
      <c r="AH936" s="501"/>
      <c r="AJ936" s="229" t="str">
        <f>IF(OR(A936="",AND(ISNUMBER(FIND("[", A936)), ISNUMBER(FIND("ALL", A936)), ISNUMBER(FIND("]", A936)))),"",MAX(AJ$3:AJ935)+1)</f>
        <v/>
      </c>
      <c r="AK936" s="229" t="str">
        <f>IFERROR(INDEX($A$4:$A$1000,MATCH(ROW()-ROW($AK$3),$AJ$4:$AJ$1000,0)),"")</f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499"/>
      <c r="AF937" s="500"/>
      <c r="AG937" s="500"/>
      <c r="AH937" s="501"/>
      <c r="AJ937" s="229" t="str">
        <f>IF(OR(A937="",AND(ISNUMBER(FIND("[", A937)), ISNUMBER(FIND("ALL", A937)), ISNUMBER(FIND("]", A937)))),"",MAX(AJ$3:AJ936)+1)</f>
        <v/>
      </c>
      <c r="AK937" s="229" t="str">
        <f>IFERROR(INDEX($A$4:$A$1000,MATCH(ROW()-ROW($AK$3),$AJ$4:$AJ$1000,0)),"")</f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499"/>
      <c r="AF938" s="500"/>
      <c r="AG938" s="500"/>
      <c r="AH938" s="501"/>
      <c r="AJ938" s="229" t="str">
        <f>IF(OR(A938="",AND(ISNUMBER(FIND("[", A938)), ISNUMBER(FIND("ALL", A938)), ISNUMBER(FIND("]", A938)))),"",MAX(AJ$3:AJ937)+1)</f>
        <v/>
      </c>
      <c r="AK938" s="229" t="str">
        <f>IFERROR(INDEX($A$4:$A$1000,MATCH(ROW()-ROW($AK$3),$AJ$4:$AJ$1000,0)),"")</f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499"/>
      <c r="AF939" s="500"/>
      <c r="AG939" s="500"/>
      <c r="AH939" s="501"/>
      <c r="AJ939" s="229" t="str">
        <f>IF(OR(A939="",AND(ISNUMBER(FIND("[", A939)), ISNUMBER(FIND("ALL", A939)), ISNUMBER(FIND("]", A939)))),"",MAX(AJ$3:AJ938)+1)</f>
        <v/>
      </c>
      <c r="AK939" s="229" t="str">
        <f>IFERROR(INDEX($A$4:$A$1000,MATCH(ROW()-ROW($AK$3),$AJ$4:$AJ$1000,0)),"")</f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499"/>
      <c r="AF940" s="500"/>
      <c r="AG940" s="500"/>
      <c r="AH940" s="501"/>
      <c r="AJ940" s="229" t="str">
        <f>IF(OR(A940="",AND(ISNUMBER(FIND("[", A940)), ISNUMBER(FIND("ALL", A940)), ISNUMBER(FIND("]", A940)))),"",MAX(AJ$3:AJ939)+1)</f>
        <v/>
      </c>
      <c r="AK940" s="229" t="str">
        <f>IFERROR(INDEX($A$4:$A$1000,MATCH(ROW()-ROW($AK$3),$AJ$4:$AJ$1000,0)),"")</f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499"/>
      <c r="AF941" s="500"/>
      <c r="AG941" s="500"/>
      <c r="AH941" s="501"/>
      <c r="AJ941" s="229" t="str">
        <f>IF(OR(A941="",AND(ISNUMBER(FIND("[", A941)), ISNUMBER(FIND("ALL", A941)), ISNUMBER(FIND("]", A941)))),"",MAX(AJ$3:AJ940)+1)</f>
        <v/>
      </c>
      <c r="AK941" s="229" t="str">
        <f>IFERROR(INDEX($A$4:$A$1000,MATCH(ROW()-ROW($AK$3),$AJ$4:$AJ$1000,0)),"")</f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499"/>
      <c r="AF942" s="500"/>
      <c r="AG942" s="500"/>
      <c r="AH942" s="501"/>
      <c r="AJ942" s="229" t="str">
        <f>IF(OR(A942="",AND(ISNUMBER(FIND("[", A942)), ISNUMBER(FIND("ALL", A942)), ISNUMBER(FIND("]", A942)))),"",MAX(AJ$3:AJ941)+1)</f>
        <v/>
      </c>
      <c r="AK942" s="229" t="str">
        <f>IFERROR(INDEX($A$4:$A$1000,MATCH(ROW()-ROW($AK$3),$AJ$4:$AJ$1000,0)),"")</f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499"/>
      <c r="AF943" s="500"/>
      <c r="AG943" s="500"/>
      <c r="AH943" s="501"/>
      <c r="AJ943" s="229" t="str">
        <f>IF(OR(A943="",AND(ISNUMBER(FIND("[", A943)), ISNUMBER(FIND("ALL", A943)), ISNUMBER(FIND("]", A943)))),"",MAX(AJ$3:AJ942)+1)</f>
        <v/>
      </c>
      <c r="AK943" s="229" t="str">
        <f>IFERROR(INDEX($A$4:$A$1000,MATCH(ROW()-ROW($AK$3),$AJ$4:$AJ$1000,0)),"")</f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499"/>
      <c r="AF944" s="500"/>
      <c r="AG944" s="500"/>
      <c r="AH944" s="501"/>
      <c r="AJ944" s="229" t="str">
        <f>IF(OR(A944="",AND(ISNUMBER(FIND("[", A944)), ISNUMBER(FIND("ALL", A944)), ISNUMBER(FIND("]", A944)))),"",MAX(AJ$3:AJ943)+1)</f>
        <v/>
      </c>
      <c r="AK944" s="229" t="str">
        <f>IFERROR(INDEX($A$4:$A$1000,MATCH(ROW()-ROW($AK$3),$AJ$4:$AJ$1000,0)),"")</f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499"/>
      <c r="AF945" s="500"/>
      <c r="AG945" s="500"/>
      <c r="AH945" s="501"/>
      <c r="AJ945" s="229" t="str">
        <f>IF(OR(A945="",AND(ISNUMBER(FIND("[", A945)), ISNUMBER(FIND("ALL", A945)), ISNUMBER(FIND("]", A945)))),"",MAX(AJ$3:AJ944)+1)</f>
        <v/>
      </c>
      <c r="AK945" s="229" t="str">
        <f>IFERROR(INDEX($A$4:$A$1000,MATCH(ROW()-ROW($AK$3),$AJ$4:$AJ$1000,0)),"")</f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499"/>
      <c r="AF946" s="500"/>
      <c r="AG946" s="500"/>
      <c r="AH946" s="501"/>
      <c r="AJ946" s="229" t="str">
        <f>IF(OR(A946="",AND(ISNUMBER(FIND("[", A946)), ISNUMBER(FIND("ALL", A946)), ISNUMBER(FIND("]", A946)))),"",MAX(AJ$3:AJ945)+1)</f>
        <v/>
      </c>
      <c r="AK946" s="229" t="str">
        <f>IFERROR(INDEX($A$4:$A$1000,MATCH(ROW()-ROW($AK$3),$AJ$4:$AJ$1000,0)),"")</f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499"/>
      <c r="AF947" s="500"/>
      <c r="AG947" s="500"/>
      <c r="AH947" s="501"/>
      <c r="AJ947" s="229" t="str">
        <f>IF(OR(A947="",AND(ISNUMBER(FIND("[", A947)), ISNUMBER(FIND("ALL", A947)), ISNUMBER(FIND("]", A947)))),"",MAX(AJ$3:AJ946)+1)</f>
        <v/>
      </c>
      <c r="AK947" s="229" t="str">
        <f>IFERROR(INDEX($A$4:$A$1000,MATCH(ROW()-ROW($AK$3),$AJ$4:$AJ$1000,0)),"")</f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499"/>
      <c r="AF948" s="500"/>
      <c r="AG948" s="500"/>
      <c r="AH948" s="501"/>
      <c r="AJ948" s="229" t="str">
        <f>IF(OR(A948="",AND(ISNUMBER(FIND("[", A948)), ISNUMBER(FIND("ALL", A948)), ISNUMBER(FIND("]", A948)))),"",MAX(AJ$3:AJ947)+1)</f>
        <v/>
      </c>
      <c r="AK948" s="229" t="str">
        <f>IFERROR(INDEX($A$4:$A$1000,MATCH(ROW()-ROW($AK$3),$AJ$4:$AJ$1000,0)),"")</f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499"/>
      <c r="AF949" s="500"/>
      <c r="AG949" s="500"/>
      <c r="AH949" s="501"/>
      <c r="AJ949" s="229" t="str">
        <f>IF(OR(A949="",AND(ISNUMBER(FIND("[", A949)), ISNUMBER(FIND("ALL", A949)), ISNUMBER(FIND("]", A949)))),"",MAX(AJ$3:AJ948)+1)</f>
        <v/>
      </c>
      <c r="AK949" s="229" t="str">
        <f>IFERROR(INDEX($A$4:$A$1000,MATCH(ROW()-ROW($AK$3),$AJ$4:$AJ$1000,0)),"")</f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499"/>
      <c r="AF950" s="500"/>
      <c r="AG950" s="500"/>
      <c r="AH950" s="501"/>
      <c r="AJ950" s="229" t="str">
        <f>IF(OR(A950="",AND(ISNUMBER(FIND("[", A950)), ISNUMBER(FIND("ALL", A950)), ISNUMBER(FIND("]", A950)))),"",MAX(AJ$3:AJ949)+1)</f>
        <v/>
      </c>
      <c r="AK950" s="229" t="str">
        <f>IFERROR(INDEX($A$4:$A$1000,MATCH(ROW()-ROW($AK$3),$AJ$4:$AJ$1000,0)),"")</f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499"/>
      <c r="AF951" s="500"/>
      <c r="AG951" s="500"/>
      <c r="AH951" s="501"/>
      <c r="AJ951" s="229" t="str">
        <f>IF(OR(A951="",AND(ISNUMBER(FIND("[", A951)), ISNUMBER(FIND("ALL", A951)), ISNUMBER(FIND("]", A951)))),"",MAX(AJ$3:AJ950)+1)</f>
        <v/>
      </c>
      <c r="AK951" s="229" t="str">
        <f>IFERROR(INDEX($A$4:$A$1000,MATCH(ROW()-ROW($AK$3),$AJ$4:$AJ$1000,0)),"")</f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499"/>
      <c r="AF952" s="500"/>
      <c r="AG952" s="500"/>
      <c r="AH952" s="501"/>
      <c r="AJ952" s="229" t="str">
        <f>IF(OR(A952="",AND(ISNUMBER(FIND("[", A952)), ISNUMBER(FIND("ALL", A952)), ISNUMBER(FIND("]", A952)))),"",MAX(AJ$3:AJ951)+1)</f>
        <v/>
      </c>
      <c r="AK952" s="229" t="str">
        <f>IFERROR(INDEX($A$4:$A$1000,MATCH(ROW()-ROW($AK$3),$AJ$4:$AJ$1000,0)),"")</f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499"/>
      <c r="AF953" s="500"/>
      <c r="AG953" s="500"/>
      <c r="AH953" s="501"/>
      <c r="AJ953" s="229" t="str">
        <f>IF(OR(A953="",AND(ISNUMBER(FIND("[", A953)), ISNUMBER(FIND("ALL", A953)), ISNUMBER(FIND("]", A953)))),"",MAX(AJ$3:AJ952)+1)</f>
        <v/>
      </c>
      <c r="AK953" s="229" t="str">
        <f>IFERROR(INDEX($A$4:$A$1000,MATCH(ROW()-ROW($AK$3),$AJ$4:$AJ$1000,0)),"")</f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499"/>
      <c r="AF954" s="500"/>
      <c r="AG954" s="500"/>
      <c r="AH954" s="501"/>
      <c r="AJ954" s="229" t="str">
        <f>IF(OR(A954="",AND(ISNUMBER(FIND("[", A954)), ISNUMBER(FIND("ALL", A954)), ISNUMBER(FIND("]", A954)))),"",MAX(AJ$3:AJ953)+1)</f>
        <v/>
      </c>
      <c r="AK954" s="229" t="str">
        <f>IFERROR(INDEX($A$4:$A$1000,MATCH(ROW()-ROW($AK$3),$AJ$4:$AJ$1000,0)),"")</f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499"/>
      <c r="AF955" s="500"/>
      <c r="AG955" s="500"/>
      <c r="AH955" s="501"/>
      <c r="AJ955" s="229" t="str">
        <f>IF(OR(A955="",AND(ISNUMBER(FIND("[", A955)), ISNUMBER(FIND("ALL", A955)), ISNUMBER(FIND("]", A955)))),"",MAX(AJ$3:AJ954)+1)</f>
        <v/>
      </c>
      <c r="AK955" s="229" t="str">
        <f>IFERROR(INDEX($A$4:$A$1000,MATCH(ROW()-ROW($AK$3),$AJ$4:$AJ$1000,0)),"")</f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499"/>
      <c r="AF956" s="500"/>
      <c r="AG956" s="500"/>
      <c r="AH956" s="501"/>
      <c r="AJ956" s="229" t="str">
        <f>IF(OR(A956="",AND(ISNUMBER(FIND("[", A956)), ISNUMBER(FIND("ALL", A956)), ISNUMBER(FIND("]", A956)))),"",MAX(AJ$3:AJ955)+1)</f>
        <v/>
      </c>
      <c r="AK956" s="229" t="str">
        <f>IFERROR(INDEX($A$4:$A$1000,MATCH(ROW()-ROW($AK$3),$AJ$4:$AJ$1000,0)),"")</f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499"/>
      <c r="AF957" s="500"/>
      <c r="AG957" s="500"/>
      <c r="AH957" s="501"/>
      <c r="AJ957" s="229" t="str">
        <f>IF(OR(A957="",AND(ISNUMBER(FIND("[", A957)), ISNUMBER(FIND("ALL", A957)), ISNUMBER(FIND("]", A957)))),"",MAX(AJ$3:AJ956)+1)</f>
        <v/>
      </c>
      <c r="AK957" s="229" t="str">
        <f>IFERROR(INDEX($A$4:$A$1000,MATCH(ROW()-ROW($AK$3),$AJ$4:$AJ$1000,0)),"")</f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499"/>
      <c r="AF958" s="500"/>
      <c r="AG958" s="500"/>
      <c r="AH958" s="501"/>
      <c r="AJ958" s="229" t="str">
        <f>IF(OR(A958="",AND(ISNUMBER(FIND("[", A958)), ISNUMBER(FIND("ALL", A958)), ISNUMBER(FIND("]", A958)))),"",MAX(AJ$3:AJ957)+1)</f>
        <v/>
      </c>
      <c r="AK958" s="229" t="str">
        <f>IFERROR(INDEX($A$4:$A$1000,MATCH(ROW()-ROW($AK$3),$AJ$4:$AJ$1000,0)),"")</f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499"/>
      <c r="AF959" s="500"/>
      <c r="AG959" s="500"/>
      <c r="AH959" s="501"/>
      <c r="AJ959" s="229" t="str">
        <f>IF(OR(A959="",AND(ISNUMBER(FIND("[", A959)), ISNUMBER(FIND("ALL", A959)), ISNUMBER(FIND("]", A959)))),"",MAX(AJ$3:AJ958)+1)</f>
        <v/>
      </c>
      <c r="AK959" s="229" t="str">
        <f>IFERROR(INDEX($A$4:$A$1000,MATCH(ROW()-ROW($AK$3),$AJ$4:$AJ$1000,0)),"")</f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499"/>
      <c r="AF960" s="500"/>
      <c r="AG960" s="500"/>
      <c r="AH960" s="501"/>
      <c r="AJ960" s="229" t="str">
        <f>IF(OR(A960="",AND(ISNUMBER(FIND("[", A960)), ISNUMBER(FIND("ALL", A960)), ISNUMBER(FIND("]", A960)))),"",MAX(AJ$3:AJ959)+1)</f>
        <v/>
      </c>
      <c r="AK960" s="229" t="str">
        <f>IFERROR(INDEX($A$4:$A$1000,MATCH(ROW()-ROW($AK$3),$AJ$4:$AJ$1000,0)),"")</f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499"/>
      <c r="AF961" s="500"/>
      <c r="AG961" s="500"/>
      <c r="AH961" s="501"/>
      <c r="AJ961" s="229" t="str">
        <f>IF(OR(A961="",AND(ISNUMBER(FIND("[", A961)), ISNUMBER(FIND("ALL", A961)), ISNUMBER(FIND("]", A961)))),"",MAX(AJ$3:AJ960)+1)</f>
        <v/>
      </c>
      <c r="AK961" s="229" t="str">
        <f>IFERROR(INDEX($A$4:$A$1000,MATCH(ROW()-ROW($AK$3),$AJ$4:$AJ$1000,0)),"")</f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499"/>
      <c r="AF962" s="500"/>
      <c r="AG962" s="500"/>
      <c r="AH962" s="501"/>
      <c r="AJ962" s="229" t="str">
        <f>IF(OR(A962="",AND(ISNUMBER(FIND("[", A962)), ISNUMBER(FIND("ALL", A962)), ISNUMBER(FIND("]", A962)))),"",MAX(AJ$3:AJ961)+1)</f>
        <v/>
      </c>
      <c r="AK962" s="229" t="str">
        <f>IFERROR(INDEX($A$4:$A$1000,MATCH(ROW()-ROW($AK$3),$AJ$4:$AJ$1000,0)),"")</f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499"/>
      <c r="AF963" s="500"/>
      <c r="AG963" s="500"/>
      <c r="AH963" s="501"/>
      <c r="AJ963" s="229" t="str">
        <f>IF(OR(A963="",AND(ISNUMBER(FIND("[", A963)), ISNUMBER(FIND("ALL", A963)), ISNUMBER(FIND("]", A963)))),"",MAX(AJ$3:AJ962)+1)</f>
        <v/>
      </c>
      <c r="AK963" s="229" t="str">
        <f>IFERROR(INDEX($A$4:$A$1000,MATCH(ROW()-ROW($AK$3),$AJ$4:$AJ$1000,0)),"")</f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499"/>
      <c r="AF964" s="500"/>
      <c r="AG964" s="500"/>
      <c r="AH964" s="501"/>
      <c r="AJ964" s="229" t="str">
        <f>IF(OR(A964="",AND(ISNUMBER(FIND("[", A964)), ISNUMBER(FIND("ALL", A964)), ISNUMBER(FIND("]", A964)))),"",MAX(AJ$3:AJ963)+1)</f>
        <v/>
      </c>
      <c r="AK964" s="229" t="str">
        <f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499"/>
      <c r="AF965" s="500"/>
      <c r="AG965" s="500"/>
      <c r="AH965" s="501"/>
      <c r="AJ965" s="229" t="str">
        <f>IF(OR(A965="",AND(ISNUMBER(FIND("[", A965)), ISNUMBER(FIND("ALL", A965)), ISNUMBER(FIND("]", A965)))),"",MAX(AJ$3:AJ964)+1)</f>
        <v/>
      </c>
      <c r="AK965" s="229" t="str">
        <f>IFERROR(INDEX($A$4:$A$1000,MATCH(ROW()-ROW($AK$3),$AJ$4:$AJ$1000,0)),"")</f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499"/>
      <c r="AF966" s="500"/>
      <c r="AG966" s="500"/>
      <c r="AH966" s="501"/>
      <c r="AJ966" s="229" t="str">
        <f>IF(OR(A966="",AND(ISNUMBER(FIND("[", A966)), ISNUMBER(FIND("ALL", A966)), ISNUMBER(FIND("]", A966)))),"",MAX(AJ$3:AJ965)+1)</f>
        <v/>
      </c>
      <c r="AK966" s="229" t="str">
        <f>IFERROR(INDEX($A$4:$A$1000,MATCH(ROW()-ROW($AK$3),$AJ$4:$AJ$1000,0)),"")</f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499"/>
      <c r="AF967" s="500"/>
      <c r="AG967" s="500"/>
      <c r="AH967" s="501"/>
      <c r="AJ967" s="229" t="str">
        <f>IF(OR(A967="",AND(ISNUMBER(FIND("[", A967)), ISNUMBER(FIND("ALL", A967)), ISNUMBER(FIND("]", A967)))),"",MAX(AJ$3:AJ966)+1)</f>
        <v/>
      </c>
      <c r="AK967" s="229" t="str">
        <f>IFERROR(INDEX($A$4:$A$1000,MATCH(ROW()-ROW($AK$3),$AJ$4:$AJ$1000,0)),"")</f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499"/>
      <c r="AF968" s="500"/>
      <c r="AG968" s="500"/>
      <c r="AH968" s="501"/>
      <c r="AJ968" s="229" t="str">
        <f>IF(OR(A968="",AND(ISNUMBER(FIND("[", A968)), ISNUMBER(FIND("ALL", A968)), ISNUMBER(FIND("]", A968)))),"",MAX(AJ$3:AJ967)+1)</f>
        <v/>
      </c>
      <c r="AK968" s="229" t="str">
        <f>IFERROR(INDEX($A$4:$A$1000,MATCH(ROW()-ROW($AK$3),$AJ$4:$AJ$1000,0)),"")</f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499"/>
      <c r="AF969" s="500"/>
      <c r="AG969" s="500"/>
      <c r="AH969" s="501"/>
      <c r="AJ969" s="229" t="str">
        <f>IF(OR(A969="",AND(ISNUMBER(FIND("[", A969)), ISNUMBER(FIND("ALL", A969)), ISNUMBER(FIND("]", A969)))),"",MAX(AJ$3:AJ968)+1)</f>
        <v/>
      </c>
      <c r="AK969" s="229" t="str">
        <f>IFERROR(INDEX($A$4:$A$1000,MATCH(ROW()-ROW($AK$3),$AJ$4:$AJ$1000,0)),"")</f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499"/>
      <c r="AF970" s="500"/>
      <c r="AG970" s="500"/>
      <c r="AH970" s="501"/>
      <c r="AJ970" s="229" t="str">
        <f>IF(OR(A970="",AND(ISNUMBER(FIND("[", A970)), ISNUMBER(FIND("ALL", A970)), ISNUMBER(FIND("]", A970)))),"",MAX(AJ$3:AJ969)+1)</f>
        <v/>
      </c>
      <c r="AK970" s="229" t="str">
        <f>IFERROR(INDEX($A$4:$A$1000,MATCH(ROW()-ROW($AK$3),$AJ$4:$AJ$1000,0)),"")</f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499"/>
      <c r="AF971" s="500"/>
      <c r="AG971" s="500"/>
      <c r="AH971" s="501"/>
      <c r="AJ971" s="229" t="str">
        <f>IF(OR(A971="",AND(ISNUMBER(FIND("[", A971)), ISNUMBER(FIND("ALL", A971)), ISNUMBER(FIND("]", A971)))),"",MAX(AJ$3:AJ970)+1)</f>
        <v/>
      </c>
      <c r="AK971" s="229" t="str">
        <f>IFERROR(INDEX($A$4:$A$1000,MATCH(ROW()-ROW($AK$3),$AJ$4:$AJ$1000,0)),"")</f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499"/>
      <c r="AF972" s="500"/>
      <c r="AG972" s="500"/>
      <c r="AH972" s="501"/>
      <c r="AJ972" s="229" t="str">
        <f>IF(OR(A972="",AND(ISNUMBER(FIND("[", A972)), ISNUMBER(FIND("ALL", A972)), ISNUMBER(FIND("]", A972)))),"",MAX(AJ$3:AJ971)+1)</f>
        <v/>
      </c>
      <c r="AK972" s="229" t="str">
        <f>IFERROR(INDEX($A$4:$A$1000,MATCH(ROW()-ROW($AK$3),$AJ$4:$AJ$1000,0)),"")</f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499"/>
      <c r="AF973" s="500"/>
      <c r="AG973" s="500"/>
      <c r="AH973" s="501"/>
      <c r="AJ973" s="229" t="str">
        <f>IF(OR(A973="",AND(ISNUMBER(FIND("[", A973)), ISNUMBER(FIND("ALL", A973)), ISNUMBER(FIND("]", A973)))),"",MAX(AJ$3:AJ972)+1)</f>
        <v/>
      </c>
      <c r="AK973" s="229" t="str">
        <f>IFERROR(INDEX($A$4:$A$1000,MATCH(ROW()-ROW($AK$3),$AJ$4:$AJ$1000,0)),"")</f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499"/>
      <c r="AF974" s="500"/>
      <c r="AG974" s="500"/>
      <c r="AH974" s="501"/>
      <c r="AJ974" s="229" t="str">
        <f>IF(OR(A974="",AND(ISNUMBER(FIND("[", A974)), ISNUMBER(FIND("ALL", A974)), ISNUMBER(FIND("]", A974)))),"",MAX(AJ$3:AJ973)+1)</f>
        <v/>
      </c>
      <c r="AK974" s="229" t="str">
        <f>IFERROR(INDEX($A$4:$A$1000,MATCH(ROW()-ROW($AK$3),$AJ$4:$AJ$1000,0)),"")</f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499"/>
      <c r="AF975" s="500"/>
      <c r="AG975" s="500"/>
      <c r="AH975" s="501"/>
      <c r="AJ975" s="229" t="str">
        <f>IF(OR(A975="",AND(ISNUMBER(FIND("[", A975)), ISNUMBER(FIND("ALL", A975)), ISNUMBER(FIND("]", A975)))),"",MAX(AJ$3:AJ974)+1)</f>
        <v/>
      </c>
      <c r="AK975" s="229" t="str">
        <f>IFERROR(INDEX($A$4:$A$1000,MATCH(ROW()-ROW($AK$3),$AJ$4:$AJ$1000,0)),"")</f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499"/>
      <c r="AF976" s="500"/>
      <c r="AG976" s="500"/>
      <c r="AH976" s="501"/>
      <c r="AJ976" s="229" t="str">
        <f>IF(OR(A976="",AND(ISNUMBER(FIND("[", A976)), ISNUMBER(FIND("ALL", A976)), ISNUMBER(FIND("]", A976)))),"",MAX(AJ$3:AJ975)+1)</f>
        <v/>
      </c>
      <c r="AK976" s="229" t="str">
        <f>IFERROR(INDEX($A$4:$A$1000,MATCH(ROW()-ROW($AK$3),$AJ$4:$AJ$1000,0)),"")</f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499"/>
      <c r="AF977" s="500"/>
      <c r="AG977" s="500"/>
      <c r="AH977" s="501"/>
      <c r="AJ977" s="229" t="str">
        <f>IF(OR(A977="",AND(ISNUMBER(FIND("[", A977)), ISNUMBER(FIND("ALL", A977)), ISNUMBER(FIND("]", A977)))),"",MAX(AJ$3:AJ976)+1)</f>
        <v/>
      </c>
      <c r="AK977" s="229" t="str">
        <f>IFERROR(INDEX($A$4:$A$1000,MATCH(ROW()-ROW($AK$3),$AJ$4:$AJ$1000,0)),"")</f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499"/>
      <c r="AF978" s="500"/>
      <c r="AG978" s="500"/>
      <c r="AH978" s="501"/>
      <c r="AJ978" s="229" t="str">
        <f>IF(OR(A978="",AND(ISNUMBER(FIND("[", A978)), ISNUMBER(FIND("ALL", A978)), ISNUMBER(FIND("]", A978)))),"",MAX(AJ$3:AJ977)+1)</f>
        <v/>
      </c>
      <c r="AK978" s="229" t="str">
        <f>IFERROR(INDEX($A$4:$A$1000,MATCH(ROW()-ROW($AK$3),$AJ$4:$AJ$1000,0)),"")</f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499"/>
      <c r="AF979" s="500"/>
      <c r="AG979" s="500"/>
      <c r="AH979" s="501"/>
      <c r="AJ979" s="229" t="str">
        <f>IF(OR(A979="",AND(ISNUMBER(FIND("[", A979)), ISNUMBER(FIND("ALL", A979)), ISNUMBER(FIND("]", A979)))),"",MAX(AJ$3:AJ978)+1)</f>
        <v/>
      </c>
      <c r="AK979" s="229" t="str">
        <f>IFERROR(INDEX($A$4:$A$1000,MATCH(ROW()-ROW($AK$3),$AJ$4:$AJ$1000,0)),"")</f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499"/>
      <c r="AF980" s="500"/>
      <c r="AG980" s="500"/>
      <c r="AH980" s="501"/>
      <c r="AJ980" s="229" t="str">
        <f>IF(OR(A980="",AND(ISNUMBER(FIND("[", A980)), ISNUMBER(FIND("ALL", A980)), ISNUMBER(FIND("]", A980)))),"",MAX(AJ$3:AJ979)+1)</f>
        <v/>
      </c>
      <c r="AK980" s="229" t="str">
        <f>IFERROR(INDEX($A$4:$A$1000,MATCH(ROW()-ROW($AK$3),$AJ$4:$AJ$1000,0)),"")</f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499"/>
      <c r="AF981" s="500"/>
      <c r="AG981" s="500"/>
      <c r="AH981" s="501"/>
      <c r="AJ981" s="229" t="str">
        <f>IF(OR(A981="",AND(ISNUMBER(FIND("[", A981)), ISNUMBER(FIND("ALL", A981)), ISNUMBER(FIND("]", A981)))),"",MAX(AJ$3:AJ980)+1)</f>
        <v/>
      </c>
      <c r="AK981" s="229" t="str">
        <f>IFERROR(INDEX($A$4:$A$1000,MATCH(ROW()-ROW($AK$3),$AJ$4:$AJ$1000,0)),"")</f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499"/>
      <c r="AF982" s="500"/>
      <c r="AG982" s="500"/>
      <c r="AH982" s="501"/>
      <c r="AJ982" s="229" t="str">
        <f>IF(OR(A982="",AND(ISNUMBER(FIND("[", A982)), ISNUMBER(FIND("ALL", A982)), ISNUMBER(FIND("]", A982)))),"",MAX(AJ$3:AJ981)+1)</f>
        <v/>
      </c>
      <c r="AK982" s="229" t="str">
        <f>IFERROR(INDEX($A$4:$A$1000,MATCH(ROW()-ROW($AK$3),$AJ$4:$AJ$1000,0)),"")</f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499"/>
      <c r="AF983" s="500"/>
      <c r="AG983" s="500"/>
      <c r="AH983" s="501"/>
      <c r="AJ983" s="229" t="str">
        <f>IF(OR(A983="",AND(ISNUMBER(FIND("[", A983)), ISNUMBER(FIND("ALL", A983)), ISNUMBER(FIND("]", A983)))),"",MAX(AJ$3:AJ982)+1)</f>
        <v/>
      </c>
      <c r="AK983" s="229" t="str">
        <f>IFERROR(INDEX($A$4:$A$1000,MATCH(ROW()-ROW($AK$3),$AJ$4:$AJ$1000,0)),"")</f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499"/>
      <c r="AF984" s="500"/>
      <c r="AG984" s="500"/>
      <c r="AH984" s="501"/>
      <c r="AJ984" s="229" t="str">
        <f>IF(OR(A984="",AND(ISNUMBER(FIND("[", A984)), ISNUMBER(FIND("ALL", A984)), ISNUMBER(FIND("]", A984)))),"",MAX(AJ$3:AJ983)+1)</f>
        <v/>
      </c>
      <c r="AK984" s="229" t="str">
        <f>IFERROR(INDEX($A$4:$A$1000,MATCH(ROW()-ROW($AK$3),$AJ$4:$AJ$1000,0)),"")</f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499"/>
      <c r="AF985" s="500"/>
      <c r="AG985" s="500"/>
      <c r="AH985" s="501"/>
      <c r="AJ985" s="229" t="str">
        <f>IF(OR(A985="",AND(ISNUMBER(FIND("[", A985)), ISNUMBER(FIND("ALL", A985)), ISNUMBER(FIND("]", A985)))),"",MAX(AJ$3:AJ984)+1)</f>
        <v/>
      </c>
      <c r="AK985" s="229" t="str">
        <f>IFERROR(INDEX($A$4:$A$1000,MATCH(ROW()-ROW($AK$3),$AJ$4:$AJ$1000,0)),"")</f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499"/>
      <c r="AF986" s="500"/>
      <c r="AG986" s="500"/>
      <c r="AH986" s="501"/>
      <c r="AJ986" s="229" t="str">
        <f>IF(OR(A986="",AND(ISNUMBER(FIND("[", A986)), ISNUMBER(FIND("ALL", A986)), ISNUMBER(FIND("]", A986)))),"",MAX(AJ$3:AJ985)+1)</f>
        <v/>
      </c>
      <c r="AK986" s="229" t="str">
        <f>IFERROR(INDEX($A$4:$A$1000,MATCH(ROW()-ROW($AK$3),$AJ$4:$AJ$1000,0)),"")</f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499"/>
      <c r="AF987" s="500"/>
      <c r="AG987" s="500"/>
      <c r="AH987" s="501"/>
      <c r="AJ987" s="229" t="str">
        <f>IF(OR(A987="",AND(ISNUMBER(FIND("[", A987)), ISNUMBER(FIND("ALL", A987)), ISNUMBER(FIND("]", A987)))),"",MAX(AJ$3:AJ986)+1)</f>
        <v/>
      </c>
      <c r="AK987" s="229" t="str">
        <f>IFERROR(INDEX($A$4:$A$1000,MATCH(ROW()-ROW($AK$3),$AJ$4:$AJ$1000,0)),"")</f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499"/>
      <c r="AF988" s="500"/>
      <c r="AG988" s="500"/>
      <c r="AH988" s="501"/>
      <c r="AJ988" s="229" t="str">
        <f>IF(OR(A988="",AND(ISNUMBER(FIND("[", A988)), ISNUMBER(FIND("ALL", A988)), ISNUMBER(FIND("]", A988)))),"",MAX(AJ$3:AJ987)+1)</f>
        <v/>
      </c>
      <c r="AK988" s="229" t="str">
        <f>IFERROR(INDEX($A$4:$A$1000,MATCH(ROW()-ROW($AK$3),$AJ$4:$AJ$1000,0)),"")</f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499"/>
      <c r="AF989" s="500"/>
      <c r="AG989" s="500"/>
      <c r="AH989" s="501"/>
      <c r="AJ989" s="229" t="str">
        <f>IF(OR(A989="",AND(ISNUMBER(FIND("[", A989)), ISNUMBER(FIND("ALL", A989)), ISNUMBER(FIND("]", A989)))),"",MAX(AJ$3:AJ988)+1)</f>
        <v/>
      </c>
      <c r="AK989" s="229" t="str">
        <f>IFERROR(INDEX($A$4:$A$1000,MATCH(ROW()-ROW($AK$3),$AJ$4:$AJ$1000,0)),"")</f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499"/>
      <c r="AF990" s="500"/>
      <c r="AG990" s="500"/>
      <c r="AH990" s="501"/>
      <c r="AJ990" s="229" t="str">
        <f>IF(OR(A990="",AND(ISNUMBER(FIND("[", A990)), ISNUMBER(FIND("ALL", A990)), ISNUMBER(FIND("]", A990)))),"",MAX(AJ$3:AJ989)+1)</f>
        <v/>
      </c>
      <c r="AK990" s="229" t="str">
        <f>IFERROR(INDEX($A$4:$A$1000,MATCH(ROW()-ROW($AK$3),$AJ$4:$AJ$1000,0)),"")</f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499"/>
      <c r="AF991" s="500"/>
      <c r="AG991" s="500"/>
      <c r="AH991" s="501"/>
      <c r="AJ991" s="229" t="str">
        <f>IF(OR(A991="",AND(ISNUMBER(FIND("[", A991)), ISNUMBER(FIND("ALL", A991)), ISNUMBER(FIND("]", A991)))),"",MAX(AJ$3:AJ990)+1)</f>
        <v/>
      </c>
      <c r="AK991" s="229" t="str">
        <f>IFERROR(INDEX($A$4:$A$1000,MATCH(ROW()-ROW($AK$3),$AJ$4:$AJ$1000,0)),"")</f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499"/>
      <c r="AF992" s="500"/>
      <c r="AG992" s="500"/>
      <c r="AH992" s="501"/>
      <c r="AJ992" s="229" t="str">
        <f>IF(OR(A992="",AND(ISNUMBER(FIND("[", A992)), ISNUMBER(FIND("ALL", A992)), ISNUMBER(FIND("]", A992)))),"",MAX(AJ$3:AJ991)+1)</f>
        <v/>
      </c>
      <c r="AK992" s="229" t="str">
        <f>IFERROR(INDEX($A$4:$A$1000,MATCH(ROW()-ROW($AK$3),$AJ$4:$AJ$1000,0)),"")</f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499"/>
      <c r="AF993" s="500"/>
      <c r="AG993" s="500"/>
      <c r="AH993" s="501"/>
      <c r="AJ993" s="229" t="str">
        <f>IF(OR(A993="",AND(ISNUMBER(FIND("[", A993)), ISNUMBER(FIND("ALL", A993)), ISNUMBER(FIND("]", A993)))),"",MAX(AJ$3:AJ992)+1)</f>
        <v/>
      </c>
      <c r="AK993" s="229" t="str">
        <f>IFERROR(INDEX($A$4:$A$1000,MATCH(ROW()-ROW($AK$3),$AJ$4:$AJ$1000,0)),"")</f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499"/>
      <c r="AF994" s="500"/>
      <c r="AG994" s="500"/>
      <c r="AH994" s="501"/>
      <c r="AJ994" s="229" t="str">
        <f>IF(OR(A994="",AND(ISNUMBER(FIND("[", A994)), ISNUMBER(FIND("ALL", A994)), ISNUMBER(FIND("]", A994)))),"",MAX(AJ$3:AJ993)+1)</f>
        <v/>
      </c>
      <c r="AK994" s="229" t="str">
        <f>IFERROR(INDEX($A$4:$A$1000,MATCH(ROW()-ROW($AK$3),$AJ$4:$AJ$1000,0)),"")</f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499"/>
      <c r="AF995" s="500"/>
      <c r="AG995" s="500"/>
      <c r="AH995" s="501"/>
      <c r="AJ995" s="229" t="str">
        <f>IF(OR(A995="",AND(ISNUMBER(FIND("[", A995)), ISNUMBER(FIND("ALL", A995)), ISNUMBER(FIND("]", A995)))),"",MAX(AJ$3:AJ994)+1)</f>
        <v/>
      </c>
      <c r="AK995" s="229" t="str">
        <f>IFERROR(INDEX($A$4:$A$1000,MATCH(ROW()-ROW($AK$3),$AJ$4:$AJ$1000,0)),"")</f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499"/>
      <c r="AF996" s="500"/>
      <c r="AG996" s="500"/>
      <c r="AH996" s="501"/>
      <c r="AJ996" s="229" t="str">
        <f>IF(OR(A996="",AND(ISNUMBER(FIND("[", A996)), ISNUMBER(FIND("ALL", A996)), ISNUMBER(FIND("]", A996)))),"",MAX(AJ$3:AJ995)+1)</f>
        <v/>
      </c>
      <c r="AK996" s="229" t="str">
        <f>IFERROR(INDEX($A$4:$A$1000,MATCH(ROW()-ROW($AK$3),$AJ$4:$AJ$1000,0)),"")</f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499"/>
      <c r="AF997" s="500"/>
      <c r="AG997" s="500"/>
      <c r="AH997" s="501"/>
      <c r="AJ997" s="229" t="str">
        <f>IF(OR(A997="",AND(ISNUMBER(FIND("[", A997)), ISNUMBER(FIND("ALL", A997)), ISNUMBER(FIND("]", A997)))),"",MAX(AJ$3:AJ996)+1)</f>
        <v/>
      </c>
      <c r="AK997" s="229" t="str">
        <f>IFERROR(INDEX($A$4:$A$1000,MATCH(ROW()-ROW($AK$3),$AJ$4:$AJ$1000,0)),"")</f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499"/>
      <c r="AF998" s="500"/>
      <c r="AG998" s="500"/>
      <c r="AH998" s="501"/>
      <c r="AJ998" s="229" t="str">
        <f>IF(OR(A998="",AND(ISNUMBER(FIND("[", A998)), ISNUMBER(FIND("ALL", A998)), ISNUMBER(FIND("]", A998)))),"",MAX(AJ$3:AJ997)+1)</f>
        <v/>
      </c>
      <c r="AK998" s="229" t="str">
        <f>IFERROR(INDEX($A$4:$A$1000,MATCH(ROW()-ROW($AK$3),$AJ$4:$AJ$1000,0)),"")</f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499"/>
      <c r="AF999" s="500"/>
      <c r="AG999" s="500"/>
      <c r="AH999" s="501"/>
      <c r="AJ999" s="229" t="str">
        <f>IF(OR(A999="",AND(ISNUMBER(FIND("[", A999)), ISNUMBER(FIND("ALL", A999)), ISNUMBER(FIND("]", A999)))),"",MAX(AJ$3:AJ998)+1)</f>
        <v/>
      </c>
      <c r="AK999" s="229" t="str">
        <f>IFERROR(INDEX($A$4:$A$1000,MATCH(ROW()-ROW($AK$3),$AJ$4:$AJ$1000,0)),"")</f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499"/>
      <c r="AF1000" s="500"/>
      <c r="AG1000" s="500"/>
      <c r="AH1000" s="501"/>
      <c r="AJ1000" s="229" t="str">
        <f>IF(OR(A1000="",AND(ISNUMBER(FIND("[", A1000)), ISNUMBER(FIND("ALL", A1000)), ISNUMBER(FIND("]", A1000)))),"",MAX(AJ$3:AJ999)+1)</f>
        <v/>
      </c>
      <c r="AK1000" s="229" t="str">
        <f>IFERROR(INDEX($A$4:$A$1000,MATCH(ROW()-ROW($AK$3),$AJ$4:$AJ$1000,0)),"")</f>
        <v/>
      </c>
    </row>
  </sheetData>
  <mergeCells count="1017"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</mergeCells>
  <dataValidations count="5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0" t="str">
        <f ca="1">IF(ISBLANK(INDIRECT("Cover!D3")),"",INDIRECT("Cover!D3"))</f>
        <v>*</v>
      </c>
      <c r="C1" s="510"/>
      <c r="D1" s="510"/>
      <c r="E1" s="510"/>
      <c r="F1" s="304" t="s">
        <v>28</v>
      </c>
      <c r="G1" s="333" t="str">
        <f ca="1">IF(ISBLANK(INDIRECT("Cover!O2")),"",INDIRECT("Cover!O2"))</f>
        <v>*</v>
      </c>
      <c r="H1" s="333"/>
      <c r="I1" s="334"/>
      <c r="AA1" s="509"/>
      <c r="AB1" s="509"/>
      <c r="AC1" s="509"/>
    </row>
    <row r="2" spans="1:29" ht="16.5" thickBot="1" x14ac:dyDescent="0.25">
      <c r="A2" s="307" t="s">
        <v>27</v>
      </c>
      <c r="B2" s="511" t="str">
        <f ca="1">IF(ISBLANK(INDIRECT("Cover!D4")),"",INDIRECT("Cover!D4"))</f>
        <v>*</v>
      </c>
      <c r="C2" s="511"/>
      <c r="D2" s="511"/>
      <c r="E2" s="511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/>
      <c r="C58" s="308"/>
      <c r="D58" s="309"/>
      <c r="E58" s="308"/>
      <c r="F58" s="310"/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2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howErrorMessage="1" sqref="C5:C103">
      <formula1>"A16B (1.25""),A22B (1.5""),A28B (1.75""),A36B (2""),A42B (2.5""),A48A (3""),3528,4037"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1" t="s">
        <v>89</v>
      </c>
      <c r="B1" s="521"/>
      <c r="C1" s="521"/>
      <c r="D1" s="521"/>
      <c r="E1" s="521"/>
      <c r="F1" s="521"/>
    </row>
    <row r="2" spans="1:6" ht="47.25" customHeight="1" x14ac:dyDescent="0.2">
      <c r="A2" s="521"/>
      <c r="B2" s="521"/>
      <c r="C2" s="521"/>
      <c r="D2" s="521"/>
      <c r="E2" s="521"/>
      <c r="F2" s="521"/>
    </row>
    <row r="3" spans="1:6" ht="18" customHeight="1" x14ac:dyDescent="0.2">
      <c r="A3" s="512" t="s">
        <v>117</v>
      </c>
      <c r="B3" s="512"/>
      <c r="C3" s="512"/>
      <c r="D3" s="210"/>
      <c r="E3" s="209" t="s">
        <v>90</v>
      </c>
      <c r="F3" s="211"/>
    </row>
    <row r="4" spans="1:6" ht="18" customHeight="1" x14ac:dyDescent="0.2">
      <c r="A4" s="512" t="s">
        <v>118</v>
      </c>
      <c r="B4" s="512"/>
      <c r="C4" s="512"/>
      <c r="D4" s="212"/>
      <c r="E4" s="209" t="s">
        <v>91</v>
      </c>
      <c r="F4" s="211"/>
    </row>
    <row r="5" spans="1:6" ht="18.75" customHeight="1" thickBot="1" x14ac:dyDescent="0.25">
      <c r="A5" s="525"/>
      <c r="B5" s="525"/>
      <c r="C5" s="525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2" t="s">
        <v>95</v>
      </c>
      <c r="E6" s="523"/>
      <c r="F6" s="524"/>
    </row>
    <row r="7" spans="1:6" ht="15" customHeight="1" thickTop="1" x14ac:dyDescent="0.2">
      <c r="A7" s="218"/>
      <c r="B7" s="219"/>
      <c r="C7" s="219"/>
      <c r="D7" s="513" t="s">
        <v>96</v>
      </c>
      <c r="E7" s="513"/>
      <c r="F7" s="514"/>
    </row>
    <row r="8" spans="1:6" ht="15" customHeight="1" x14ac:dyDescent="0.2">
      <c r="A8" s="220"/>
      <c r="B8" s="221"/>
      <c r="C8" s="221"/>
      <c r="D8" s="515" t="s">
        <v>97</v>
      </c>
      <c r="E8" s="515"/>
      <c r="F8" s="516"/>
    </row>
    <row r="9" spans="1:6" ht="15" customHeight="1" x14ac:dyDescent="0.2">
      <c r="A9" s="220"/>
      <c r="B9" s="221"/>
      <c r="C9" s="221"/>
      <c r="D9" s="515" t="s">
        <v>98</v>
      </c>
      <c r="E9" s="515"/>
      <c r="F9" s="516"/>
    </row>
    <row r="10" spans="1:6" ht="15" customHeight="1" x14ac:dyDescent="0.2">
      <c r="A10" s="220"/>
      <c r="B10" s="221"/>
      <c r="C10" s="221"/>
      <c r="D10" s="515" t="s">
        <v>99</v>
      </c>
      <c r="E10" s="515"/>
      <c r="F10" s="516"/>
    </row>
    <row r="11" spans="1:6" ht="15" customHeight="1" x14ac:dyDescent="0.2">
      <c r="A11" s="220"/>
      <c r="B11" s="221"/>
      <c r="C11" s="221"/>
      <c r="D11" s="515" t="s">
        <v>100</v>
      </c>
      <c r="E11" s="515"/>
      <c r="F11" s="516"/>
    </row>
    <row r="12" spans="1:6" ht="15" customHeight="1" x14ac:dyDescent="0.2">
      <c r="A12" s="220"/>
      <c r="B12" s="221"/>
      <c r="C12" s="221"/>
      <c r="D12" s="515" t="s">
        <v>101</v>
      </c>
      <c r="E12" s="515"/>
      <c r="F12" s="516"/>
    </row>
    <row r="13" spans="1:6" ht="15" customHeight="1" x14ac:dyDescent="0.2">
      <c r="A13" s="220"/>
      <c r="B13" s="221"/>
      <c r="C13" s="221"/>
      <c r="D13" s="515" t="s">
        <v>102</v>
      </c>
      <c r="E13" s="515"/>
      <c r="F13" s="516"/>
    </row>
    <row r="14" spans="1:6" ht="15" customHeight="1" x14ac:dyDescent="0.2">
      <c r="A14" s="220"/>
      <c r="B14" s="221"/>
      <c r="C14" s="221"/>
      <c r="D14" s="515" t="s">
        <v>103</v>
      </c>
      <c r="E14" s="515"/>
      <c r="F14" s="516"/>
    </row>
    <row r="15" spans="1:6" ht="15" customHeight="1" x14ac:dyDescent="0.2">
      <c r="A15" s="220"/>
      <c r="B15" s="221"/>
      <c r="C15" s="221"/>
      <c r="D15" s="515" t="s">
        <v>104</v>
      </c>
      <c r="E15" s="515"/>
      <c r="F15" s="516"/>
    </row>
    <row r="16" spans="1:6" ht="15" customHeight="1" x14ac:dyDescent="0.2">
      <c r="A16" s="220"/>
      <c r="B16" s="221"/>
      <c r="C16" s="221"/>
      <c r="D16" s="515" t="s">
        <v>105</v>
      </c>
      <c r="E16" s="515"/>
      <c r="F16" s="516"/>
    </row>
    <row r="17" spans="1:6" ht="15" customHeight="1" x14ac:dyDescent="0.2">
      <c r="A17" s="220"/>
      <c r="B17" s="221"/>
      <c r="C17" s="221"/>
      <c r="D17" s="515" t="s">
        <v>106</v>
      </c>
      <c r="E17" s="515"/>
      <c r="F17" s="516"/>
    </row>
    <row r="18" spans="1:6" ht="15" customHeight="1" x14ac:dyDescent="0.2">
      <c r="A18" s="220"/>
      <c r="B18" s="221"/>
      <c r="C18" s="221"/>
      <c r="D18" s="515" t="s">
        <v>107</v>
      </c>
      <c r="E18" s="515"/>
      <c r="F18" s="516"/>
    </row>
    <row r="19" spans="1:6" ht="15" customHeight="1" x14ac:dyDescent="0.2">
      <c r="A19" s="220"/>
      <c r="B19" s="221"/>
      <c r="C19" s="221"/>
      <c r="D19" s="515" t="s">
        <v>108</v>
      </c>
      <c r="E19" s="515"/>
      <c r="F19" s="516"/>
    </row>
    <row r="20" spans="1:6" ht="15" customHeight="1" x14ac:dyDescent="0.2">
      <c r="A20" s="220"/>
      <c r="B20" s="221"/>
      <c r="C20" s="221"/>
      <c r="D20" s="515" t="s">
        <v>109</v>
      </c>
      <c r="E20" s="515"/>
      <c r="F20" s="516"/>
    </row>
    <row r="21" spans="1:6" ht="15" customHeight="1" x14ac:dyDescent="0.2">
      <c r="A21" s="220"/>
      <c r="B21" s="221"/>
      <c r="C21" s="221"/>
      <c r="D21" s="515" t="s">
        <v>110</v>
      </c>
      <c r="E21" s="515"/>
      <c r="F21" s="516"/>
    </row>
    <row r="22" spans="1:6" ht="15" customHeight="1" x14ac:dyDescent="0.2">
      <c r="A22" s="220"/>
      <c r="B22" s="221"/>
      <c r="C22" s="221"/>
      <c r="D22" s="515" t="s">
        <v>111</v>
      </c>
      <c r="E22" s="515"/>
      <c r="F22" s="516"/>
    </row>
    <row r="23" spans="1:6" ht="15" customHeight="1" x14ac:dyDescent="0.2">
      <c r="A23" s="220"/>
      <c r="B23" s="221"/>
      <c r="C23" s="221"/>
      <c r="D23" s="515" t="s">
        <v>112</v>
      </c>
      <c r="E23" s="515"/>
      <c r="F23" s="516"/>
    </row>
    <row r="24" spans="1:6" ht="15" customHeight="1" x14ac:dyDescent="0.2">
      <c r="A24" s="220"/>
      <c r="B24" s="221"/>
      <c r="C24" s="221"/>
      <c r="D24" s="515" t="s">
        <v>113</v>
      </c>
      <c r="E24" s="515"/>
      <c r="F24" s="516"/>
    </row>
    <row r="25" spans="1:6" ht="15" customHeight="1" x14ac:dyDescent="0.2">
      <c r="A25" s="220"/>
      <c r="B25" s="221"/>
      <c r="C25" s="221"/>
      <c r="D25" s="515" t="s">
        <v>114</v>
      </c>
      <c r="E25" s="515"/>
      <c r="F25" s="516"/>
    </row>
    <row r="26" spans="1:6" ht="15" customHeight="1" x14ac:dyDescent="0.2">
      <c r="A26" s="220"/>
      <c r="B26" s="221"/>
      <c r="C26" s="221"/>
      <c r="D26" s="515" t="s">
        <v>115</v>
      </c>
      <c r="E26" s="515"/>
      <c r="F26" s="516"/>
    </row>
    <row r="27" spans="1:6" ht="15" customHeight="1" x14ac:dyDescent="0.2">
      <c r="A27" s="220"/>
      <c r="B27" s="221"/>
      <c r="C27" s="221"/>
      <c r="D27" s="515" t="s">
        <v>116</v>
      </c>
      <c r="E27" s="515"/>
      <c r="F27" s="516"/>
    </row>
    <row r="28" spans="1:6" ht="15" customHeight="1" x14ac:dyDescent="0.2">
      <c r="A28" s="220"/>
      <c r="B28" s="221"/>
      <c r="C28" s="221"/>
      <c r="D28" s="515"/>
      <c r="E28" s="515"/>
      <c r="F28" s="516"/>
    </row>
    <row r="29" spans="1:6" ht="15" customHeight="1" x14ac:dyDescent="0.2">
      <c r="A29" s="220"/>
      <c r="B29" s="221"/>
      <c r="C29" s="221"/>
      <c r="D29" s="515"/>
      <c r="E29" s="515"/>
      <c r="F29" s="516"/>
    </row>
    <row r="30" spans="1:6" ht="15" customHeight="1" x14ac:dyDescent="0.2">
      <c r="A30" s="220"/>
      <c r="B30" s="221"/>
      <c r="C30" s="221"/>
      <c r="D30" s="515"/>
      <c r="E30" s="515"/>
      <c r="F30" s="516"/>
    </row>
    <row r="31" spans="1:6" ht="15" customHeight="1" x14ac:dyDescent="0.2">
      <c r="A31" s="220"/>
      <c r="B31" s="221"/>
      <c r="C31" s="221"/>
      <c r="D31" s="515"/>
      <c r="E31" s="515"/>
      <c r="F31" s="516"/>
    </row>
    <row r="32" spans="1:6" ht="15" customHeight="1" x14ac:dyDescent="0.2">
      <c r="A32" s="220"/>
      <c r="B32" s="221"/>
      <c r="C32" s="221"/>
      <c r="D32" s="515"/>
      <c r="E32" s="515"/>
      <c r="F32" s="516"/>
    </row>
    <row r="33" spans="1:6" ht="15" customHeight="1" x14ac:dyDescent="0.2">
      <c r="A33" s="220"/>
      <c r="B33" s="221"/>
      <c r="C33" s="221"/>
      <c r="D33" s="515"/>
      <c r="E33" s="515"/>
      <c r="F33" s="516"/>
    </row>
    <row r="34" spans="1:6" ht="15" customHeight="1" x14ac:dyDescent="0.2">
      <c r="A34" s="220"/>
      <c r="B34" s="221"/>
      <c r="C34" s="221"/>
      <c r="D34" s="515"/>
      <c r="E34" s="515"/>
      <c r="F34" s="516"/>
    </row>
    <row r="35" spans="1:6" ht="15" customHeight="1" x14ac:dyDescent="0.2">
      <c r="A35" s="220"/>
      <c r="B35" s="221"/>
      <c r="C35" s="221"/>
      <c r="D35" s="515"/>
      <c r="E35" s="515"/>
      <c r="F35" s="516"/>
    </row>
    <row r="36" spans="1:6" ht="15" customHeight="1" x14ac:dyDescent="0.2">
      <c r="A36" s="220"/>
      <c r="B36" s="221"/>
      <c r="C36" s="221"/>
      <c r="D36" s="515"/>
      <c r="E36" s="515"/>
      <c r="F36" s="516"/>
    </row>
    <row r="37" spans="1:6" ht="15" customHeight="1" x14ac:dyDescent="0.2">
      <c r="A37" s="220"/>
      <c r="B37" s="221"/>
      <c r="C37" s="221"/>
      <c r="D37" s="515"/>
      <c r="E37" s="515"/>
      <c r="F37" s="516"/>
    </row>
    <row r="38" spans="1:6" ht="15" customHeight="1" x14ac:dyDescent="0.2">
      <c r="A38" s="220"/>
      <c r="B38" s="221"/>
      <c r="C38" s="221"/>
      <c r="D38" s="515"/>
      <c r="E38" s="515"/>
      <c r="F38" s="516"/>
    </row>
    <row r="39" spans="1:6" ht="15" customHeight="1" x14ac:dyDescent="0.2">
      <c r="A39" s="220"/>
      <c r="B39" s="221"/>
      <c r="C39" s="221"/>
      <c r="D39" s="515"/>
      <c r="E39" s="515"/>
      <c r="F39" s="516"/>
    </row>
    <row r="40" spans="1:6" ht="15" customHeight="1" x14ac:dyDescent="0.2">
      <c r="A40" s="220"/>
      <c r="B40" s="221"/>
      <c r="C40" s="221"/>
      <c r="D40" s="515"/>
      <c r="E40" s="515"/>
      <c r="F40" s="516"/>
    </row>
    <row r="41" spans="1:6" ht="15" customHeight="1" x14ac:dyDescent="0.2">
      <c r="A41" s="220"/>
      <c r="B41" s="221"/>
      <c r="C41" s="221"/>
      <c r="D41" s="515"/>
      <c r="E41" s="515"/>
      <c r="F41" s="516"/>
    </row>
    <row r="42" spans="1:6" ht="15" customHeight="1" x14ac:dyDescent="0.2">
      <c r="A42" s="220"/>
      <c r="B42" s="221"/>
      <c r="C42" s="221"/>
      <c r="D42" s="515"/>
      <c r="E42" s="515"/>
      <c r="F42" s="516"/>
    </row>
    <row r="43" spans="1:6" ht="15" customHeight="1" x14ac:dyDescent="0.2">
      <c r="A43" s="220"/>
      <c r="B43" s="222"/>
      <c r="C43" s="222"/>
      <c r="D43" s="515"/>
      <c r="E43" s="515"/>
      <c r="F43" s="516"/>
    </row>
    <row r="44" spans="1:6" ht="15" customHeight="1" x14ac:dyDescent="0.2">
      <c r="A44" s="223"/>
      <c r="B44" s="224"/>
      <c r="C44" s="224"/>
      <c r="D44" s="519"/>
      <c r="E44" s="519"/>
      <c r="F44" s="520"/>
    </row>
    <row r="45" spans="1:6" ht="15" customHeight="1" x14ac:dyDescent="0.2">
      <c r="A45" s="225"/>
      <c r="B45" s="222"/>
      <c r="C45" s="222"/>
      <c r="D45" s="515"/>
      <c r="E45" s="515"/>
      <c r="F45" s="516"/>
    </row>
    <row r="46" spans="1:6" ht="15" customHeight="1" x14ac:dyDescent="0.2">
      <c r="A46" s="223"/>
      <c r="B46" s="224"/>
      <c r="C46" s="224"/>
      <c r="D46" s="519"/>
      <c r="E46" s="519"/>
      <c r="F46" s="520"/>
    </row>
    <row r="47" spans="1:6" ht="15" customHeight="1" thickBot="1" x14ac:dyDescent="0.25">
      <c r="A47" s="226"/>
      <c r="B47" s="227"/>
      <c r="C47" s="227"/>
      <c r="D47" s="517"/>
      <c r="E47" s="517"/>
      <c r="F47" s="518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2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2019-01-15T18:37:49Z</dcterms:modified>
</cp:coreProperties>
</file>