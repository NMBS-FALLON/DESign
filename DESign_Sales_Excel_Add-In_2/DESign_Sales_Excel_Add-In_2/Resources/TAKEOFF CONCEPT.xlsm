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AJ5" i="51" l="1"/>
  <c r="AJ6" i="51"/>
  <c r="AJ7" i="51"/>
  <c r="AJ9" i="51"/>
  <c r="AJ11" i="51"/>
  <c r="AJ12" i="51"/>
  <c r="AJ13" i="5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4" i="51"/>
  <c r="AJ8" i="51" l="1"/>
  <c r="AJ10" i="51" s="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A1" i="10"/>
  <c r="K7" i="66"/>
  <c r="C1" i="13"/>
  <c r="B1" i="65"/>
  <c r="K6" i="66"/>
  <c r="AC2" i="10"/>
  <c r="M2" i="14"/>
  <c r="C2" i="13"/>
  <c r="J2" i="9"/>
  <c r="C1" i="14"/>
  <c r="G1" i="65"/>
  <c r="C1" i="15"/>
  <c r="C54" i="9"/>
  <c r="M2" i="12"/>
  <c r="C2" i="14"/>
  <c r="C2" i="10"/>
  <c r="K1" i="12"/>
  <c r="K1" i="14"/>
  <c r="C1" i="12"/>
  <c r="C1" i="10"/>
  <c r="R2" i="15"/>
  <c r="C2" i="15"/>
  <c r="Q2" i="13"/>
  <c r="B2" i="65"/>
  <c r="K9" i="66"/>
  <c r="O1" i="13"/>
  <c r="P1" i="15"/>
  <c r="C2" i="12"/>
  <c r="AK889" i="51" l="1"/>
  <c r="AK405" i="51"/>
  <c r="AK603" i="51"/>
  <c r="AK141" i="51"/>
  <c r="AK806" i="51"/>
  <c r="AK114" i="51"/>
  <c r="AK589" i="51"/>
  <c r="AK383" i="51"/>
  <c r="AK890" i="51"/>
  <c r="AK452" i="51"/>
  <c r="AK79" i="51"/>
  <c r="AK635" i="51"/>
  <c r="AK734" i="51"/>
  <c r="AK362" i="51"/>
  <c r="AK888" i="51"/>
  <c r="AK26" i="51"/>
  <c r="AK857" i="51"/>
  <c r="AK726" i="51"/>
  <c r="AK381" i="51"/>
  <c r="AK944" i="51"/>
  <c r="AK528" i="51"/>
  <c r="AK298" i="51"/>
  <c r="AK526" i="51"/>
  <c r="AK722" i="51"/>
  <c r="AK563" i="51"/>
  <c r="AK254" i="51"/>
  <c r="AK651" i="51"/>
  <c r="AK961" i="51"/>
  <c r="AK988" i="51"/>
  <c r="AK99" i="51"/>
  <c r="AK286" i="51"/>
  <c r="AK396" i="51"/>
  <c r="AK146" i="51"/>
  <c r="AK332" i="51"/>
  <c r="AK676" i="51"/>
  <c r="AK244" i="51"/>
  <c r="AK122" i="51"/>
  <c r="AK345" i="51"/>
  <c r="AK208" i="51"/>
  <c r="AK368" i="51"/>
  <c r="AK80" i="51"/>
  <c r="AK188" i="51"/>
  <c r="AK137" i="51"/>
  <c r="AK803" i="51"/>
  <c r="AK35" i="51"/>
  <c r="AK23" i="51"/>
  <c r="AK27" i="51"/>
  <c r="AK585" i="51"/>
  <c r="AK132" i="51"/>
  <c r="AK4" i="51"/>
  <c r="AK399" i="51"/>
  <c r="AK404" i="51"/>
  <c r="AK566" i="51"/>
  <c r="AK411" i="51"/>
  <c r="AK997" i="51"/>
  <c r="AK433" i="51"/>
  <c r="AK287" i="51"/>
  <c r="AK752" i="51"/>
  <c r="AK653" i="51"/>
  <c r="AK934" i="51"/>
  <c r="AK973" i="51"/>
  <c r="AK900" i="51"/>
  <c r="AK661" i="51"/>
  <c r="AK214" i="51"/>
  <c r="AK534" i="51"/>
  <c r="AK519" i="51"/>
  <c r="AK476" i="51"/>
  <c r="AK348" i="51"/>
  <c r="AK559" i="51"/>
  <c r="AK16" i="51"/>
  <c r="AK711" i="51"/>
  <c r="AK111" i="51"/>
  <c r="AK261" i="51"/>
  <c r="AK514" i="51"/>
  <c r="AK100" i="51"/>
  <c r="AK423" i="51"/>
  <c r="AK315" i="51"/>
  <c r="AK266" i="51"/>
  <c r="AK227" i="51"/>
  <c r="AK822" i="51"/>
  <c r="AK421" i="51"/>
  <c r="AK1000" i="51"/>
  <c r="AK90" i="51"/>
  <c r="AK962" i="51"/>
  <c r="AK984" i="51"/>
  <c r="AK86" i="51"/>
  <c r="AK742" i="51"/>
  <c r="AK163" i="51"/>
  <c r="AK406" i="51"/>
  <c r="AK87" i="51"/>
  <c r="AK449" i="51"/>
  <c r="AK599" i="51"/>
  <c r="AK76" i="51"/>
  <c r="AK515" i="51"/>
  <c r="AK596" i="51"/>
  <c r="AK451" i="51"/>
  <c r="AK786" i="51"/>
  <c r="AK192" i="51"/>
  <c r="AK24" i="51"/>
  <c r="AK48" i="51"/>
  <c r="AK186" i="51"/>
  <c r="AK709" i="51"/>
  <c r="AK923" i="51"/>
  <c r="AK720" i="51"/>
  <c r="AK66" i="51"/>
  <c r="AK221" i="51"/>
  <c r="AK833" i="51"/>
  <c r="AK401" i="51"/>
  <c r="AK424" i="51"/>
  <c r="AK649" i="51"/>
  <c r="AK535" i="51"/>
  <c r="AK19" i="51"/>
  <c r="AK412" i="51"/>
  <c r="AK77" i="51"/>
  <c r="AK789" i="51"/>
  <c r="AK613" i="51"/>
  <c r="AK243" i="51"/>
  <c r="AK787" i="51"/>
  <c r="AK828" i="51"/>
  <c r="AK390" i="51"/>
  <c r="AK258" i="51"/>
  <c r="AK170" i="51"/>
  <c r="AK53" i="51"/>
  <c r="AK220" i="51"/>
  <c r="AK930" i="51"/>
  <c r="AK927" i="51"/>
  <c r="AK897" i="51"/>
  <c r="AK20" i="51"/>
  <c r="AK255" i="51"/>
  <c r="AK156" i="51"/>
  <c r="AK260" i="51"/>
  <c r="AK785" i="51"/>
  <c r="AK502" i="51"/>
  <c r="AK887" i="51"/>
  <c r="AK57" i="51"/>
  <c r="AK18" i="51"/>
  <c r="AK616" i="51"/>
  <c r="AK153" i="51"/>
  <c r="AK311" i="51"/>
  <c r="AK777" i="51"/>
  <c r="AK530" i="51"/>
  <c r="AK187" i="51"/>
  <c r="AK690" i="51"/>
  <c r="AK167" i="51"/>
  <c r="AK28" i="51"/>
  <c r="AK436" i="51"/>
  <c r="AK184" i="51"/>
  <c r="AK916" i="51"/>
  <c r="AK548" i="51"/>
  <c r="AK667" i="51"/>
  <c r="AK977" i="51"/>
  <c r="AK376" i="51"/>
  <c r="AK61" i="51"/>
  <c r="AK536" i="51"/>
  <c r="AK920" i="51"/>
  <c r="AK532" i="51"/>
  <c r="AK323" i="51"/>
  <c r="AK893" i="51"/>
  <c r="AK6" i="51"/>
  <c r="AK665" i="51"/>
  <c r="AK116" i="51"/>
  <c r="AK471" i="51"/>
  <c r="AK314" i="51"/>
  <c r="AK118" i="51"/>
  <c r="AK852" i="51"/>
  <c r="AK89" i="51"/>
  <c r="AK319" i="51"/>
  <c r="AK743" i="51"/>
  <c r="AK982" i="51"/>
  <c r="AK318" i="51"/>
  <c r="AK194" i="51"/>
  <c r="AK144" i="51"/>
  <c r="AK862" i="51"/>
  <c r="AK375" i="51"/>
  <c r="AK549" i="51"/>
  <c r="AK544" i="51"/>
  <c r="AK377" i="51"/>
  <c r="AK82" i="51"/>
  <c r="AK776" i="51"/>
  <c r="AK800" i="51"/>
  <c r="AK248" i="51"/>
  <c r="AK705" i="51"/>
  <c r="AK689" i="51"/>
  <c r="AK760" i="51"/>
  <c r="AK487" i="51"/>
  <c r="AK817" i="51"/>
  <c r="AK902" i="51"/>
  <c r="AK169" i="51"/>
  <c r="AK294" i="51"/>
  <c r="AK142" i="51"/>
  <c r="AK860" i="51"/>
  <c r="AK621" i="51"/>
  <c r="AK289" i="51"/>
  <c r="AK845" i="51"/>
  <c r="AK597" i="51"/>
  <c r="AK445" i="51"/>
  <c r="AK980" i="51"/>
  <c r="AK520" i="51"/>
  <c r="AK577" i="51"/>
  <c r="AK832" i="51"/>
  <c r="AK327" i="51"/>
  <c r="AK879" i="51"/>
  <c r="AK486" i="51"/>
  <c r="AK610" i="51"/>
  <c r="AK93" i="51"/>
  <c r="AK657" i="51"/>
  <c r="AK885" i="51"/>
  <c r="AK182" i="51"/>
  <c r="AK740" i="51"/>
  <c r="AK158" i="51"/>
  <c r="AK357" i="51"/>
  <c r="AK856" i="51"/>
  <c r="AK703" i="51"/>
  <c r="AK360" i="51"/>
  <c r="AK335" i="51"/>
  <c r="AK560" i="51"/>
  <c r="AK664" i="51"/>
  <c r="AK998" i="51"/>
  <c r="AK582" i="51"/>
  <c r="AK473" i="51"/>
  <c r="AK870" i="51"/>
  <c r="AK206" i="51"/>
  <c r="AK935" i="51"/>
  <c r="AK762" i="51"/>
  <c r="AK688" i="51"/>
  <c r="AK350" i="51"/>
  <c r="AK871" i="51"/>
  <c r="AK226" i="51"/>
  <c r="AK904" i="51"/>
  <c r="AK809" i="51"/>
  <c r="AK291" i="51"/>
  <c r="AK903" i="51"/>
  <c r="AK921" i="51"/>
  <c r="AK143" i="51"/>
  <c r="AK379" i="51"/>
  <c r="AK562" i="51"/>
  <c r="AK74" i="51"/>
  <c r="AK265" i="51"/>
  <c r="AK117" i="51"/>
  <c r="AK305" i="51"/>
  <c r="AK717" i="51"/>
  <c r="AK674" i="51"/>
  <c r="AK758" i="51"/>
  <c r="AK123" i="51"/>
  <c r="AK54" i="51"/>
  <c r="AK679" i="51"/>
  <c r="AK735" i="51"/>
  <c r="AK346" i="51"/>
  <c r="AK965" i="51"/>
  <c r="AK814" i="51"/>
  <c r="AK503" i="51"/>
  <c r="AK14" i="51"/>
  <c r="AK992" i="51"/>
  <c r="AK386" i="51"/>
  <c r="AK913" i="51"/>
  <c r="AK798" i="51"/>
  <c r="AK983" i="51"/>
  <c r="AK356" i="51"/>
  <c r="AK818" i="51"/>
  <c r="AK872" i="51"/>
  <c r="AK773" i="51"/>
  <c r="AK465" i="51"/>
  <c r="AK591" i="51"/>
  <c r="AK604" i="51"/>
  <c r="AK62" i="51"/>
  <c r="AK271" i="51"/>
  <c r="AK795" i="51"/>
  <c r="AK976" i="51"/>
  <c r="AK246" i="51"/>
  <c r="AK712" i="51"/>
  <c r="AK880" i="51"/>
  <c r="AK251" i="51"/>
  <c r="AK757" i="51"/>
  <c r="AK941" i="51"/>
  <c r="AK693" i="51"/>
  <c r="AK106" i="51"/>
  <c r="AK753" i="51"/>
  <c r="AK38" i="51"/>
  <c r="AK75" i="51"/>
  <c r="AK756" i="51"/>
  <c r="AK799" i="51"/>
  <c r="AK994" i="51"/>
  <c r="AK33" i="51"/>
  <c r="AK181" i="51"/>
  <c r="AK630" i="51"/>
  <c r="AK60" i="51"/>
  <c r="AK455" i="51"/>
  <c r="AK292" i="51"/>
  <c r="AK721" i="51"/>
  <c r="AK695" i="51"/>
  <c r="AK366" i="51"/>
  <c r="AK372" i="51"/>
  <c r="AK40" i="51"/>
  <c r="AK189" i="51"/>
  <c r="AK837" i="51"/>
  <c r="AK656" i="51"/>
  <c r="AK686" i="51"/>
  <c r="AK450" i="51"/>
  <c r="AK771" i="51"/>
  <c r="AK716" i="51"/>
  <c r="AK367" i="51"/>
  <c r="AK869" i="51"/>
  <c r="AK313" i="51"/>
  <c r="AK68" i="51"/>
  <c r="AK807" i="51"/>
  <c r="AK342" i="51"/>
  <c r="AK848" i="51"/>
  <c r="AK586" i="51"/>
  <c r="AK748" i="51"/>
  <c r="AK669" i="51"/>
  <c r="AK790" i="51"/>
  <c r="AK761" i="51"/>
  <c r="AK918" i="51"/>
  <c r="AK126" i="51"/>
  <c r="AK861" i="51"/>
  <c r="AK964" i="51"/>
  <c r="AK419" i="51"/>
  <c r="AK205" i="51"/>
  <c r="AK692" i="51"/>
  <c r="AK797" i="51"/>
  <c r="AK469" i="51"/>
  <c r="AK414" i="51"/>
  <c r="AK588" i="51"/>
  <c r="AK527" i="51"/>
  <c r="AK475" i="51"/>
  <c r="AK223" i="51"/>
  <c r="AK13" i="51"/>
  <c r="AK273" i="51"/>
  <c r="AK749" i="51"/>
  <c r="AK959" i="51"/>
  <c r="AK662" i="51"/>
  <c r="AK212" i="51"/>
  <c r="AK792" i="51"/>
  <c r="AK458" i="51"/>
  <c r="AK55" i="51"/>
  <c r="AK97" i="51"/>
  <c r="AK467" i="51"/>
  <c r="AK272" i="51"/>
  <c r="AK826" i="51"/>
  <c r="AK92" i="51"/>
  <c r="AK279" i="51"/>
  <c r="AK174" i="51"/>
  <c r="AK910" i="51"/>
  <c r="AK351" i="51"/>
  <c r="AK352" i="51"/>
  <c r="AK301" i="51"/>
  <c r="AK863" i="51"/>
  <c r="AK584" i="51"/>
  <c r="AK821" i="51"/>
  <c r="AK625" i="51"/>
  <c r="AK650" i="51"/>
  <c r="AK341" i="51"/>
  <c r="AK130" i="51"/>
  <c r="AK166" i="51"/>
  <c r="AK218" i="51"/>
  <c r="AK781" i="51"/>
  <c r="AK49" i="51"/>
  <c r="AK580" i="51"/>
  <c r="AK183" i="51"/>
  <c r="AK175" i="51"/>
  <c r="AK956" i="51"/>
  <c r="AK926" i="51"/>
  <c r="AK865" i="51"/>
  <c r="AK911" i="51"/>
  <c r="AK541" i="51"/>
  <c r="AK494" i="51"/>
  <c r="AK498" i="51"/>
  <c r="AK21" i="51"/>
  <c r="AK413" i="51"/>
  <c r="AK353" i="51"/>
  <c r="AK59" i="51"/>
  <c r="AK652" i="51"/>
  <c r="AK282" i="51"/>
  <c r="AK32" i="51"/>
  <c r="AK216" i="51"/>
  <c r="AK308" i="51"/>
  <c r="AK125" i="51"/>
  <c r="AK952" i="51"/>
  <c r="AK281" i="51"/>
  <c r="AK960" i="51"/>
  <c r="AK763" i="51"/>
  <c r="AK96" i="51"/>
  <c r="AK95" i="51"/>
  <c r="AK215" i="51"/>
  <c r="AK336" i="51"/>
  <c r="AK697" i="51"/>
  <c r="AK699" i="51"/>
  <c r="AK873" i="51"/>
  <c r="AK172" i="51"/>
  <c r="AK522" i="51"/>
  <c r="AK485" i="51"/>
  <c r="AK229" i="51"/>
  <c r="AK297" i="51"/>
  <c r="AK191" i="51"/>
  <c r="AK824" i="51"/>
  <c r="AK774" i="51"/>
  <c r="AK147" i="51"/>
  <c r="AK754" i="51"/>
  <c r="AK794" i="51"/>
  <c r="AK382" i="51"/>
  <c r="AK83" i="51"/>
  <c r="AK978" i="51"/>
  <c r="AK730" i="51"/>
  <c r="AK91" i="51"/>
  <c r="AK931" i="51"/>
  <c r="AK8" i="51"/>
  <c r="AK463" i="51"/>
  <c r="AK409" i="51"/>
  <c r="AK389" i="51"/>
  <c r="AK295" i="51"/>
  <c r="AK912" i="51"/>
  <c r="AK612" i="51"/>
  <c r="AK364" i="51"/>
  <c r="AK830" i="51"/>
  <c r="AK325" i="51"/>
  <c r="AK264" i="51"/>
  <c r="AK970" i="51"/>
  <c r="AK655" i="51"/>
  <c r="AK531" i="51"/>
  <c r="AK673" i="51"/>
  <c r="AK543" i="51"/>
  <c r="AK841" i="51"/>
  <c r="AK719" i="51"/>
  <c r="AK813" i="51"/>
  <c r="AK979" i="51"/>
  <c r="AK896" i="51"/>
  <c r="AK430" i="51"/>
  <c r="AK571" i="51"/>
  <c r="AK516" i="51"/>
  <c r="AK331" i="51"/>
  <c r="AK384" i="51"/>
  <c r="AK670" i="51"/>
  <c r="AK909" i="51"/>
  <c r="AK725" i="51"/>
  <c r="AK365" i="51"/>
  <c r="AK253" i="51"/>
  <c r="AK238" i="51"/>
  <c r="AK564" i="51"/>
  <c r="AK480" i="51"/>
  <c r="AK950" i="51"/>
  <c r="AK894" i="51"/>
  <c r="AK574" i="51"/>
  <c r="AK190" i="51"/>
  <c r="AK310" i="51"/>
  <c r="AK84" i="51"/>
  <c r="AK924" i="51"/>
  <c r="AK925" i="51"/>
  <c r="AK971" i="51"/>
  <c r="AK464" i="51"/>
  <c r="AK284" i="51"/>
  <c r="AK418" i="51"/>
  <c r="AK511" i="51"/>
  <c r="AK681" i="51"/>
  <c r="AK521" i="51"/>
  <c r="AK685" i="51"/>
  <c r="AK529" i="51"/>
  <c r="AK179" i="51"/>
  <c r="AK868" i="51"/>
  <c r="AK901" i="51"/>
  <c r="AK755" i="51"/>
  <c r="AK744" i="51"/>
  <c r="AK513" i="51"/>
  <c r="AK834" i="51"/>
  <c r="AK56" i="51"/>
  <c r="AK883" i="51"/>
  <c r="AK459" i="51"/>
  <c r="AK133" i="51"/>
  <c r="AK309" i="51"/>
  <c r="AK47" i="51"/>
  <c r="AK119" i="51"/>
  <c r="AK316" i="51"/>
  <c r="AK280" i="51"/>
  <c r="AK592" i="51"/>
  <c r="AK672" i="51"/>
  <c r="AK991" i="51"/>
  <c r="AK224" i="51"/>
  <c r="AK228" i="51"/>
  <c r="AK710" i="51"/>
  <c r="AK12" i="51"/>
  <c r="AK257" i="51"/>
  <c r="AK500" i="51"/>
  <c r="AK231" i="51"/>
  <c r="AK747" i="51"/>
  <c r="AK428" i="51"/>
  <c r="AK633" i="51"/>
  <c r="AK441" i="51"/>
  <c r="AK929" i="51"/>
  <c r="AK629" i="51"/>
  <c r="AK829" i="51"/>
  <c r="AK698" i="51"/>
  <c r="AK479" i="51"/>
  <c r="AK426" i="51"/>
  <c r="AK51" i="51"/>
  <c r="AK975" i="51"/>
  <c r="AK211" i="51"/>
  <c r="AK682" i="51"/>
  <c r="AK882" i="51"/>
  <c r="AK605" i="51"/>
  <c r="AK267" i="51"/>
  <c r="AK43" i="51"/>
  <c r="AK397" i="51"/>
  <c r="AK472" i="51"/>
  <c r="AK442" i="51"/>
  <c r="AK751" i="51"/>
  <c r="AK510" i="51"/>
  <c r="AK400" i="51"/>
  <c r="AK578" i="51"/>
  <c r="AK456" i="51"/>
  <c r="AK940" i="51"/>
  <c r="AK878" i="51"/>
  <c r="AK369" i="51"/>
  <c r="AK639" i="51"/>
  <c r="AK907" i="51"/>
  <c r="AK640" i="51"/>
  <c r="AK288" i="51"/>
  <c r="AK628" i="51"/>
  <c r="AK996" i="51"/>
  <c r="AK538" i="51"/>
  <c r="AK866" i="51"/>
  <c r="AK493" i="51"/>
  <c r="AK262" i="51"/>
  <c r="AK120" i="51"/>
  <c r="AK506" i="51"/>
  <c r="AK595" i="51"/>
  <c r="AK812" i="51"/>
  <c r="AK371" i="51"/>
  <c r="AK551" i="51"/>
  <c r="AK363" i="51"/>
  <c r="AK103" i="51"/>
  <c r="AK462" i="51"/>
  <c r="AK439" i="51"/>
  <c r="AK460" i="51"/>
  <c r="AK374" i="51"/>
  <c r="AK788" i="51"/>
  <c r="AK249" i="51"/>
  <c r="AK593" i="51"/>
  <c r="AK85" i="51"/>
  <c r="AK470" i="51"/>
  <c r="AK432" i="51"/>
  <c r="AK958" i="51"/>
  <c r="AK995" i="51"/>
  <c r="AK558" i="51"/>
  <c r="AK155" i="51"/>
  <c r="AK299" i="51"/>
  <c r="AK45" i="51"/>
  <c r="AK101" i="51"/>
  <c r="AK802" i="51"/>
  <c r="AK955" i="51"/>
  <c r="AK162" i="51"/>
  <c r="AK842" i="51"/>
  <c r="AK326" i="51"/>
  <c r="AK242" i="51"/>
  <c r="AK354" i="51"/>
  <c r="AK329" i="51"/>
  <c r="AK333" i="51"/>
  <c r="AK72" i="51"/>
  <c r="AK195" i="51"/>
  <c r="AK783" i="51"/>
  <c r="AK457" i="51"/>
  <c r="AK683" i="51"/>
  <c r="AK855" i="51"/>
  <c r="AK128" i="51"/>
  <c r="AK58" i="51"/>
  <c r="AK391" i="51"/>
  <c r="AK44" i="51"/>
  <c r="AK641" i="51"/>
  <c r="AK846" i="51"/>
  <c r="AK524" i="51"/>
  <c r="AK219" i="51"/>
  <c r="AK917" i="51"/>
  <c r="AK225" i="51"/>
  <c r="AK632" i="51"/>
  <c r="AK892" i="51"/>
  <c r="AK425" i="51"/>
  <c r="AK767" i="51"/>
  <c r="AK109" i="51"/>
  <c r="AK687" i="51"/>
  <c r="AK69" i="51"/>
  <c r="AK675" i="51"/>
  <c r="AK706" i="51"/>
  <c r="AK700" i="51"/>
  <c r="AK477" i="51"/>
  <c r="AK819" i="51"/>
  <c r="AK908" i="51"/>
  <c r="AK540" i="51"/>
  <c r="AK508" i="51"/>
  <c r="AK646" i="51"/>
  <c r="AK339" i="51"/>
  <c r="AK581" i="51"/>
  <c r="AK9" i="51"/>
  <c r="AK966" i="51"/>
  <c r="AK525" i="51"/>
  <c r="AK617" i="51"/>
  <c r="AK804" i="51"/>
  <c r="AK385" i="51"/>
  <c r="AK197" i="51"/>
  <c r="AK881" i="51"/>
  <c r="AK759" i="51"/>
  <c r="AK891" i="51"/>
  <c r="AK680" i="51"/>
  <c r="AK701" i="51"/>
  <c r="AK990" i="51"/>
  <c r="AK434" i="51"/>
  <c r="AK738" i="51"/>
  <c r="AK275" i="51"/>
  <c r="AK107" i="51"/>
  <c r="AK157" i="51"/>
  <c r="AK963" i="51"/>
  <c r="AK779" i="51"/>
  <c r="AK647" i="51"/>
  <c r="AK199" i="51"/>
  <c r="AK46" i="51"/>
  <c r="AK278" i="51"/>
  <c r="AK213" i="51"/>
  <c r="AK495" i="51"/>
  <c r="AK805" i="51"/>
  <c r="AK554" i="51"/>
  <c r="AK501" i="51"/>
  <c r="AK115" i="51"/>
  <c r="AK552" i="51"/>
  <c r="AK553" i="51"/>
  <c r="AK684" i="51"/>
  <c r="AK835" i="51"/>
  <c r="AK766" i="51"/>
  <c r="AK636" i="51"/>
  <c r="AK741" i="51"/>
  <c r="AK98" i="51"/>
  <c r="AK999" i="51"/>
  <c r="AK648" i="51"/>
  <c r="AK236" i="51"/>
  <c r="AK489" i="51"/>
  <c r="AK678" i="51"/>
  <c r="AK708" i="51"/>
  <c r="AK607" i="51"/>
  <c r="AK546" i="51"/>
  <c r="AK968" i="51"/>
  <c r="AK171" i="51"/>
  <c r="AK443" i="51"/>
  <c r="AK448" i="51"/>
  <c r="AK854" i="51"/>
  <c r="AK303" i="51"/>
  <c r="AK724" i="51"/>
  <c r="AK811" i="51"/>
  <c r="AK88" i="51"/>
  <c r="AK967" i="51"/>
  <c r="AK417" i="51"/>
  <c r="AK165" i="51"/>
  <c r="AK483" i="51"/>
  <c r="AK7" i="51"/>
  <c r="AK39" i="51"/>
  <c r="AK78" i="51"/>
  <c r="AK176" i="51"/>
  <c r="AK831" i="51"/>
  <c r="AK932" i="51"/>
  <c r="AK402" i="51"/>
  <c r="AK42" i="51"/>
  <c r="AK899" i="51"/>
  <c r="AK373" i="51"/>
  <c r="AK250" i="51"/>
  <c r="AK989" i="51"/>
  <c r="AK733" i="51"/>
  <c r="AK838" i="51"/>
  <c r="AK164" i="51"/>
  <c r="AK791" i="51"/>
  <c r="AK895" i="51"/>
  <c r="AK304" i="51"/>
  <c r="AK864" i="51"/>
  <c r="AK344" i="51"/>
  <c r="AK746" i="51"/>
  <c r="AK729" i="51"/>
  <c r="AK576" i="51"/>
  <c r="AK324" i="51"/>
  <c r="AK429" i="51"/>
  <c r="AK488" i="51"/>
  <c r="AK496" i="51"/>
  <c r="AK490" i="51"/>
  <c r="AK951" i="51"/>
  <c r="AK769" i="51"/>
  <c r="AK468" i="51"/>
  <c r="AK209" i="51"/>
  <c r="AK196" i="51"/>
  <c r="AK446" i="51"/>
  <c r="AK928" i="51"/>
  <c r="AK691" i="51"/>
  <c r="AK444" i="51"/>
  <c r="AK583" i="51"/>
  <c r="AK568" i="51"/>
  <c r="AK981" i="51"/>
  <c r="AK974" i="51"/>
  <c r="AK232" i="51"/>
  <c r="AK380" i="51"/>
  <c r="AK29" i="51"/>
  <c r="AK677" i="51"/>
  <c r="AK906" i="51"/>
  <c r="AK453" i="51"/>
  <c r="AK198" i="51"/>
  <c r="AK139" i="51"/>
  <c r="AK31" i="51"/>
  <c r="AK161" i="51"/>
  <c r="AK233" i="51"/>
  <c r="AK240" i="51"/>
  <c r="AK512" i="51"/>
  <c r="AK178" i="51"/>
  <c r="AK579" i="51"/>
  <c r="AK561" i="51"/>
  <c r="AK388" i="51"/>
  <c r="AK645" i="51"/>
  <c r="AK317" i="51"/>
  <c r="AK539" i="51"/>
  <c r="AK217" i="51"/>
  <c r="AK52" i="51"/>
  <c r="AK946" i="51"/>
  <c r="AK300" i="51"/>
  <c r="AK945" i="51"/>
  <c r="AK50" i="51"/>
  <c r="AK241" i="51"/>
  <c r="AK5" i="51"/>
  <c r="AK296" i="51"/>
  <c r="AK986" i="51"/>
  <c r="AK739" i="51"/>
  <c r="AK784" i="51"/>
  <c r="AK555" i="51"/>
  <c r="AK268" i="51"/>
  <c r="AK504" i="51"/>
  <c r="AK180" i="51"/>
  <c r="AK736" i="51"/>
  <c r="AK707" i="51"/>
  <c r="AK660" i="51"/>
  <c r="AK274" i="51"/>
  <c r="AK874" i="51"/>
  <c r="AK252" i="51"/>
  <c r="AK37" i="51"/>
  <c r="AK105" i="51"/>
  <c r="AK505" i="51"/>
  <c r="AK290" i="51"/>
  <c r="AK10" i="51"/>
  <c r="AK259" i="51"/>
  <c r="AK993" i="51"/>
  <c r="AK177" i="51"/>
  <c r="AK793" i="51"/>
  <c r="AK330" i="51"/>
  <c r="AK474" i="51"/>
  <c r="AK283" i="51"/>
  <c r="AK149" i="51"/>
  <c r="AK671" i="51"/>
  <c r="AK193" i="51"/>
  <c r="AK361" i="51"/>
  <c r="AK185" i="51"/>
  <c r="AK877" i="51"/>
  <c r="AK615" i="51"/>
  <c r="AK70" i="51"/>
  <c r="AK124" i="51"/>
  <c r="AK64" i="51"/>
  <c r="AK556" i="51"/>
  <c r="AK668" i="51"/>
  <c r="AK492" i="51"/>
  <c r="AK499" i="51"/>
  <c r="AK836" i="51"/>
  <c r="AK378" i="51"/>
  <c r="AK575" i="51"/>
  <c r="AK358" i="51"/>
  <c r="AK440" i="51"/>
  <c r="AK898" i="51"/>
  <c r="AK461" i="51"/>
  <c r="AK210" i="51"/>
  <c r="AK154" i="51"/>
  <c r="AK696" i="51"/>
  <c r="AK482" i="51"/>
  <c r="AK844" i="51"/>
  <c r="AK702" i="51"/>
  <c r="AK550" i="51"/>
  <c r="AK937" i="51"/>
  <c r="AK815" i="51"/>
  <c r="AK609" i="51"/>
  <c r="AK160" i="51"/>
  <c r="AK859" i="51"/>
  <c r="AK972" i="51"/>
  <c r="AK666" i="51"/>
  <c r="AK778" i="51"/>
  <c r="AK235" i="51"/>
  <c r="AK30" i="51"/>
  <c r="AK67" i="51"/>
  <c r="AK222" i="51"/>
  <c r="AK922" i="51"/>
  <c r="AK816" i="51"/>
  <c r="AK851" i="51"/>
  <c r="AK547" i="51"/>
  <c r="AK398" i="51"/>
  <c r="AK764" i="51"/>
  <c r="AK714" i="51"/>
  <c r="AK420" i="51"/>
  <c r="AK768" i="51"/>
  <c r="AK936" i="51"/>
  <c r="AK108" i="51"/>
  <c r="AK321" i="51"/>
  <c r="AK876" i="51"/>
  <c r="AK823" i="51"/>
  <c r="AK915" i="51"/>
  <c r="AK392" i="51"/>
  <c r="AK71" i="51"/>
  <c r="AK919" i="51"/>
  <c r="AK634" i="51"/>
  <c r="AK765" i="51"/>
  <c r="AK949" i="51"/>
  <c r="AK256" i="51"/>
  <c r="AK270" i="51"/>
  <c r="AK497" i="51"/>
  <c r="AK81" i="51"/>
  <c r="AK484" i="51"/>
  <c r="AK840" i="51"/>
  <c r="AK491" i="51"/>
  <c r="AK606" i="51"/>
  <c r="AK750" i="51"/>
  <c r="AK557" i="51"/>
  <c r="AK780" i="51"/>
  <c r="AK403" i="51"/>
  <c r="AK957" i="51"/>
  <c r="AK34" i="51"/>
  <c r="AK121" i="51"/>
  <c r="AK63" i="51"/>
  <c r="AK943" i="51"/>
  <c r="AK565" i="51"/>
  <c r="AK801" i="51"/>
  <c r="AK150" i="51"/>
  <c r="AK136" i="51"/>
  <c r="AK145" i="51"/>
  <c r="AK715" i="51"/>
  <c r="AK263" i="51"/>
  <c r="AK600" i="51"/>
  <c r="AK718" i="51"/>
  <c r="AK65" i="51"/>
  <c r="AK322" i="51"/>
  <c r="AK408" i="51"/>
  <c r="AK704" i="51"/>
  <c r="AK644" i="51"/>
  <c r="AK631" i="51"/>
  <c r="AK276" i="51"/>
  <c r="AK131" i="51"/>
  <c r="AK416" i="51"/>
  <c r="AK954" i="51"/>
  <c r="AK867" i="51"/>
  <c r="AK337" i="51"/>
  <c r="AK938" i="51"/>
  <c r="AK518" i="51"/>
  <c r="AK614" i="51"/>
  <c r="AK969" i="51"/>
  <c r="AK853" i="51"/>
  <c r="AK523" i="51"/>
  <c r="AK328" i="51"/>
  <c r="AK619" i="51"/>
  <c r="AK110" i="51"/>
  <c r="AK624" i="51"/>
  <c r="AK810" i="51"/>
  <c r="AK203" i="51"/>
  <c r="AK102" i="51"/>
  <c r="AK347" i="51"/>
  <c r="AK569" i="51"/>
  <c r="AK947" i="51"/>
  <c r="AK772" i="51"/>
  <c r="AK427" i="51"/>
  <c r="AK239" i="51"/>
  <c r="AK849" i="51"/>
  <c r="AK727" i="51"/>
  <c r="AK825" i="51"/>
  <c r="AK627" i="51"/>
  <c r="AK914" i="51"/>
  <c r="AK808" i="51"/>
  <c r="AK247" i="51"/>
  <c r="AK201" i="51"/>
  <c r="AK394" i="51"/>
  <c r="AK148" i="51"/>
  <c r="AK151" i="51"/>
  <c r="AK127" i="51"/>
  <c r="AK94" i="51"/>
  <c r="AK987" i="51"/>
  <c r="AK11" i="51"/>
  <c r="AK545" i="51"/>
  <c r="AK775" i="51"/>
  <c r="AK537" i="51"/>
  <c r="AK694" i="51"/>
  <c r="AK245" i="51"/>
  <c r="AK17" i="51"/>
  <c r="AK36" i="51"/>
  <c r="AK608" i="51"/>
  <c r="AK435" i="51"/>
  <c r="AK782" i="51"/>
  <c r="AK884" i="51"/>
  <c r="AK626" i="51"/>
  <c r="AK642" i="51"/>
  <c r="AK422" i="51"/>
  <c r="AK140" i="51"/>
  <c r="AK839" i="51"/>
  <c r="AK387" i="51"/>
  <c r="AK622" i="51"/>
  <c r="AK277" i="51"/>
  <c r="AK659" i="51"/>
  <c r="AK22" i="51"/>
  <c r="AK745" i="51"/>
  <c r="AK594" i="51"/>
  <c r="AK933" i="51"/>
  <c r="AK843" i="51"/>
  <c r="AK431" i="51"/>
  <c r="AK159" i="51"/>
  <c r="AK134" i="51"/>
  <c r="AK533" i="51"/>
  <c r="AK312" i="51"/>
  <c r="AK370" i="51"/>
  <c r="AK875" i="51"/>
  <c r="AK985" i="51"/>
  <c r="AK73" i="51"/>
  <c r="AK359" i="51"/>
  <c r="AK827" i="51"/>
  <c r="AK638" i="51"/>
  <c r="AK643" i="51"/>
  <c r="AK770" i="51"/>
  <c r="AK905" i="51"/>
  <c r="AK611" i="51"/>
  <c r="AK663" i="51"/>
  <c r="AK269" i="51"/>
  <c r="AK152" i="51"/>
  <c r="AK410" i="51"/>
  <c r="AK338" i="51"/>
  <c r="AK713" i="51"/>
  <c r="AK618" i="51"/>
  <c r="AK135" i="51"/>
  <c r="AK601" i="51"/>
  <c r="AK202" i="51"/>
  <c r="AK728" i="51"/>
  <c r="AK407" i="51"/>
  <c r="AK334" i="51"/>
  <c r="AK447" i="51"/>
  <c r="AK542" i="51"/>
  <c r="AK138" i="51"/>
  <c r="AK723" i="51"/>
  <c r="AK302" i="51"/>
  <c r="AK437" i="51"/>
  <c r="AK598" i="51"/>
  <c r="AK113" i="51"/>
  <c r="AK478" i="51"/>
  <c r="AK572" i="51"/>
  <c r="AK207" i="51"/>
  <c r="AK395" i="51"/>
  <c r="AK796" i="51"/>
  <c r="AK637" i="51"/>
  <c r="AK602" i="51"/>
  <c r="AK623" i="51"/>
  <c r="AK25" i="51"/>
  <c r="AK343" i="51"/>
  <c r="AK507" i="51"/>
  <c r="AK234" i="51"/>
  <c r="AK104" i="51"/>
  <c r="AK306" i="51"/>
  <c r="AK509" i="51"/>
  <c r="AK850" i="51"/>
  <c r="AK570" i="51"/>
  <c r="AK567" i="51"/>
  <c r="AK340" i="51"/>
  <c r="AK204" i="51"/>
  <c r="AK237" i="51"/>
  <c r="AK454" i="51"/>
  <c r="AK349" i="51"/>
  <c r="AK886" i="51"/>
  <c r="AK942" i="51"/>
  <c r="AK293" i="51"/>
  <c r="AK481" i="51"/>
  <c r="AK732" i="51"/>
  <c r="AK847" i="51"/>
  <c r="AK129" i="51"/>
  <c r="AK41" i="51"/>
  <c r="AK731" i="51"/>
  <c r="AK173" i="51"/>
  <c r="AK355" i="51"/>
  <c r="AK820" i="51"/>
  <c r="AK573" i="51"/>
  <c r="AK466" i="51"/>
  <c r="AK658" i="51"/>
  <c r="AK320" i="51"/>
  <c r="AK415" i="51"/>
  <c r="AK620" i="51"/>
  <c r="AK948" i="51"/>
  <c r="AK200" i="51"/>
  <c r="AK590" i="51"/>
  <c r="AK939" i="51"/>
  <c r="AK654" i="51"/>
  <c r="AK285" i="51"/>
  <c r="AK953" i="51"/>
  <c r="AK230" i="51"/>
  <c r="AK393" i="51"/>
  <c r="AK438" i="51"/>
  <c r="AK307" i="51"/>
  <c r="AK15" i="51"/>
  <c r="AK517" i="51"/>
  <c r="AK737" i="51"/>
  <c r="AK168" i="51"/>
  <c r="AK587" i="51"/>
  <c r="AK858" i="51"/>
  <c r="AK112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<sst xmlns="http://schemas.openxmlformats.org/spreadsheetml/2006/main" count="2526" uniqueCount="224">
  <si>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</si>
  <si>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</si>
  <si>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</si>
  <si>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</si>
  <si>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</si>
  <si>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</si>
  <si>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</si>
  <si>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</si>
  <si>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</si>
  <si>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</si>
  <si>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</si>
  <si>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</si>
  <si>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</si>
  <si>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</si>
  <si>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</si>
  <si>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</si>
  <si>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</si>
  <si>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</si>
  <si>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</si>
  <si>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</si>
  <si>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</si>
  <si>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</si>
  <si>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</si>
  <si>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</si>
  <si>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</si>
  <si>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</si>
  <si>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</si>
  <si>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</si>
  <si>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</si>
  <si>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</si>
  <si>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</si>
  <si>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</si>
  <si>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</si>
  <si>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</si>
  <si>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</si>
  <si>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</si>
  <si>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</si>
  <si>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</si>
  <si>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</si>
  <si>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</si>
  <si>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</si>
  <si>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</si>
  <si>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</si>
  <si>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</si>
  <si>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</si>
  <si>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</si>
  <si>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</si>
  <si>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</si>
  <si>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</si>
  <si>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</si>
  <si>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</si>
  <si>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</si>
  <si>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</si>
  <si>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</si>
  <si>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</si>
  <si>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</si>
  <si>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</si>
  <si>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</si>
  <si>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</si>
  <si>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</si>
  <si>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</si>
  <si>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</si>
  <si>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</si>
  <si>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</si>
  <si>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</si>
  <si>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</si>
  <si>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</si>
  <si>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</si>
  <si>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</si>
  <si>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</si>
  <si>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</si>
  <si>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</si>
  <si>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</si>
  <si>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</si>
  <si>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</si>
  <si>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</si>
  <si>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</si>
  <si>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</si>
  <si>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</si>
  <si>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</si>
  <si>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</si>
  <si>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</si>
  <si>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</si>
  <si>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</si>
  <si>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</si>
  <si>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</si>
  <si>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</si>
  <si>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</si>
  <si>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</si>
  <si>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</si>
  <si>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</si>
  <si>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</si>
  <si>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</si>
  <si>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</si>
  <si>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</si>
  <si>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</si>
  <si>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</si>
  <si>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</si>
  <si>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</si>
  <si>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</si>
  <si>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</si>
  <si>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</si>
  <si>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</si>
  <si>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</si>
  <si>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</si>
  <si>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</si>
  <si>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</si>
  <si>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</si>
  <si>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</si>
  <si>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</si>
  <si>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</si>
  <si>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</si>
  <si>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</si>
  <si>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</si>
  <si>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</si>
  <si>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</si>
  <si>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</si>
  <si>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</si>
  <si>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</si>
  <si>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</si>
  <si>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</si>
  <si>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</si>
  <si>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</si>
  <si>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</si>
  <si>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</si>
  <si>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</si>
  <si>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</si>
  <si>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</si>
  <si>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</si>
  <si>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</si>
  <si>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</si>
  <si>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</si>
  <si>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</si>
  <si>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</si>
  <si>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</si>
  <si>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</si>
  <si>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</si>
  <si>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</si>
  <si>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</si>
  <si>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</si>
  <si>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</si>
  <si>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</si>
  <si>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</si>
  <si>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</si>
  <si>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</si>
  <si>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</si>
  <si>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</si>
  <si>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</si>
  <si>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</si>
  <si>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</si>
  <si>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</si>
  <si>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</si>
  <si>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</si>
  <si>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</si>
  <si>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</si>
  <si>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</si>
  <si>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</si>
  <si>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</si>
  <si>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</si>
  <si>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</si>
  <si>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</si>
  <si>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</si>
  <si>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</si>
  <si>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</si>
  <si>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</si>
  <si>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</si>
  <si>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</si>
  <si>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</si>
  <si>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</si>
  <si>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</si>
  <si>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</si>
  <si>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</si>
  <si>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</si>
  <si>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</si>
  <si>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</si>
  <si>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</si>
  <si>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</si>
  <si>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</si>
  <si>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</si>
  <si>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</si>
  <si>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</si>
  <si>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</si>
  <si>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</si>
  <si>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</si>
  <si>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</si>
  <si>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</si>
  <si>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</si>
  <si>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</si>
  <si>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</si>
  <si>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</si>
  <si>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</si>
  <si>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</si>
  <si>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</si>
  <si>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</si>
  <si>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</si>
  <si>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</si>
  <si>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</si>
  <si>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</si>
  <si>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</si>
  <si>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</si>
  <si>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</si>
  <si>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</si>
  <si>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</si>
  <si>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</si>
  <si>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</si>
  <si>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</si>
  <si>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</si>
  <si>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</si>
  <si>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</si>
  <si>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</si>
  <si>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</si>
  <si>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</si>
  <si>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</si>
  <si>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</si>
  <si>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</si>
  <si>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</si>
  <si>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</si>
  <si>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</si>
  <si>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</si>
  <si>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</si>
  <si>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</si>
  <si>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</si>
  <si>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</si>
  <si>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DO NOT DELETE THIS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</si>
</sst>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28">
    <xf numFmtId="0" fontId="0" fillId="0" borderId="0" xfId="0"/>
    <xf numFmtId="3" fontId="16" fillId="0" borderId="1" xfId="0" applyNumberFormat="1" applyFont="1" applyFill="1" applyBorder="1" applyAlignment="1">
      <alignment horizontal="left" vertical="center" indent="1"/>
    </xf>
    <xf numFmtId="0" fontId="9" fillId="2" borderId="2" xfId="0" applyFont="1" applyFill="1" applyBorder="1" applyAlignment="1">
      <alignment horizontal="center"/>
    </xf>
    <xf numFmtId="1" fontId="10" fillId="2" borderId="3" xfId="0" applyNumberFormat="1" applyFont="1" applyFill="1" applyBorder="1" applyAlignment="1">
      <alignment horizontal="center" vertical="center"/>
    </xf>
    <xf numFmtId="1" fontId="9" fillId="0" borderId="4" xfId="0" applyNumberFormat="1" applyFont="1" applyFill="1" applyBorder="1" applyAlignment="1" applyProtection="1">
      <alignment horizontal="right" vertical="center"/>
    </xf>
    <xf numFmtId="3" fontId="16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7" fillId="3" borderId="0" xfId="0" applyFont="1" applyFill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7" fillId="3" borderId="0" xfId="0" applyFont="1" applyFill="1" applyBorder="1" applyProtection="1"/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7" fillId="3" borderId="0" xfId="0" applyFont="1" applyFill="1" applyAlignment="1" applyProtection="1">
      <alignment horizont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8" fillId="0" borderId="7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1" fontId="10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/>
    <xf numFmtId="0" fontId="12" fillId="3" borderId="6" xfId="0" applyFont="1" applyFill="1" applyBorder="1" applyAlignment="1" applyProtection="1"/>
    <xf numFmtId="0" fontId="11" fillId="3" borderId="6" xfId="0" applyFont="1" applyFill="1" applyBorder="1" applyAlignment="1" applyProtection="1"/>
    <xf numFmtId="0" fontId="13" fillId="0" borderId="5" xfId="0" applyFont="1" applyFill="1" applyBorder="1" applyAlignment="1" applyProtection="1">
      <alignment horizontal="center" vertical="center"/>
    </xf>
    <xf numFmtId="1" fontId="15" fillId="0" borderId="9" xfId="0" applyNumberFormat="1" applyFont="1" applyFill="1" applyBorder="1" applyAlignment="1" applyProtection="1">
      <alignment horizontal="left" vertical="center"/>
    </xf>
    <xf numFmtId="0" fontId="9" fillId="0" borderId="2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/>
      <protection locked="0"/>
    </xf>
    <xf numFmtId="3" fontId="14" fillId="0" borderId="10" xfId="0" applyNumberFormat="1" applyFont="1" applyFill="1" applyBorder="1" applyAlignment="1" applyProtection="1">
      <alignment horizontal="center"/>
      <protection locked="0"/>
    </xf>
    <xf numFmtId="1" fontId="12" fillId="3" borderId="6" xfId="0" applyNumberFormat="1" applyFont="1" applyFill="1" applyBorder="1" applyAlignment="1" applyProtection="1">
      <alignment horizontal="center" vertical="center"/>
    </xf>
    <xf numFmtId="0" fontId="15" fillId="0" borderId="6" xfId="0" applyFont="1" applyFill="1" applyBorder="1" applyAlignment="1" applyProtection="1">
      <alignment horizontal="left" vertical="center"/>
    </xf>
    <xf numFmtId="49" fontId="14" fillId="0" borderId="8" xfId="0" applyNumberFormat="1" applyFont="1" applyFill="1" applyBorder="1" applyAlignment="1" applyProtection="1">
      <alignment horizontal="center" vertical="center"/>
      <protection locked="0"/>
    </xf>
    <xf numFmtId="49" fontId="17" fillId="0" borderId="11" xfId="0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right" vertical="center"/>
      <protection locked="0"/>
    </xf>
    <xf numFmtId="1" fontId="14" fillId="0" borderId="13" xfId="0" applyNumberFormat="1" applyFont="1" applyFill="1" applyBorder="1" applyAlignment="1" applyProtection="1">
      <alignment horizontal="left" vertical="center"/>
      <protection locked="0"/>
    </xf>
    <xf numFmtId="3" fontId="14" fillId="0" borderId="11" xfId="0" applyNumberFormat="1" applyFont="1" applyFill="1" applyBorder="1" applyAlignment="1" applyProtection="1">
      <alignment horizontal="center" vertical="center"/>
      <protection locked="0"/>
    </xf>
    <xf numFmtId="4" fontId="15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3" borderId="0" xfId="0" applyFont="1" applyFill="1"/>
    <xf numFmtId="0" fontId="9" fillId="0" borderId="6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37" fontId="14" fillId="0" borderId="13" xfId="1" applyNumberFormat="1" applyFont="1" applyFill="1" applyBorder="1" applyAlignment="1" applyProtection="1">
      <alignment horizontal="center" vertical="center"/>
      <protection locked="0"/>
    </xf>
    <xf numFmtId="37" fontId="15" fillId="0" borderId="10" xfId="1" applyNumberFormat="1" applyFont="1" applyFill="1" applyBorder="1" applyAlignment="1">
      <alignment horizontal="center" vertical="center"/>
    </xf>
    <xf numFmtId="1" fontId="14" fillId="0" borderId="14" xfId="0" applyNumberFormat="1" applyFont="1" applyFill="1" applyBorder="1" applyAlignment="1" applyProtection="1">
      <alignment horizontal="center" vertical="center"/>
      <protection locked="0"/>
    </xf>
    <xf numFmtId="3" fontId="14" fillId="0" borderId="3" xfId="0" applyNumberFormat="1" applyFont="1" applyFill="1" applyBorder="1" applyAlignment="1" applyProtection="1">
      <alignment horizontal="center" vertical="center"/>
      <protection locked="0"/>
    </xf>
    <xf numFmtId="1" fontId="14" fillId="0" borderId="3" xfId="0" applyNumberFormat="1" applyFont="1" applyFill="1" applyBorder="1" applyAlignment="1" applyProtection="1">
      <alignment horizontal="center" vertical="center"/>
      <protection locked="0"/>
    </xf>
    <xf numFmtId="37" fontId="16" fillId="0" borderId="15" xfId="1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49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18" xfId="1" applyNumberFormat="1" applyFont="1" applyFill="1" applyBorder="1" applyAlignment="1" applyProtection="1">
      <alignment horizontal="center" vertical="center"/>
      <protection locked="0"/>
    </xf>
    <xf numFmtId="165" fontId="14" fillId="0" borderId="13" xfId="0" applyNumberFormat="1" applyFont="1" applyFill="1" applyBorder="1" applyAlignment="1" applyProtection="1">
      <alignment horizontal="right" vertical="center"/>
      <protection locked="0"/>
    </xf>
    <xf numFmtId="166" fontId="14" fillId="0" borderId="13" xfId="0" applyNumberFormat="1" applyFont="1" applyFill="1" applyBorder="1" applyAlignment="1" applyProtection="1">
      <alignment horizontal="left" vertical="center"/>
      <protection locked="0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9" xfId="0" applyNumberFormat="1" applyFont="1" applyFill="1" applyBorder="1" applyAlignment="1" applyProtection="1">
      <alignment horizontal="left" vertical="center"/>
      <protection locked="0"/>
    </xf>
    <xf numFmtId="166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0" xfId="0" applyNumberFormat="1" applyFont="1" applyFill="1" applyBorder="1" applyAlignment="1" applyProtection="1">
      <alignment horizontal="center" vertical="center"/>
      <protection locked="0"/>
    </xf>
    <xf numFmtId="1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20" xfId="1" applyNumberFormat="1" applyFont="1" applyFill="1" applyBorder="1" applyAlignment="1" applyProtection="1">
      <alignment horizontal="center" vertical="center"/>
      <protection locked="0"/>
    </xf>
    <xf numFmtId="49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right" vertical="center"/>
    </xf>
    <xf numFmtId="0" fontId="14" fillId="0" borderId="21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3" fontId="14" fillId="0" borderId="23" xfId="0" applyNumberFormat="1" applyFont="1" applyFill="1" applyBorder="1" applyAlignment="1" applyProtection="1">
      <alignment horizontal="center"/>
      <protection locked="0"/>
    </xf>
    <xf numFmtId="0" fontId="7" fillId="3" borderId="6" xfId="0" applyFont="1" applyFill="1" applyBorder="1" applyProtection="1"/>
    <xf numFmtId="0" fontId="15" fillId="0" borderId="5" xfId="0" applyFont="1" applyFill="1" applyBorder="1" applyAlignment="1" applyProtection="1">
      <alignment horizontal="left" vertical="center"/>
    </xf>
    <xf numFmtId="49" fontId="14" fillId="0" borderId="24" xfId="0" applyNumberFormat="1" applyFont="1" applyFill="1" applyBorder="1" applyAlignment="1" applyProtection="1">
      <alignment horizontal="center" vertical="center"/>
      <protection locked="0"/>
    </xf>
    <xf numFmtId="37" fontId="14" fillId="0" borderId="25" xfId="1" applyNumberFormat="1" applyFont="1" applyFill="1" applyBorder="1" applyAlignment="1" applyProtection="1">
      <alignment horizontal="center" vertical="center"/>
      <protection locked="0"/>
    </xf>
    <xf numFmtId="165" fontId="14" fillId="0" borderId="26" xfId="0" applyNumberFormat="1" applyFont="1" applyFill="1" applyBorder="1" applyAlignment="1" applyProtection="1">
      <alignment horizontal="right" vertical="center"/>
      <protection locked="0"/>
    </xf>
    <xf numFmtId="166" fontId="14" fillId="0" borderId="26" xfId="0" applyNumberFormat="1" applyFont="1" applyFill="1" applyBorder="1" applyAlignment="1" applyProtection="1">
      <alignment horizontal="left" vertical="center"/>
      <protection locked="0"/>
    </xf>
    <xf numFmtId="1" fontId="14" fillId="0" borderId="21" xfId="0" applyNumberFormat="1" applyFont="1" applyFill="1" applyBorder="1" applyAlignment="1" applyProtection="1">
      <alignment horizontal="center" vertical="center"/>
      <protection locked="0"/>
    </xf>
    <xf numFmtId="165" fontId="14" fillId="0" borderId="22" xfId="0" applyNumberFormat="1" applyFont="1" applyFill="1" applyBorder="1" applyAlignment="1" applyProtection="1">
      <alignment horizontal="right" vertical="center"/>
      <protection locked="0"/>
    </xf>
    <xf numFmtId="166" fontId="14" fillId="0" borderId="27" xfId="0" applyNumberFormat="1" applyFont="1" applyFill="1" applyBorder="1" applyAlignment="1" applyProtection="1">
      <alignment horizontal="left" vertical="center"/>
      <protection locked="0"/>
    </xf>
    <xf numFmtId="166" fontId="14" fillId="0" borderId="21" xfId="0" applyNumberFormat="1" applyFont="1" applyFill="1" applyBorder="1" applyAlignment="1" applyProtection="1">
      <alignment horizontal="center" vertical="center"/>
      <protection locked="0"/>
    </xf>
    <xf numFmtId="166" fontId="14" fillId="0" borderId="23" xfId="0" applyNumberFormat="1" applyFont="1" applyFill="1" applyBorder="1" applyAlignment="1" applyProtection="1">
      <alignment horizontal="center" vertical="center"/>
      <protection locked="0"/>
    </xf>
    <xf numFmtId="1" fontId="14" fillId="0" borderId="24" xfId="0" applyNumberFormat="1" applyFont="1" applyFill="1" applyBorder="1" applyAlignment="1" applyProtection="1">
      <alignment horizontal="center" vertical="center"/>
      <protection locked="0"/>
    </xf>
    <xf numFmtId="165" fontId="14" fillId="0" borderId="28" xfId="0" applyNumberFormat="1" applyFont="1" applyFill="1" applyBorder="1" applyAlignment="1" applyProtection="1">
      <alignment horizontal="right" vertical="center"/>
      <protection locked="0"/>
    </xf>
    <xf numFmtId="166" fontId="14" fillId="0" borderId="28" xfId="0" applyNumberFormat="1" applyFont="1" applyFill="1" applyBorder="1" applyAlignment="1" applyProtection="1">
      <alignment horizontal="left" vertical="center"/>
      <protection locked="0"/>
    </xf>
    <xf numFmtId="1" fontId="14" fillId="0" borderId="29" xfId="0" applyNumberFormat="1" applyFont="1" applyFill="1" applyBorder="1" applyAlignment="1" applyProtection="1">
      <alignment horizontal="center" vertical="center"/>
      <protection locked="0"/>
    </xf>
    <xf numFmtId="165" fontId="14" fillId="0" borderId="30" xfId="0" applyNumberFormat="1" applyFont="1" applyFill="1" applyBorder="1" applyAlignment="1" applyProtection="1">
      <alignment horizontal="right" vertical="center"/>
      <protection locked="0"/>
    </xf>
    <xf numFmtId="166" fontId="14" fillId="0" borderId="31" xfId="0" applyNumberFormat="1" applyFont="1" applyFill="1" applyBorder="1" applyAlignment="1" applyProtection="1">
      <alignment horizontal="left" vertical="center"/>
      <protection locked="0"/>
    </xf>
    <xf numFmtId="166" fontId="14" fillId="0" borderId="29" xfId="0" applyNumberFormat="1" applyFont="1" applyFill="1" applyBorder="1" applyAlignment="1" applyProtection="1">
      <alignment horizontal="center" vertical="center"/>
      <protection locked="0"/>
    </xf>
    <xf numFmtId="166" fontId="14" fillId="0" borderId="32" xfId="0" applyNumberFormat="1" applyFont="1" applyFill="1" applyBorder="1" applyAlignment="1" applyProtection="1">
      <alignment horizontal="center" vertical="center"/>
      <protection locked="0"/>
    </xf>
    <xf numFmtId="1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4" fillId="0" borderId="21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0" fontId="17" fillId="0" borderId="33" xfId="0" applyFont="1" applyFill="1" applyBorder="1" applyAlignment="1" applyProtection="1">
      <alignment horizontal="center" vertical="center"/>
      <protection locked="0"/>
    </xf>
    <xf numFmtId="3" fontId="14" fillId="0" borderId="33" xfId="0" applyNumberFormat="1" applyFont="1" applyFill="1" applyBorder="1" applyAlignment="1" applyProtection="1">
      <alignment horizontal="center" vertical="center"/>
      <protection locked="0"/>
    </xf>
    <xf numFmtId="37" fontId="14" fillId="0" borderId="26" xfId="1" applyNumberFormat="1" applyFont="1" applyFill="1" applyBorder="1" applyAlignment="1" applyProtection="1">
      <alignment horizontal="center" vertical="center"/>
      <protection locked="0"/>
    </xf>
    <xf numFmtId="37" fontId="15" fillId="0" borderId="23" xfId="1" applyNumberFormat="1" applyFont="1" applyFill="1" applyBorder="1" applyAlignment="1">
      <alignment horizontal="center" vertical="center"/>
    </xf>
    <xf numFmtId="0" fontId="14" fillId="0" borderId="29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Fill="1" applyBorder="1" applyAlignment="1" applyProtection="1">
      <alignment horizontal="center" vertical="center"/>
      <protection locked="0"/>
    </xf>
    <xf numFmtId="3" fontId="14" fillId="0" borderId="34" xfId="0" applyNumberFormat="1" applyFont="1" applyFill="1" applyBorder="1" applyAlignment="1" applyProtection="1">
      <alignment horizontal="center" vertical="center"/>
      <protection locked="0"/>
    </xf>
    <xf numFmtId="37" fontId="14" fillId="0" borderId="28" xfId="1" applyNumberFormat="1" applyFont="1" applyFill="1" applyBorder="1" applyAlignment="1" applyProtection="1">
      <alignment horizontal="center" vertical="center"/>
      <protection locked="0"/>
    </xf>
    <xf numFmtId="37" fontId="15" fillId="0" borderId="32" xfId="1" applyNumberFormat="1" applyFont="1" applyFill="1" applyBorder="1" applyAlignment="1">
      <alignment horizontal="center" vertical="center"/>
    </xf>
    <xf numFmtId="4" fontId="14" fillId="0" borderId="11" xfId="0" applyNumberFormat="1" applyFont="1" applyFill="1" applyBorder="1" applyAlignment="1" applyProtection="1">
      <alignment horizontal="center" vertical="center"/>
      <protection locked="0"/>
    </xf>
    <xf numFmtId="49" fontId="14" fillId="0" borderId="21" xfId="0" applyNumberFormat="1" applyFont="1" applyFill="1" applyBorder="1" applyAlignment="1" applyProtection="1">
      <alignment horizontal="center" vertical="center"/>
      <protection locked="0"/>
    </xf>
    <xf numFmtId="49" fontId="17" fillId="0" borderId="33" xfId="0" applyNumberFormat="1" applyFont="1" applyFill="1" applyBorder="1" applyAlignment="1" applyProtection="1">
      <alignment horizontal="center" vertical="center"/>
      <protection locked="0"/>
    </xf>
    <xf numFmtId="1" fontId="14" fillId="0" borderId="26" xfId="0" applyNumberFormat="1" applyFont="1" applyFill="1" applyBorder="1" applyAlignment="1" applyProtection="1">
      <alignment horizontal="left" vertical="center"/>
      <protection locked="0"/>
    </xf>
    <xf numFmtId="4" fontId="14" fillId="0" borderId="33" xfId="0" applyNumberFormat="1" applyFont="1" applyFill="1" applyBorder="1" applyAlignment="1" applyProtection="1">
      <alignment horizontal="center" vertical="center"/>
      <protection locked="0"/>
    </xf>
    <xf numFmtId="4" fontId="15" fillId="0" borderId="23" xfId="0" applyNumberFormat="1" applyFont="1" applyFill="1" applyBorder="1" applyAlignment="1" applyProtection="1">
      <alignment horizontal="center" vertical="center"/>
    </xf>
    <xf numFmtId="49" fontId="14" fillId="0" borderId="29" xfId="0" applyNumberFormat="1" applyFont="1" applyFill="1" applyBorder="1" applyAlignment="1" applyProtection="1">
      <alignment horizontal="center" vertical="center"/>
      <protection locked="0"/>
    </xf>
    <xf numFmtId="49" fontId="17" fillId="0" borderId="34" xfId="0" applyNumberFormat="1" applyFont="1" applyFill="1" applyBorder="1" applyAlignment="1" applyProtection="1">
      <alignment horizontal="center" vertical="center"/>
      <protection locked="0"/>
    </xf>
    <xf numFmtId="1" fontId="14" fillId="0" borderId="28" xfId="0" applyNumberFormat="1" applyFont="1" applyFill="1" applyBorder="1" applyAlignment="1" applyProtection="1">
      <alignment horizontal="left" vertical="center"/>
      <protection locked="0"/>
    </xf>
    <xf numFmtId="4" fontId="14" fillId="0" borderId="34" xfId="0" applyNumberFormat="1" applyFont="1" applyFill="1" applyBorder="1" applyAlignment="1" applyProtection="1">
      <alignment horizontal="center" vertical="center"/>
      <protection locked="0"/>
    </xf>
    <xf numFmtId="4" fontId="15" fillId="0" borderId="32" xfId="0" applyNumberFormat="1" applyFont="1" applyFill="1" applyBorder="1" applyAlignment="1" applyProtection="1">
      <alignment horizontal="center" vertical="center"/>
    </xf>
    <xf numFmtId="0" fontId="14" fillId="0" borderId="29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3" fontId="14" fillId="0" borderId="32" xfId="0" applyNumberFormat="1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49" fontId="14" fillId="0" borderId="8" xfId="0" applyNumberFormat="1" applyFont="1" applyFill="1" applyBorder="1" applyAlignment="1" applyProtection="1">
      <alignment horizontal="center"/>
      <protection locked="0"/>
    </xf>
    <xf numFmtId="0" fontId="21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7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7" fillId="3" borderId="0" xfId="0" applyFont="1" applyFill="1" applyAlignment="1" applyProtection="1">
      <alignment horizontal="left" indent="1"/>
    </xf>
    <xf numFmtId="0" fontId="7" fillId="3" borderId="0" xfId="0" applyFont="1" applyFill="1" applyBorder="1" applyAlignment="1" applyProtection="1">
      <alignment horizontal="left" indent="1"/>
    </xf>
    <xf numFmtId="18" fontId="7" fillId="3" borderId="0" xfId="0" applyNumberFormat="1" applyFont="1" applyFill="1" applyBorder="1" applyAlignment="1" applyProtection="1">
      <alignment horizontal="left" indent="1"/>
    </xf>
    <xf numFmtId="0" fontId="13" fillId="0" borderId="36" xfId="0" applyFont="1" applyFill="1" applyBorder="1" applyAlignment="1" applyProtection="1">
      <alignment horizontal="center"/>
    </xf>
    <xf numFmtId="0" fontId="13" fillId="0" borderId="37" xfId="0" applyFont="1" applyFill="1" applyBorder="1" applyAlignment="1" applyProtection="1">
      <alignment horizontal="center"/>
    </xf>
    <xf numFmtId="0" fontId="13" fillId="0" borderId="38" xfId="0" applyFont="1" applyFill="1" applyBorder="1" applyAlignment="1" applyProtection="1">
      <alignment horizontal="center"/>
    </xf>
    <xf numFmtId="0" fontId="13" fillId="0" borderId="39" xfId="0" applyFont="1" applyFill="1" applyBorder="1" applyAlignment="1" applyProtection="1">
      <alignment horizontal="center"/>
    </xf>
    <xf numFmtId="0" fontId="13" fillId="0" borderId="4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right"/>
    </xf>
    <xf numFmtId="167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center"/>
    </xf>
    <xf numFmtId="1" fontId="22" fillId="0" borderId="41" xfId="0" applyNumberFormat="1" applyFont="1" applyFill="1" applyBorder="1" applyAlignment="1" applyProtection="1">
      <alignment horizontal="left"/>
    </xf>
    <xf numFmtId="0" fontId="17" fillId="0" borderId="35" xfId="0" applyFont="1" applyFill="1" applyBorder="1" applyAlignment="1" applyProtection="1">
      <alignment horizontal="center"/>
      <protection locked="0"/>
    </xf>
    <xf numFmtId="3" fontId="14" fillId="0" borderId="42" xfId="0" applyNumberFormat="1" applyFont="1" applyFill="1" applyBorder="1" applyAlignment="1" applyProtection="1">
      <alignment horizontal="center"/>
      <protection locked="0"/>
    </xf>
    <xf numFmtId="0" fontId="14" fillId="0" borderId="43" xfId="0" applyFont="1" applyFill="1" applyBorder="1" applyAlignment="1" applyProtection="1">
      <alignment horizontal="center"/>
      <protection locked="0"/>
    </xf>
    <xf numFmtId="3" fontId="14" fillId="0" borderId="19" xfId="0" applyNumberFormat="1" applyFont="1" applyFill="1" applyBorder="1" applyAlignment="1" applyProtection="1">
      <alignment horizontal="center"/>
      <protection locked="0"/>
    </xf>
    <xf numFmtId="0" fontId="14" fillId="0" borderId="17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0" fontId="17" fillId="0" borderId="44" xfId="0" applyFont="1" applyFill="1" applyBorder="1" applyAlignment="1" applyProtection="1">
      <alignment horizontal="center"/>
      <protection locked="0"/>
    </xf>
    <xf numFmtId="3" fontId="14" fillId="0" borderId="45" xfId="0" applyNumberFormat="1" applyFont="1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 applyProtection="1">
      <alignment horizontal="center"/>
      <protection locked="0"/>
    </xf>
    <xf numFmtId="3" fontId="14" fillId="0" borderId="47" xfId="0" applyNumberFormat="1" applyFont="1" applyFill="1" applyBorder="1" applyAlignment="1" applyProtection="1">
      <alignment horizontal="center"/>
      <protection locked="0"/>
    </xf>
    <xf numFmtId="49" fontId="14" fillId="0" borderId="17" xfId="0" applyNumberFormat="1" applyFont="1" applyFill="1" applyBorder="1" applyAlignment="1" applyProtection="1">
      <alignment horizontal="center"/>
      <protection locked="0"/>
    </xf>
    <xf numFmtId="1" fontId="25" fillId="0" borderId="0" xfId="0" applyNumberFormat="1" applyFont="1" applyFill="1" applyBorder="1" applyAlignment="1" applyProtection="1">
      <alignment horizontal="center"/>
    </xf>
    <xf numFmtId="0" fontId="8" fillId="0" borderId="48" xfId="0" applyFont="1" applyFill="1" applyBorder="1" applyAlignment="1" applyProtection="1">
      <alignment horizontal="center"/>
    </xf>
    <xf numFmtId="1" fontId="14" fillId="0" borderId="37" xfId="0" applyNumberFormat="1" applyFont="1" applyFill="1" applyBorder="1" applyAlignment="1" applyProtection="1">
      <alignment horizontal="center" vertical="center"/>
      <protection locked="0"/>
    </xf>
    <xf numFmtId="1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6" xfId="0" applyFont="1" applyFill="1" applyBorder="1" applyAlignment="1" applyProtection="1">
      <alignment horizontal="center"/>
    </xf>
    <xf numFmtId="165" fontId="14" fillId="0" borderId="49" xfId="0" applyNumberFormat="1" applyFont="1" applyFill="1" applyBorder="1" applyAlignment="1" applyProtection="1">
      <alignment horizontal="right" vertical="center"/>
      <protection locked="0"/>
    </xf>
    <xf numFmtId="166" fontId="14" fillId="0" borderId="50" xfId="0" applyNumberFormat="1" applyFont="1" applyFill="1" applyBorder="1" applyAlignment="1" applyProtection="1">
      <alignment horizontal="left" vertical="center"/>
      <protection locked="0"/>
    </xf>
    <xf numFmtId="49" fontId="14" fillId="0" borderId="18" xfId="1" applyNumberFormat="1" applyFont="1" applyFill="1" applyBorder="1" applyAlignment="1" applyProtection="1">
      <alignment horizontal="center" vertical="center"/>
      <protection locked="0"/>
    </xf>
    <xf numFmtId="49" fontId="14" fillId="0" borderId="51" xfId="1" applyNumberFormat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/>
    <xf numFmtId="0" fontId="9" fillId="0" borderId="52" xfId="0" applyFont="1" applyFill="1" applyBorder="1" applyAlignment="1" applyProtection="1">
      <alignment horizontal="right" vertical="center"/>
    </xf>
    <xf numFmtId="1" fontId="15" fillId="0" borderId="9" xfId="0" applyNumberFormat="1" applyFont="1" applyFill="1" applyBorder="1" applyAlignment="1" applyProtection="1">
      <alignment horizontal="center" vertical="center"/>
    </xf>
    <xf numFmtId="38" fontId="14" fillId="0" borderId="36" xfId="0" applyNumberFormat="1" applyFont="1" applyFill="1" applyBorder="1" applyAlignment="1" applyProtection="1">
      <alignment horizontal="center" vertical="center"/>
      <protection locked="0"/>
    </xf>
    <xf numFmtId="38" fontId="14" fillId="0" borderId="8" xfId="0" applyNumberFormat="1" applyFont="1" applyFill="1" applyBorder="1" applyAlignment="1" applyProtection="1">
      <alignment horizontal="center" vertical="center"/>
      <protection locked="0"/>
    </xf>
    <xf numFmtId="1" fontId="14" fillId="4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Font="1" applyFill="1" applyBorder="1" applyAlignment="1" applyProtection="1">
      <alignment horizontal="center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1" fontId="14" fillId="4" borderId="25" xfId="0" applyNumberFormat="1" applyFont="1" applyFill="1" applyBorder="1" applyAlignment="1" applyProtection="1">
      <alignment horizontal="center" vertical="center"/>
      <protection locked="0"/>
    </xf>
    <xf numFmtId="1" fontId="14" fillId="4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44" xfId="0" applyFont="1" applyFill="1" applyBorder="1" applyAlignment="1" applyProtection="1">
      <alignment horizontal="center"/>
    </xf>
    <xf numFmtId="49" fontId="14" fillId="0" borderId="56" xfId="0" applyNumberFormat="1" applyFont="1" applyFill="1" applyBorder="1" applyAlignment="1" applyProtection="1">
      <alignment horizontal="center" vertical="center"/>
      <protection locked="0"/>
    </xf>
    <xf numFmtId="1" fontId="14" fillId="0" borderId="39" xfId="0" applyNumberFormat="1" applyFont="1" applyFill="1" applyBorder="1" applyAlignment="1" applyProtection="1">
      <alignment horizontal="center" vertical="center"/>
      <protection locked="0"/>
    </xf>
    <xf numFmtId="1" fontId="14" fillId="0" borderId="43" xfId="0" applyNumberFormat="1" applyFont="1" applyFill="1" applyBorder="1" applyAlignment="1" applyProtection="1">
      <alignment horizontal="center" vertical="center"/>
      <protection locked="0"/>
    </xf>
    <xf numFmtId="1" fontId="14" fillId="0" borderId="46" xfId="0" applyNumberFormat="1" applyFont="1" applyFill="1" applyBorder="1" applyAlignment="1" applyProtection="1">
      <alignment horizontal="center" vertical="center"/>
      <protection locked="0"/>
    </xf>
    <xf numFmtId="1" fontId="36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7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7" fillId="5" borderId="60" xfId="0" applyFont="1" applyFill="1" applyBorder="1" applyAlignment="1" applyProtection="1">
      <alignment horizontal="left"/>
      <protection hidden="1"/>
    </xf>
    <xf numFmtId="0" fontId="38" fillId="5" borderId="58" xfId="0" applyFont="1" applyFill="1" applyBorder="1" applyAlignment="1" applyProtection="1">
      <alignment horizontal="center" vertical="center"/>
      <protection hidden="1"/>
    </xf>
    <xf numFmtId="0" fontId="42" fillId="5" borderId="0" xfId="0" applyFont="1" applyFill="1" applyBorder="1" applyAlignment="1" applyProtection="1">
      <alignment horizontal="left" vertical="center"/>
      <protection hidden="1"/>
    </xf>
    <xf numFmtId="0" fontId="38" fillId="5" borderId="59" xfId="0" applyFont="1" applyFill="1" applyBorder="1" applyAlignment="1" applyProtection="1">
      <alignment horizontal="center" vertical="center"/>
      <protection hidden="1"/>
    </xf>
    <xf numFmtId="0" fontId="42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8" fillId="5" borderId="61" xfId="0" applyFont="1" applyFill="1" applyBorder="1" applyAlignment="1" applyProtection="1">
      <alignment horizontal="center" vertical="center"/>
      <protection hidden="1"/>
    </xf>
    <xf numFmtId="1" fontId="36" fillId="5" borderId="62" xfId="0" applyNumberFormat="1" applyFont="1" applyFill="1" applyBorder="1" applyAlignment="1" applyProtection="1">
      <alignment horizontal="center" vertical="center"/>
      <protection hidden="1"/>
    </xf>
    <xf numFmtId="0" fontId="41" fillId="5" borderId="62" xfId="0" applyFont="1" applyFill="1" applyBorder="1" applyAlignment="1" applyProtection="1">
      <alignment horizontal="left" vertical="center"/>
      <protection hidden="1"/>
    </xf>
    <xf numFmtId="0" fontId="38" fillId="5" borderId="63" xfId="0" applyFont="1" applyFill="1" applyBorder="1" applyAlignment="1" applyProtection="1">
      <alignment horizontal="center" vertical="center"/>
      <protection hidden="1"/>
    </xf>
    <xf numFmtId="0" fontId="41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6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9" fillId="6" borderId="69" xfId="0" applyFont="1" applyFill="1" applyBorder="1" applyAlignment="1" applyProtection="1">
      <alignment horizontal="center" vertical="center" wrapText="1"/>
      <protection hidden="1"/>
    </xf>
    <xf numFmtId="1" fontId="40" fillId="6" borderId="70" xfId="0" applyNumberFormat="1" applyFont="1" applyFill="1" applyBorder="1" applyAlignment="1" applyProtection="1">
      <alignment horizontal="center" vertical="center"/>
      <protection hidden="1"/>
    </xf>
    <xf numFmtId="0" fontId="40" fillId="6" borderId="70" xfId="0" applyFont="1" applyFill="1" applyBorder="1" applyAlignment="1" applyProtection="1">
      <alignment horizontal="center" vertical="center"/>
      <protection hidden="1"/>
    </xf>
    <xf numFmtId="0" fontId="39" fillId="6" borderId="70" xfId="0" applyFont="1" applyFill="1" applyBorder="1" applyAlignment="1" applyProtection="1">
      <alignment horizontal="center" vertical="center" wrapText="1"/>
      <protection hidden="1"/>
    </xf>
    <xf numFmtId="0" fontId="40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8" fillId="0" borderId="0" xfId="0" applyFont="1" applyBorder="1" applyAlignment="1" applyProtection="1">
      <alignment horizontal="right"/>
      <protection hidden="1"/>
    </xf>
    <xf numFmtId="14" fontId="6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6" fillId="0" borderId="26" xfId="0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8" fillId="0" borderId="72" xfId="0" applyFont="1" applyBorder="1" applyAlignment="1" applyProtection="1">
      <alignment horizontal="center"/>
      <protection hidden="1"/>
    </xf>
    <xf numFmtId="0" fontId="8" fillId="0" borderId="73" xfId="0" applyFont="1" applyBorder="1" applyAlignment="1" applyProtection="1">
      <alignment horizontal="center"/>
      <protection hidden="1"/>
    </xf>
    <xf numFmtId="0" fontId="6" fillId="0" borderId="74" xfId="0" applyFont="1" applyFill="1" applyBorder="1" applyAlignment="1" applyProtection="1">
      <alignment horizontal="center"/>
      <protection hidden="1"/>
    </xf>
    <xf numFmtId="0" fontId="5" fillId="0" borderId="75" xfId="0" applyFont="1" applyFill="1" applyBorder="1" applyAlignment="1" applyProtection="1">
      <alignment horizontal="center"/>
      <protection hidden="1"/>
    </xf>
    <xf numFmtId="0" fontId="5" fillId="0" borderId="76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Protection="1">
      <protection hidden="1"/>
    </xf>
    <xf numFmtId="0" fontId="5" fillId="0" borderId="78" xfId="0" applyFont="1" applyFill="1" applyBorder="1" applyProtection="1">
      <protection hidden="1"/>
    </xf>
    <xf numFmtId="0" fontId="5" fillId="0" borderId="79" xfId="0" applyFont="1" applyFill="1" applyBorder="1" applyProtection="1">
      <protection hidden="1"/>
    </xf>
    <xf numFmtId="0" fontId="5" fillId="0" borderId="76" xfId="0" applyFont="1" applyFill="1" applyBorder="1" applyProtection="1">
      <protection hidden="1"/>
    </xf>
    <xf numFmtId="0" fontId="5" fillId="0" borderId="80" xfId="0" applyFont="1" applyFill="1" applyBorder="1" applyProtection="1">
      <protection hidden="1"/>
    </xf>
    <xf numFmtId="0" fontId="5" fillId="0" borderId="81" xfId="0" applyFont="1" applyFill="1" applyBorder="1" applyProtection="1">
      <protection hidden="1"/>
    </xf>
    <xf numFmtId="49" fontId="17" fillId="3" borderId="18" xfId="0" applyNumberFormat="1" applyFont="1" applyFill="1" applyBorder="1" applyAlignment="1" applyProtection="1">
      <alignment horizontal="center" vertical="center"/>
      <protection locked="0"/>
    </xf>
    <xf numFmtId="0" fontId="4" fillId="0" borderId="0" xfId="2"/>
    <xf numFmtId="0" fontId="8" fillId="0" borderId="7" xfId="2" applyFont="1" applyFill="1" applyBorder="1" applyAlignment="1" applyProtection="1">
      <alignment horizontal="center"/>
    </xf>
    <xf numFmtId="0" fontId="8" fillId="0" borderId="17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8" fillId="0" borderId="104" xfId="2" applyFont="1" applyFill="1" applyBorder="1" applyAlignment="1" applyProtection="1">
      <alignment horizontal="center"/>
    </xf>
    <xf numFmtId="0" fontId="8" fillId="0" borderId="44" xfId="2" applyFont="1" applyFill="1" applyBorder="1" applyAlignment="1" applyProtection="1">
      <alignment horizontal="center"/>
    </xf>
    <xf numFmtId="0" fontId="8" fillId="0" borderId="105" xfId="2" applyFont="1" applyFill="1" applyBorder="1" applyAlignment="1" applyProtection="1">
      <alignment horizontal="center"/>
    </xf>
    <xf numFmtId="0" fontId="8" fillId="0" borderId="88" xfId="2" applyFont="1" applyFill="1" applyBorder="1" applyAlignment="1" applyProtection="1">
      <alignment horizontal="center"/>
    </xf>
    <xf numFmtId="49" fontId="14" fillId="0" borderId="51" xfId="2" applyNumberFormat="1" applyFont="1" applyFill="1" applyBorder="1" applyAlignment="1" applyProtection="1">
      <alignment horizontal="center" vertical="center"/>
      <protection locked="0"/>
    </xf>
    <xf numFmtId="165" fontId="14" fillId="0" borderId="25" xfId="2" applyNumberFormat="1" applyFont="1" applyFill="1" applyBorder="1" applyAlignment="1" applyProtection="1">
      <alignment horizontal="right" vertical="center"/>
      <protection locked="0"/>
    </xf>
    <xf numFmtId="166" fontId="14" fillId="0" borderId="27" xfId="2" applyNumberFormat="1" applyFont="1" applyFill="1" applyBorder="1" applyAlignment="1" applyProtection="1">
      <alignment horizontal="left" vertical="center"/>
      <protection locked="0"/>
    </xf>
    <xf numFmtId="1" fontId="14" fillId="4" borderId="21" xfId="2" applyNumberFormat="1" applyFont="1" applyFill="1" applyBorder="1" applyAlignment="1" applyProtection="1">
      <alignment horizontal="center" vertical="center"/>
      <protection locked="0"/>
    </xf>
    <xf numFmtId="165" fontId="14" fillId="0" borderId="22" xfId="2" applyNumberFormat="1" applyFont="1" applyFill="1" applyBorder="1" applyAlignment="1" applyProtection="1">
      <alignment horizontal="right" vertical="center"/>
      <protection locked="0"/>
    </xf>
    <xf numFmtId="1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3" xfId="2" applyNumberFormat="1" applyFont="1" applyFill="1" applyBorder="1" applyAlignment="1" applyProtection="1">
      <alignment horizontal="center" vertical="center"/>
      <protection locked="0"/>
    </xf>
    <xf numFmtId="1" fontId="14" fillId="0" borderId="24" xfId="2" applyNumberFormat="1" applyFont="1" applyFill="1" applyBorder="1" applyAlignment="1" applyProtection="1">
      <alignment horizontal="center" vertical="center"/>
      <protection locked="0"/>
    </xf>
    <xf numFmtId="1" fontId="14" fillId="0" borderId="36" xfId="2" applyNumberFormat="1" applyFont="1" applyFill="1" applyBorder="1" applyAlignment="1" applyProtection="1">
      <alignment horizontal="center" vertical="center"/>
      <protection locked="0"/>
    </xf>
    <xf numFmtId="49" fontId="14" fillId="0" borderId="56" xfId="2" applyNumberFormat="1" applyFont="1" applyFill="1" applyBorder="1" applyAlignment="1" applyProtection="1">
      <alignment horizontal="center" vertical="center"/>
      <protection locked="0"/>
    </xf>
    <xf numFmtId="1" fontId="14" fillId="0" borderId="40" xfId="2" applyNumberFormat="1" applyFont="1" applyFill="1" applyBorder="1" applyAlignment="1" applyProtection="1">
      <alignment horizontal="center" vertical="center"/>
      <protection locked="0"/>
    </xf>
    <xf numFmtId="38" fontId="14" fillId="0" borderId="36" xfId="2" applyNumberFormat="1" applyFont="1" applyFill="1" applyBorder="1" applyAlignment="1" applyProtection="1">
      <alignment horizontal="center" vertical="center"/>
      <protection locked="0"/>
    </xf>
    <xf numFmtId="165" fontId="14" fillId="0" borderId="49" xfId="2" applyNumberFormat="1" applyFont="1" applyFill="1" applyBorder="1" applyAlignment="1" applyProtection="1">
      <alignment horizontal="right" vertical="center"/>
      <protection locked="0"/>
    </xf>
    <xf numFmtId="166" fontId="14" fillId="0" borderId="50" xfId="2" applyNumberFormat="1" applyFont="1" applyFill="1" applyBorder="1" applyAlignment="1" applyProtection="1">
      <alignment horizontal="left" vertical="center"/>
      <protection locked="0"/>
    </xf>
    <xf numFmtId="49" fontId="14" fillId="0" borderId="51" xfId="3" applyNumberFormat="1" applyFont="1" applyFill="1" applyBorder="1" applyAlignment="1" applyProtection="1">
      <alignment horizontal="center" vertical="center"/>
      <protection locked="0"/>
    </xf>
    <xf numFmtId="1" fontId="14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4" fillId="0" borderId="25" xfId="2" applyNumberFormat="1" applyFont="1" applyFill="1" applyBorder="1" applyAlignment="1" applyProtection="1">
      <alignment horizontal="center" vertical="center"/>
      <protection locked="0"/>
    </xf>
    <xf numFmtId="1" fontId="14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4" fillId="0" borderId="18" xfId="2" applyNumberFormat="1" applyFont="1" applyFill="1" applyBorder="1" applyAlignment="1" applyProtection="1">
      <alignment horizontal="center" vertical="center"/>
      <protection locked="0"/>
    </xf>
    <xf numFmtId="37" fontId="14" fillId="0" borderId="18" xfId="3" applyNumberFormat="1" applyFont="1" applyFill="1" applyBorder="1" applyAlignment="1" applyProtection="1">
      <alignment horizontal="center" vertical="center"/>
      <protection locked="0"/>
    </xf>
    <xf numFmtId="165" fontId="14" fillId="0" borderId="54" xfId="2" applyNumberFormat="1" applyFont="1" applyFill="1" applyBorder="1" applyAlignment="1" applyProtection="1">
      <alignment horizontal="right" vertical="center"/>
      <protection locked="0"/>
    </xf>
    <xf numFmtId="166" fontId="14" fillId="0" borderId="19" xfId="2" applyNumberFormat="1" applyFont="1" applyFill="1" applyBorder="1" applyAlignment="1" applyProtection="1">
      <alignment horizontal="left" vertical="center"/>
      <protection locked="0"/>
    </xf>
    <xf numFmtId="1" fontId="14" fillId="0" borderId="8" xfId="2" applyNumberFormat="1" applyFont="1" applyFill="1" applyBorder="1" applyAlignment="1" applyProtection="1">
      <alignment horizontal="center" vertical="center"/>
      <protection locked="0"/>
    </xf>
    <xf numFmtId="165" fontId="14" fillId="0" borderId="12" xfId="2" applyNumberFormat="1" applyFont="1" applyFill="1" applyBorder="1" applyAlignment="1" applyProtection="1">
      <alignment horizontal="right" vertical="center"/>
      <protection locked="0"/>
    </xf>
    <xf numFmtId="166" fontId="14" fillId="0" borderId="8" xfId="2" applyNumberFormat="1" applyFont="1" applyFill="1" applyBorder="1" applyAlignment="1" applyProtection="1">
      <alignment horizontal="center" vertical="center"/>
      <protection locked="0"/>
    </xf>
    <xf numFmtId="166" fontId="14" fillId="0" borderId="10" xfId="2" applyNumberFormat="1" applyFont="1" applyFill="1" applyBorder="1" applyAlignment="1" applyProtection="1">
      <alignment horizontal="center" vertical="center"/>
      <protection locked="0"/>
    </xf>
    <xf numFmtId="1" fontId="14" fillId="0" borderId="18" xfId="2" applyNumberFormat="1" applyFont="1" applyFill="1" applyBorder="1" applyAlignment="1" applyProtection="1">
      <alignment horizontal="center" vertical="center"/>
      <protection locked="0"/>
    </xf>
    <xf numFmtId="49" fontId="14" fillId="0" borderId="35" xfId="2" applyNumberFormat="1" applyFont="1" applyFill="1" applyBorder="1" applyAlignment="1" applyProtection="1">
      <alignment horizontal="center" vertical="center"/>
      <protection locked="0"/>
    </xf>
    <xf numFmtId="1" fontId="14" fillId="0" borderId="10" xfId="2" applyNumberFormat="1" applyFont="1" applyFill="1" applyBorder="1" applyAlignment="1" applyProtection="1">
      <alignment horizontal="center" vertical="center"/>
      <protection locked="0"/>
    </xf>
    <xf numFmtId="38" fontId="14" fillId="0" borderId="8" xfId="2" applyNumberFormat="1" applyFont="1" applyFill="1" applyBorder="1" applyAlignment="1" applyProtection="1">
      <alignment horizontal="center" vertical="center"/>
      <protection locked="0"/>
    </xf>
    <xf numFmtId="49" fontId="14" fillId="0" borderId="18" xfId="3" applyNumberFormat="1" applyFont="1" applyFill="1" applyBorder="1" applyAlignment="1" applyProtection="1">
      <alignment horizontal="center" vertical="center"/>
      <protection locked="0"/>
    </xf>
    <xf numFmtId="1" fontId="14" fillId="0" borderId="54" xfId="2" applyNumberFormat="1" applyFont="1" applyFill="1" applyBorder="1" applyAlignment="1" applyProtection="1">
      <alignment horizontal="center" vertical="center"/>
      <protection locked="0"/>
    </xf>
    <xf numFmtId="49" fontId="14" fillId="0" borderId="24" xfId="3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/>
    <xf numFmtId="49" fontId="14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4" fillId="0" borderId="0" xfId="2" applyProtection="1">
      <protection locked="0"/>
    </xf>
    <xf numFmtId="0" fontId="4" fillId="0" borderId="0" xfId="2" applyAlignment="1" applyProtection="1">
      <protection locked="0"/>
    </xf>
    <xf numFmtId="0" fontId="4" fillId="0" borderId="0" xfId="2" applyAlignment="1" applyProtection="1"/>
    <xf numFmtId="0" fontId="4" fillId="0" borderId="0" xfId="2" applyProtection="1">
      <protection hidden="1"/>
    </xf>
    <xf numFmtId="0" fontId="4" fillId="0" borderId="0" xfId="2" applyAlignment="1" applyProtection="1">
      <protection hidden="1"/>
    </xf>
    <xf numFmtId="49" fontId="14" fillId="0" borderId="51" xfId="2" applyNumberFormat="1" applyFont="1" applyFill="1" applyBorder="1" applyAlignment="1" applyProtection="1">
      <alignment horizontal="left" vertical="center" wrapText="1"/>
    </xf>
    <xf numFmtId="49" fontId="14" fillId="0" borderId="51" xfId="2" applyNumberFormat="1" applyFont="1" applyFill="1" applyBorder="1" applyAlignment="1" applyProtection="1">
      <alignment horizontal="center" vertical="center"/>
    </xf>
    <xf numFmtId="37" fontId="14" fillId="0" borderId="52" xfId="3" applyNumberFormat="1" applyFont="1" applyFill="1" applyBorder="1" applyAlignment="1" applyProtection="1">
      <alignment horizontal="center" vertical="center"/>
    </xf>
    <xf numFmtId="165" fontId="14" fillId="0" borderId="25" xfId="2" applyNumberFormat="1" applyFont="1" applyFill="1" applyBorder="1" applyAlignment="1" applyProtection="1">
      <alignment horizontal="right" vertical="center"/>
    </xf>
    <xf numFmtId="166" fontId="14" fillId="0" borderId="27" xfId="2" applyNumberFormat="1" applyFont="1" applyFill="1" applyBorder="1" applyAlignment="1" applyProtection="1">
      <alignment horizontal="left" vertical="center"/>
    </xf>
    <xf numFmtId="1" fontId="14" fillId="4" borderId="21" xfId="2" applyNumberFormat="1" applyFont="1" applyFill="1" applyBorder="1" applyAlignment="1" applyProtection="1">
      <alignment horizontal="center" vertical="center"/>
    </xf>
    <xf numFmtId="165" fontId="14" fillId="0" borderId="22" xfId="2" applyNumberFormat="1" applyFont="1" applyFill="1" applyBorder="1" applyAlignment="1" applyProtection="1">
      <alignment horizontal="right" vertical="center"/>
    </xf>
    <xf numFmtId="1" fontId="14" fillId="0" borderId="21" xfId="2" applyNumberFormat="1" applyFont="1" applyFill="1" applyBorder="1" applyAlignment="1" applyProtection="1">
      <alignment horizontal="center" vertical="center"/>
    </xf>
    <xf numFmtId="166" fontId="14" fillId="0" borderId="21" xfId="2" applyNumberFormat="1" applyFont="1" applyFill="1" applyBorder="1" applyAlignment="1" applyProtection="1">
      <alignment horizontal="center" vertical="center"/>
    </xf>
    <xf numFmtId="166" fontId="14" fillId="0" borderId="23" xfId="2" applyNumberFormat="1" applyFont="1" applyFill="1" applyBorder="1" applyAlignment="1" applyProtection="1">
      <alignment horizontal="center" vertical="center"/>
    </xf>
    <xf numFmtId="1" fontId="14" fillId="0" borderId="24" xfId="2" applyNumberFormat="1" applyFont="1" applyFill="1" applyBorder="1" applyAlignment="1" applyProtection="1">
      <alignment horizontal="center" vertical="center"/>
    </xf>
    <xf numFmtId="1" fontId="14" fillId="0" borderId="36" xfId="2" applyNumberFormat="1" applyFont="1" applyFill="1" applyBorder="1" applyAlignment="1" applyProtection="1">
      <alignment horizontal="center" vertical="center"/>
    </xf>
    <xf numFmtId="49" fontId="14" fillId="0" borderId="56" xfId="2" applyNumberFormat="1" applyFont="1" applyFill="1" applyBorder="1" applyAlignment="1" applyProtection="1">
      <alignment horizontal="center" vertical="center"/>
    </xf>
    <xf numFmtId="1" fontId="14" fillId="0" borderId="40" xfId="2" applyNumberFormat="1" applyFont="1" applyFill="1" applyBorder="1" applyAlignment="1" applyProtection="1">
      <alignment horizontal="center" vertical="center"/>
    </xf>
    <xf numFmtId="38" fontId="14" fillId="0" borderId="36" xfId="2" applyNumberFormat="1" applyFont="1" applyFill="1" applyBorder="1" applyAlignment="1" applyProtection="1">
      <alignment horizontal="center" vertical="center"/>
    </xf>
    <xf numFmtId="165" fontId="14" fillId="0" borderId="49" xfId="2" applyNumberFormat="1" applyFont="1" applyFill="1" applyBorder="1" applyAlignment="1" applyProtection="1">
      <alignment horizontal="right" vertical="center"/>
    </xf>
    <xf numFmtId="166" fontId="14" fillId="0" borderId="50" xfId="2" applyNumberFormat="1" applyFont="1" applyFill="1" applyBorder="1" applyAlignment="1" applyProtection="1">
      <alignment horizontal="left" vertical="center"/>
    </xf>
    <xf numFmtId="49" fontId="14" fillId="0" borderId="51" xfId="3" applyNumberFormat="1" applyFont="1" applyFill="1" applyBorder="1" applyAlignment="1" applyProtection="1">
      <alignment horizontal="center" vertical="center"/>
    </xf>
    <xf numFmtId="1" fontId="14" fillId="0" borderId="24" xfId="2" quotePrefix="1" applyNumberFormat="1" applyFont="1" applyFill="1" applyBorder="1" applyAlignment="1" applyProtection="1">
      <alignment horizontal="center" vertical="center"/>
    </xf>
    <xf numFmtId="1" fontId="14" fillId="0" borderId="25" xfId="2" applyNumberFormat="1" applyFont="1" applyFill="1" applyBorder="1" applyAlignment="1" applyProtection="1">
      <alignment horizontal="center" vertical="center"/>
    </xf>
    <xf numFmtId="1" fontId="14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9" fillId="0" borderId="14" xfId="0" applyFont="1" applyFill="1" applyBorder="1" applyAlignment="1">
      <alignment horizontal="left"/>
    </xf>
    <xf numFmtId="0" fontId="9" fillId="0" borderId="3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2" xfId="0" applyFont="1" applyFill="1" applyBorder="1" applyAlignment="1" applyProtection="1">
      <alignment vertical="center"/>
    </xf>
    <xf numFmtId="0" fontId="9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0" xfId="0" applyAlignment="1">
      <alignment horizontal="left"/>
    </xf>
    <xf numFmtId="0" fontId="2" fillId="0" borderId="0" xfId="2" applyFont="1"/>
    <xf numFmtId="49" fontId="14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4" fillId="0" borderId="19" xfId="0" applyNumberFormat="1" applyFont="1" applyFill="1" applyBorder="1" applyAlignment="1" applyProtection="1">
      <alignment horizontal="left" vertical="center" indent="1"/>
      <protection locked="0"/>
    </xf>
    <xf numFmtId="0" fontId="9" fillId="0" borderId="82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3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3" xfId="0" applyFont="1" applyFill="1" applyBorder="1" applyAlignment="1" applyProtection="1">
      <alignment horizontal="left" vertical="center"/>
    </xf>
    <xf numFmtId="0" fontId="9" fillId="0" borderId="26" xfId="0" applyFont="1" applyFill="1" applyBorder="1" applyAlignment="1" applyProtection="1">
      <alignment horizontal="left" vertical="center"/>
    </xf>
    <xf numFmtId="0" fontId="9" fillId="0" borderId="27" xfId="0" applyFont="1" applyFill="1" applyBorder="1" applyAlignment="1" applyProtection="1">
      <alignment horizontal="left" vertical="center"/>
    </xf>
    <xf numFmtId="164" fontId="15" fillId="0" borderId="6" xfId="0" applyNumberFormat="1" applyFont="1" applyFill="1" applyBorder="1" applyAlignment="1" applyProtection="1">
      <alignment horizontal="left" vertical="center"/>
    </xf>
    <xf numFmtId="164" fontId="15" fillId="0" borderId="84" xfId="0" applyNumberFormat="1" applyFont="1" applyFill="1" applyBorder="1" applyAlignment="1" applyProtection="1">
      <alignment horizontal="left" vertical="center"/>
    </xf>
    <xf numFmtId="49" fontId="14" fillId="0" borderId="88" xfId="0" applyNumberFormat="1" applyFont="1" applyFill="1" applyBorder="1" applyAlignment="1" applyProtection="1">
      <alignment horizontal="left" vertical="center"/>
      <protection locked="0"/>
    </xf>
    <xf numFmtId="49" fontId="14" fillId="0" borderId="89" xfId="0" applyNumberFormat="1" applyFont="1" applyFill="1" applyBorder="1" applyAlignment="1" applyProtection="1">
      <alignment horizontal="left" vertical="center"/>
      <protection locked="0"/>
    </xf>
    <xf numFmtId="49" fontId="14" fillId="0" borderId="47" xfId="0" applyNumberFormat="1" applyFont="1" applyFill="1" applyBorder="1" applyAlignment="1" applyProtection="1">
      <alignment horizontal="left" vertical="center"/>
      <protection locked="0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90" xfId="0" applyFont="1" applyFill="1" applyBorder="1" applyAlignment="1" applyProtection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3" fontId="16" fillId="0" borderId="90" xfId="0" applyNumberFormat="1" applyFont="1" applyFill="1" applyBorder="1" applyAlignment="1" applyProtection="1">
      <alignment horizontal="left" vertical="center" indent="1"/>
    </xf>
    <xf numFmtId="3" fontId="16" fillId="0" borderId="1" xfId="0" applyNumberFormat="1" applyFont="1" applyFill="1" applyBorder="1" applyAlignment="1" applyProtection="1">
      <alignment horizontal="left" vertical="center" indent="1"/>
    </xf>
    <xf numFmtId="49" fontId="14" fillId="0" borderId="82" xfId="0" applyNumberFormat="1" applyFont="1" applyFill="1" applyBorder="1" applyAlignment="1" applyProtection="1">
      <alignment horizontal="left" vertical="center"/>
      <protection locked="0"/>
    </xf>
    <xf numFmtId="49" fontId="14" fillId="0" borderId="6" xfId="0" applyNumberFormat="1" applyFont="1" applyFill="1" applyBorder="1" applyAlignment="1" applyProtection="1">
      <alignment horizontal="left" vertical="center"/>
      <protection locked="0"/>
    </xf>
    <xf numFmtId="49" fontId="14" fillId="0" borderId="84" xfId="0" applyNumberFormat="1" applyFont="1" applyFill="1" applyBorder="1" applyAlignment="1" applyProtection="1">
      <alignment horizontal="left" vertical="center"/>
      <protection locked="0"/>
    </xf>
    <xf numFmtId="49" fontId="14" fillId="0" borderId="54" xfId="0" applyNumberFormat="1" applyFont="1" applyFill="1" applyBorder="1" applyAlignment="1" applyProtection="1">
      <alignment horizontal="left" vertical="center"/>
      <protection locked="0"/>
    </xf>
    <xf numFmtId="49" fontId="14" fillId="0" borderId="13" xfId="0" applyNumberFormat="1" applyFont="1" applyFill="1" applyBorder="1" applyAlignment="1" applyProtection="1">
      <alignment horizontal="left" vertical="center"/>
      <protection locked="0"/>
    </xf>
    <xf numFmtId="49" fontId="14" fillId="0" borderId="19" xfId="0" applyNumberFormat="1" applyFont="1" applyFill="1" applyBorder="1" applyAlignment="1" applyProtection="1">
      <alignment horizontal="left" vertical="center"/>
      <protection locked="0"/>
    </xf>
    <xf numFmtId="0" fontId="15" fillId="0" borderId="6" xfId="0" applyFont="1" applyFill="1" applyBorder="1" applyAlignment="1" applyProtection="1">
      <alignment horizontal="left" vertical="center"/>
    </xf>
    <xf numFmtId="0" fontId="8" fillId="0" borderId="52" xfId="0" applyFont="1" applyFill="1" applyBorder="1" applyAlignment="1" applyProtection="1">
      <alignment horizontal="center"/>
    </xf>
    <xf numFmtId="0" fontId="8" fillId="0" borderId="86" xfId="0" applyFont="1" applyFill="1" applyBorder="1" applyAlignment="1" applyProtection="1">
      <alignment horizontal="center"/>
    </xf>
    <xf numFmtId="0" fontId="8" fillId="0" borderId="50" xfId="0" applyFont="1" applyFill="1" applyBorder="1" applyAlignment="1" applyProtection="1">
      <alignment horizontal="center"/>
    </xf>
    <xf numFmtId="49" fontId="9" fillId="0" borderId="86" xfId="0" applyNumberFormat="1" applyFont="1" applyFill="1" applyBorder="1" applyAlignment="1" applyProtection="1">
      <alignment horizontal="center" vertical="center"/>
    </xf>
    <xf numFmtId="49" fontId="9" fillId="0" borderId="50" xfId="0" applyNumberFormat="1" applyFont="1" applyFill="1" applyBorder="1" applyAlignment="1" applyProtection="1">
      <alignment horizontal="center" vertical="center"/>
    </xf>
    <xf numFmtId="0" fontId="8" fillId="0" borderId="85" xfId="0" applyFont="1" applyFill="1" applyBorder="1" applyAlignment="1" applyProtection="1">
      <alignment horizontal="center"/>
    </xf>
    <xf numFmtId="0" fontId="8" fillId="0" borderId="47" xfId="0" applyFont="1" applyFill="1" applyBorder="1" applyAlignment="1" applyProtection="1">
      <alignment horizontal="center"/>
    </xf>
    <xf numFmtId="0" fontId="8" fillId="0" borderId="8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/>
    </xf>
    <xf numFmtId="0" fontId="8" fillId="0" borderId="16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 wrapText="1"/>
    </xf>
    <xf numFmtId="0" fontId="8" fillId="0" borderId="84" xfId="0" applyFont="1" applyFill="1" applyBorder="1" applyAlignment="1" applyProtection="1">
      <alignment horizontal="center" wrapText="1"/>
    </xf>
    <xf numFmtId="0" fontId="8" fillId="0" borderId="53" xfId="0" applyFont="1" applyFill="1" applyBorder="1" applyAlignment="1" applyProtection="1">
      <alignment horizontal="center" wrapText="1"/>
    </xf>
    <xf numFmtId="0" fontId="8" fillId="0" borderId="9" xfId="0" applyFont="1" applyFill="1" applyBorder="1" applyAlignment="1" applyProtection="1">
      <alignment horizontal="center" wrapText="1"/>
    </xf>
    <xf numFmtId="0" fontId="8" fillId="0" borderId="7" xfId="0" applyFont="1" applyFill="1" applyBorder="1" applyAlignment="1" applyProtection="1">
      <alignment horizontal="center" wrapText="1"/>
    </xf>
    <xf numFmtId="0" fontId="8" fillId="0" borderId="16" xfId="0" applyFont="1" applyFill="1" applyBorder="1" applyAlignment="1" applyProtection="1">
      <alignment horizontal="center" wrapText="1"/>
    </xf>
    <xf numFmtId="14" fontId="15" fillId="0" borderId="6" xfId="0" applyNumberFormat="1" applyFont="1" applyFill="1" applyBorder="1" applyAlignment="1" applyProtection="1">
      <alignment horizontal="left" vertical="center"/>
    </xf>
    <xf numFmtId="14" fontId="15" fillId="0" borderId="84" xfId="0" applyNumberFormat="1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8" fillId="0" borderId="84" xfId="0" applyFont="1" applyFill="1" applyBorder="1" applyAlignment="1" applyProtection="1">
      <alignment horizontal="center"/>
    </xf>
    <xf numFmtId="0" fontId="8" fillId="0" borderId="53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1" fontId="9" fillId="0" borderId="4" xfId="0" applyNumberFormat="1" applyFont="1" applyFill="1" applyBorder="1" applyAlignment="1">
      <alignment horizontal="right" vertical="center"/>
    </xf>
    <xf numFmtId="1" fontId="9" fillId="0" borderId="90" xfId="0" applyNumberFormat="1" applyFont="1" applyFill="1" applyBorder="1" applyAlignment="1">
      <alignment horizontal="right" vertical="center"/>
    </xf>
    <xf numFmtId="14" fontId="15" fillId="0" borderId="6" xfId="0" applyNumberFormat="1" applyFont="1" applyFill="1" applyBorder="1" applyAlignment="1">
      <alignment horizontal="left" vertical="center"/>
    </xf>
    <xf numFmtId="14" fontId="15" fillId="0" borderId="84" xfId="0" applyNumberFormat="1" applyFont="1" applyFill="1" applyBorder="1" applyAlignment="1">
      <alignment horizontal="left" vertical="center"/>
    </xf>
    <xf numFmtId="1" fontId="7" fillId="7" borderId="4" xfId="0" applyNumberFormat="1" applyFont="1" applyFill="1" applyBorder="1" applyAlignment="1">
      <alignment horizontal="center" vertical="center"/>
    </xf>
    <xf numFmtId="1" fontId="7" fillId="7" borderId="90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/>
    </xf>
    <xf numFmtId="0" fontId="9" fillId="7" borderId="91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left" vertical="center"/>
    </xf>
    <xf numFmtId="0" fontId="15" fillId="0" borderId="6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0" fontId="9" fillId="0" borderId="82" xfId="0" applyFont="1" applyFill="1" applyBorder="1" applyAlignment="1">
      <alignment horizontal="right" vertical="center"/>
    </xf>
    <xf numFmtId="0" fontId="9" fillId="0" borderId="6" xfId="0" applyFont="1" applyFill="1" applyBorder="1" applyAlignment="1">
      <alignment horizontal="right" vertical="center"/>
    </xf>
    <xf numFmtId="0" fontId="9" fillId="0" borderId="53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49" fontId="7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4" fillId="0" borderId="12" xfId="0" applyNumberFormat="1" applyFont="1" applyFill="1" applyBorder="1" applyAlignment="1" applyProtection="1">
      <alignment horizontal="center" vertical="center"/>
      <protection locked="0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49" fontId="14" fillId="0" borderId="22" xfId="0" applyNumberFormat="1" applyFont="1" applyFill="1" applyBorder="1" applyAlignment="1" applyProtection="1">
      <alignment horizontal="center" vertical="center"/>
      <protection locked="0"/>
    </xf>
    <xf numFmtId="49" fontId="14" fillId="0" borderId="93" xfId="0" applyNumberFormat="1" applyFont="1" applyFill="1" applyBorder="1" applyAlignment="1" applyProtection="1">
      <alignment horizontal="center" vertical="center"/>
      <protection locked="0"/>
    </xf>
    <xf numFmtId="0" fontId="38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8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1" fontId="9" fillId="0" borderId="4" xfId="0" applyNumberFormat="1" applyFont="1" applyFill="1" applyBorder="1" applyAlignment="1" applyProtection="1">
      <alignment horizontal="right" vertical="center"/>
    </xf>
    <xf numFmtId="1" fontId="9" fillId="0" borderId="90" xfId="0" applyNumberFormat="1" applyFont="1" applyFill="1" applyBorder="1" applyAlignment="1" applyProtection="1">
      <alignment horizontal="right" vertical="center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0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9" fillId="7" borderId="7" xfId="0" applyFont="1" applyFill="1" applyBorder="1" applyAlignment="1" applyProtection="1">
      <alignment horizontal="center"/>
    </xf>
    <xf numFmtId="0" fontId="9" fillId="7" borderId="91" xfId="0" applyFont="1" applyFill="1" applyBorder="1" applyAlignment="1" applyProtection="1">
      <alignment horizontal="center"/>
    </xf>
    <xf numFmtId="0" fontId="9" fillId="7" borderId="16" xfId="0" applyFont="1" applyFill="1" applyBorder="1" applyAlignment="1" applyProtection="1">
      <alignment horizontal="center"/>
    </xf>
    <xf numFmtId="49" fontId="14" fillId="0" borderId="30" xfId="0" applyNumberFormat="1" applyFont="1" applyFill="1" applyBorder="1" applyAlignment="1" applyProtection="1">
      <alignment horizontal="center" vertical="center"/>
      <protection locked="0"/>
    </xf>
    <xf numFmtId="49" fontId="14" fillId="0" borderId="92" xfId="0" applyNumberFormat="1" applyFont="1" applyFill="1" applyBorder="1" applyAlignment="1" applyProtection="1">
      <alignment horizontal="center" vertical="center"/>
      <protection locked="0"/>
    </xf>
    <xf numFmtId="0" fontId="18" fillId="0" borderId="5" xfId="0" applyFont="1" applyFill="1" applyBorder="1" applyAlignment="1" applyProtection="1">
      <alignment horizontal="left" vertical="center"/>
    </xf>
    <xf numFmtId="49" fontId="10" fillId="7" borderId="4" xfId="0" applyNumberFormat="1" applyFont="1" applyFill="1" applyBorder="1" applyAlignment="1" applyProtection="1">
      <alignment horizontal="center" vertical="center"/>
    </xf>
    <xf numFmtId="49" fontId="10" fillId="7" borderId="90" xfId="0" applyNumberFormat="1" applyFont="1" applyFill="1" applyBorder="1" applyAlignment="1" applyProtection="1">
      <alignment horizontal="center" vertical="center"/>
    </xf>
    <xf numFmtId="49" fontId="10" fillId="7" borderId="1" xfId="0" applyNumberFormat="1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0" fontId="14" fillId="0" borderId="92" xfId="0" applyFont="1" applyFill="1" applyBorder="1" applyAlignment="1" applyProtection="1">
      <alignment horizontal="center"/>
      <protection locked="0"/>
    </xf>
    <xf numFmtId="49" fontId="9" fillId="0" borderId="4" xfId="0" applyNumberFormat="1" applyFont="1" applyFill="1" applyBorder="1" applyAlignment="1" applyProtection="1">
      <alignment horizontal="center"/>
    </xf>
    <xf numFmtId="49" fontId="9" fillId="0" borderId="90" xfId="0" applyNumberFormat="1" applyFont="1" applyFill="1" applyBorder="1" applyAlignment="1" applyProtection="1">
      <alignment horizontal="center"/>
    </xf>
    <xf numFmtId="49" fontId="9" fillId="0" borderId="1" xfId="0" applyNumberFormat="1" applyFont="1" applyFill="1" applyBorder="1" applyAlignment="1" applyProtection="1">
      <alignment horizontal="center"/>
    </xf>
    <xf numFmtId="0" fontId="14" fillId="0" borderId="13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0" fontId="14" fillId="0" borderId="26" xfId="0" applyFont="1" applyFill="1" applyBorder="1" applyAlignment="1" applyProtection="1">
      <alignment horizontal="center"/>
      <protection locked="0"/>
    </xf>
    <xf numFmtId="0" fontId="14" fillId="0" borderId="93" xfId="0" applyFont="1" applyFill="1" applyBorder="1" applyAlignment="1" applyProtection="1">
      <alignment horizontal="center"/>
      <protection locked="0"/>
    </xf>
    <xf numFmtId="0" fontId="9" fillId="0" borderId="2" xfId="0" applyFont="1" applyFill="1" applyBorder="1" applyAlignment="1" applyProtection="1">
      <alignment horizontal="center"/>
    </xf>
    <xf numFmtId="0" fontId="14" fillId="0" borderId="28" xfId="0" applyFont="1" applyFill="1" applyBorder="1" applyAlignment="1" applyProtection="1">
      <alignment horizontal="center"/>
      <protection locked="0"/>
    </xf>
    <xf numFmtId="0" fontId="9" fillId="0" borderId="90" xfId="0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left" vertical="center"/>
    </xf>
    <xf numFmtId="0" fontId="0" fillId="0" borderId="90" xfId="0" applyFill="1" applyBorder="1"/>
    <xf numFmtId="3" fontId="15" fillId="0" borderId="90" xfId="1" applyNumberFormat="1" applyFont="1" applyFill="1" applyBorder="1" applyAlignment="1" applyProtection="1">
      <alignment horizontal="left"/>
    </xf>
    <xf numFmtId="3" fontId="15" fillId="0" borderId="1" xfId="1" applyNumberFormat="1" applyFont="1" applyFill="1" applyBorder="1" applyAlignment="1" applyProtection="1">
      <alignment horizontal="left"/>
    </xf>
    <xf numFmtId="0" fontId="13" fillId="0" borderId="53" xfId="0" applyFont="1" applyFill="1" applyBorder="1" applyAlignment="1" applyProtection="1">
      <alignment horizontal="right"/>
    </xf>
    <xf numFmtId="0" fontId="23" fillId="0" borderId="5" xfId="0" applyFont="1" applyFill="1" applyBorder="1" applyAlignment="1" applyProtection="1">
      <alignment horizontal="right"/>
    </xf>
    <xf numFmtId="49" fontId="14" fillId="0" borderId="13" xfId="0" applyNumberFormat="1" applyFont="1" applyFill="1" applyBorder="1" applyAlignment="1" applyProtection="1">
      <alignment horizontal="left"/>
      <protection locked="0"/>
    </xf>
    <xf numFmtId="49" fontId="14" fillId="0" borderId="19" xfId="0" applyNumberFormat="1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24" fillId="0" borderId="82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 indent="6"/>
    </xf>
    <xf numFmtId="0" fontId="13" fillId="0" borderId="82" xfId="0" applyFont="1" applyFill="1" applyBorder="1" applyAlignment="1" applyProtection="1">
      <alignment horizontal="right"/>
    </xf>
    <xf numFmtId="0" fontId="13" fillId="0" borderId="6" xfId="0" applyFont="1" applyFill="1" applyBorder="1" applyAlignment="1" applyProtection="1">
      <alignment horizontal="right"/>
    </xf>
    <xf numFmtId="0" fontId="13" fillId="0" borderId="83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right"/>
    </xf>
    <xf numFmtId="0" fontId="22" fillId="0" borderId="0" xfId="0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left"/>
      <protection locked="0"/>
    </xf>
    <xf numFmtId="0" fontId="6" fillId="0" borderId="83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13" fillId="0" borderId="4" xfId="0" applyFont="1" applyFill="1" applyBorder="1" applyAlignment="1" applyProtection="1">
      <alignment horizontal="center"/>
    </xf>
    <xf numFmtId="0" fontId="13" fillId="0" borderId="90" xfId="0" applyFont="1" applyFill="1" applyBorder="1" applyAlignment="1" applyProtection="1">
      <alignment horizontal="center"/>
    </xf>
    <xf numFmtId="0" fontId="13" fillId="0" borderId="1" xfId="0" applyFont="1" applyFill="1" applyBorder="1" applyAlignment="1" applyProtection="1">
      <alignment horizontal="center"/>
    </xf>
    <xf numFmtId="0" fontId="22" fillId="0" borderId="41" xfId="0" applyFont="1" applyFill="1" applyBorder="1" applyAlignment="1" applyProtection="1">
      <alignment horizontal="left"/>
      <protection locked="0"/>
    </xf>
    <xf numFmtId="0" fontId="22" fillId="0" borderId="6" xfId="0" applyFont="1" applyFill="1" applyBorder="1" applyAlignment="1" applyProtection="1">
      <alignment horizontal="left"/>
      <protection locked="0"/>
    </xf>
    <xf numFmtId="164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4" xfId="0" applyFont="1" applyFill="1" applyBorder="1" applyAlignment="1" applyProtection="1">
      <alignment horizontal="left"/>
    </xf>
    <xf numFmtId="0" fontId="13" fillId="0" borderId="97" xfId="0" applyFont="1" applyFill="1" applyBorder="1" applyAlignment="1" applyProtection="1">
      <alignment horizontal="left"/>
    </xf>
    <xf numFmtId="164" fontId="22" fillId="0" borderId="0" xfId="0" applyNumberFormat="1" applyFont="1" applyFill="1" applyBorder="1" applyAlignment="1" applyProtection="1">
      <alignment horizontal="left"/>
      <protection locked="0"/>
    </xf>
    <xf numFmtId="164" fontId="22" fillId="0" borderId="41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 applyProtection="1">
      <protection locked="0"/>
    </xf>
    <xf numFmtId="0" fontId="23" fillId="0" borderId="84" xfId="0" applyFont="1" applyBorder="1" applyAlignment="1" applyProtection="1">
      <protection locked="0"/>
    </xf>
    <xf numFmtId="0" fontId="23" fillId="0" borderId="0" xfId="0" applyFont="1" applyAlignment="1" applyProtection="1">
      <protection locked="0"/>
    </xf>
    <xf numFmtId="0" fontId="23" fillId="0" borderId="41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53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center"/>
    </xf>
    <xf numFmtId="49" fontId="22" fillId="0" borderId="0" xfId="0" applyNumberFormat="1" applyFont="1" applyFill="1" applyBorder="1" applyAlignment="1" applyProtection="1">
      <alignment horizontal="left"/>
      <protection locked="0"/>
    </xf>
    <xf numFmtId="0" fontId="13" fillId="0" borderId="49" xfId="0" applyFont="1" applyFill="1" applyBorder="1" applyAlignment="1" applyProtection="1">
      <alignment horizontal="center"/>
    </xf>
    <xf numFmtId="0" fontId="13" fillId="0" borderId="86" xfId="0" applyFont="1" applyFill="1" applyBorder="1" applyAlignment="1" applyProtection="1">
      <alignment horizontal="center"/>
    </xf>
    <xf numFmtId="0" fontId="13" fillId="0" borderId="56" xfId="0" applyFont="1" applyFill="1" applyBorder="1" applyAlignment="1" applyProtection="1">
      <alignment horizontal="center"/>
    </xf>
    <xf numFmtId="49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90" xfId="0" applyFont="1" applyFill="1" applyBorder="1" applyAlignment="1" applyProtection="1">
      <alignment horizontal="right"/>
    </xf>
    <xf numFmtId="0" fontId="22" fillId="0" borderId="90" xfId="0" applyFont="1" applyFill="1" applyBorder="1" applyAlignment="1" applyProtection="1">
      <alignment horizontal="left"/>
      <protection locked="0"/>
    </xf>
    <xf numFmtId="0" fontId="22" fillId="0" borderId="1" xfId="0" applyFont="1" applyFill="1" applyBorder="1" applyAlignment="1" applyProtection="1">
      <alignment horizontal="left"/>
      <protection locked="0"/>
    </xf>
    <xf numFmtId="0" fontId="13" fillId="0" borderId="6" xfId="0" applyFont="1" applyFill="1" applyBorder="1" applyAlignment="1" applyProtection="1">
      <alignment horizontal="center"/>
    </xf>
    <xf numFmtId="0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5" xfId="0" applyFont="1" applyFill="1" applyBorder="1" applyAlignment="1" applyProtection="1">
      <alignment horizontal="right"/>
    </xf>
    <xf numFmtId="0" fontId="23" fillId="0" borderId="5" xfId="0" applyFont="1" applyBorder="1" applyAlignment="1"/>
    <xf numFmtId="49" fontId="22" fillId="0" borderId="5" xfId="0" applyNumberFormat="1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center"/>
    </xf>
    <xf numFmtId="164" fontId="22" fillId="0" borderId="84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/>
    <xf numFmtId="0" fontId="8" fillId="0" borderId="7" xfId="2" applyFont="1" applyFill="1" applyBorder="1" applyAlignment="1" applyProtection="1">
      <alignment horizontal="center" wrapText="1"/>
    </xf>
    <xf numFmtId="0" fontId="8" fillId="0" borderId="16" xfId="2" applyFont="1" applyFill="1" applyBorder="1" applyAlignment="1" applyProtection="1">
      <alignment horizontal="center"/>
    </xf>
    <xf numFmtId="0" fontId="8" fillId="0" borderId="7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 wrapText="1"/>
    </xf>
    <xf numFmtId="0" fontId="8" fillId="0" borderId="84" xfId="2" applyFont="1" applyFill="1" applyBorder="1" applyAlignment="1" applyProtection="1">
      <alignment horizontal="center" wrapText="1"/>
    </xf>
    <xf numFmtId="0" fontId="8" fillId="0" borderId="53" xfId="2" applyFont="1" applyFill="1" applyBorder="1" applyAlignment="1" applyProtection="1">
      <alignment horizontal="center" wrapText="1"/>
    </xf>
    <xf numFmtId="0" fontId="8" fillId="0" borderId="9" xfId="2" applyFont="1" applyFill="1" applyBorder="1" applyAlignment="1" applyProtection="1">
      <alignment horizontal="center" wrapText="1"/>
    </xf>
    <xf numFmtId="0" fontId="8" fillId="0" borderId="52" xfId="2" applyFont="1" applyFill="1" applyBorder="1" applyAlignment="1" applyProtection="1">
      <alignment horizontal="center"/>
    </xf>
    <xf numFmtId="0" fontId="8" fillId="0" borderId="86" xfId="2" applyFont="1" applyFill="1" applyBorder="1" applyAlignment="1" applyProtection="1">
      <alignment horizontal="center"/>
    </xf>
    <xf numFmtId="0" fontId="8" fillId="0" borderId="50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/>
    </xf>
    <xf numFmtId="0" fontId="8" fillId="0" borderId="84" xfId="2" applyFont="1" applyFill="1" applyBorder="1" applyAlignment="1" applyProtection="1">
      <alignment horizontal="center"/>
    </xf>
    <xf numFmtId="0" fontId="8" fillId="0" borderId="16" xfId="2" applyFont="1" applyFill="1" applyBorder="1" applyAlignment="1" applyProtection="1">
      <alignment horizontal="center" wrapText="1"/>
    </xf>
    <xf numFmtId="0" fontId="8" fillId="0" borderId="85" xfId="2" applyFont="1" applyFill="1" applyBorder="1" applyAlignment="1" applyProtection="1">
      <alignment horizontal="center"/>
    </xf>
    <xf numFmtId="0" fontId="8" fillId="0" borderId="47" xfId="2" applyFont="1" applyFill="1" applyBorder="1" applyAlignment="1" applyProtection="1">
      <alignment horizontal="center"/>
    </xf>
    <xf numFmtId="49" fontId="14" fillId="0" borderId="82" xfId="2" applyNumberFormat="1" applyFont="1" applyFill="1" applyBorder="1" applyAlignment="1" applyProtection="1">
      <alignment horizontal="left" vertical="center"/>
      <protection locked="0"/>
    </xf>
    <xf numFmtId="49" fontId="14" fillId="0" borderId="6" xfId="2" applyNumberFormat="1" applyFont="1" applyFill="1" applyBorder="1" applyAlignment="1" applyProtection="1">
      <alignment horizontal="left" vertical="center"/>
      <protection locked="0"/>
    </xf>
    <xf numFmtId="49" fontId="14" fillId="0" borderId="84" xfId="2" applyNumberFormat="1" applyFont="1" applyFill="1" applyBorder="1" applyAlignment="1" applyProtection="1">
      <alignment horizontal="left" vertical="center"/>
      <protection locked="0"/>
    </xf>
    <xf numFmtId="49" fontId="14" fillId="0" borderId="54" xfId="2" applyNumberFormat="1" applyFont="1" applyFill="1" applyBorder="1" applyAlignment="1" applyProtection="1">
      <alignment horizontal="left" vertical="center"/>
      <protection locked="0"/>
    </xf>
    <xf numFmtId="49" fontId="14" fillId="0" borderId="13" xfId="2" applyNumberFormat="1" applyFont="1" applyFill="1" applyBorder="1" applyAlignment="1" applyProtection="1">
      <alignment horizontal="left" vertical="center"/>
      <protection locked="0"/>
    </xf>
    <xf numFmtId="49" fontId="14" fillId="0" borderId="19" xfId="2" applyNumberFormat="1" applyFont="1" applyFill="1" applyBorder="1" applyAlignment="1" applyProtection="1">
      <alignment horizontal="left" vertical="center"/>
      <protection locked="0"/>
    </xf>
    <xf numFmtId="0" fontId="8" fillId="0" borderId="6" xfId="2" applyFont="1" applyFill="1" applyBorder="1" applyAlignment="1" applyProtection="1">
      <alignment horizontal="center"/>
    </xf>
    <xf numFmtId="0" fontId="8" fillId="0" borderId="53" xfId="2" applyFont="1" applyFill="1" applyBorder="1" applyAlignment="1" applyProtection="1">
      <alignment horizontal="center"/>
    </xf>
    <xf numFmtId="0" fontId="8" fillId="0" borderId="5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0" fillId="0" borderId="0" xfId="0"/>
    <xf numFmtId="0" fontId="9" fillId="0" borderId="6" xfId="0" applyFont="1" applyFill="1" applyBorder="1" applyAlignment="1" applyProtection="1">
      <alignment horizontal="left" vertical="center"/>
    </xf>
    <xf numFmtId="0" fontId="9" fillId="0" borderId="5" xfId="0" applyFont="1" applyFill="1" applyBorder="1" applyAlignment="1" applyProtection="1">
      <alignment horizontal="left" vertical="center"/>
    </xf>
    <xf numFmtId="0" fontId="44" fillId="0" borderId="0" xfId="0" applyFont="1" applyFill="1" applyBorder="1" applyAlignment="1" applyProtection="1">
      <alignment horizontal="right" vertical="center"/>
      <protection hidden="1"/>
    </xf>
    <xf numFmtId="0" fontId="6" fillId="0" borderId="77" xfId="0" applyFont="1" applyBorder="1" applyAlignment="1" applyProtection="1">
      <alignment horizontal="left"/>
      <protection hidden="1"/>
    </xf>
    <xf numFmtId="0" fontId="6" fillId="0" borderId="98" xfId="0" applyFont="1" applyBorder="1" applyAlignment="1" applyProtection="1">
      <alignment horizontal="left"/>
      <protection hidden="1"/>
    </xf>
    <xf numFmtId="0" fontId="6" fillId="0" borderId="79" xfId="0" applyFont="1" applyBorder="1" applyAlignment="1" applyProtection="1">
      <alignment horizontal="left"/>
      <protection hidden="1"/>
    </xf>
    <xf numFmtId="0" fontId="6" fillId="0" borderId="99" xfId="0" applyFont="1" applyBorder="1" applyAlignment="1" applyProtection="1">
      <alignment horizontal="left"/>
      <protection hidden="1"/>
    </xf>
    <xf numFmtId="0" fontId="8" fillId="0" borderId="101" xfId="0" applyFont="1" applyFill="1" applyBorder="1" applyAlignment="1" applyProtection="1">
      <alignment horizontal="center"/>
      <protection hidden="1"/>
    </xf>
    <xf numFmtId="0" fontId="8" fillId="0" borderId="102" xfId="0" applyFont="1" applyFill="1" applyBorder="1" applyAlignment="1" applyProtection="1">
      <alignment horizontal="center"/>
      <protection hidden="1"/>
    </xf>
    <xf numFmtId="0" fontId="8" fillId="0" borderId="103" xfId="0" applyFont="1" applyFill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6" fillId="0" borderId="81" xfId="0" applyFont="1" applyBorder="1" applyAlignment="1" applyProtection="1">
      <alignment horizontal="left"/>
      <protection hidden="1"/>
    </xf>
    <xf numFmtId="0" fontId="6" fillId="0" borderId="10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horizontal="right"/>
      <protection hidden="1"/>
    </xf>
    <xf numFmtId="0" fontId="6" fillId="0" borderId="77" xfId="0" applyFont="1" applyFill="1" applyBorder="1" applyAlignment="1" applyProtection="1">
      <alignment horizontal="left"/>
      <protection hidden="1"/>
    </xf>
    <xf numFmtId="0" fontId="6" fillId="0" borderId="98" xfId="0" applyFont="1" applyFill="1" applyBorder="1" applyAlignment="1" applyProtection="1">
      <alignment horizontal="left"/>
      <protection hidden="1"/>
    </xf>
    <xf numFmtId="0" fontId="1" fillId="0" borderId="0" xfId="2" applyFont="1"/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2" t="s">
        <v>33</v>
      </c>
      <c r="B1" s="323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29" t="str">
        <f ca="1">IF(ISBLANK(INDIRECT("Cover!O2")),"",INDIRECT("Cover!O2"))</f>
        <v>*</v>
      </c>
      <c r="Q1" s="329"/>
      <c r="R1" s="330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4" t="s">
        <v>34</v>
      </c>
      <c r="B2" s="325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26" t="s">
        <v>45</v>
      </c>
      <c r="B3" s="327"/>
      <c r="C3" s="327"/>
      <c r="D3" s="327"/>
      <c r="E3" s="327"/>
      <c r="F3" s="327"/>
      <c r="G3" s="327"/>
      <c r="H3" s="327"/>
      <c r="I3" s="327"/>
      <c r="J3" s="327"/>
      <c r="K3" s="327"/>
      <c r="L3" s="327"/>
      <c r="M3" s="327"/>
      <c r="N3" s="327"/>
      <c r="O3" s="327"/>
      <c r="P3" s="327"/>
      <c r="Q3" s="327"/>
      <c r="R3" s="328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20"/>
      <c r="C4" s="320"/>
      <c r="D4" s="320"/>
      <c r="E4" s="320"/>
      <c r="F4" s="320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1"/>
      <c r="S4" s="17"/>
    </row>
    <row r="5" spans="1:32" s="18" customFormat="1" ht="20.100000000000001" customHeight="1" x14ac:dyDescent="0.2">
      <c r="A5" s="125"/>
      <c r="B5" s="320"/>
      <c r="C5" s="320"/>
      <c r="D5" s="320"/>
      <c r="E5" s="320"/>
      <c r="F5" s="320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1"/>
      <c r="S5" s="17"/>
    </row>
    <row r="6" spans="1:32" s="18" customFormat="1" ht="20.100000000000001" customHeight="1" x14ac:dyDescent="0.2">
      <c r="A6" s="125"/>
      <c r="B6" s="320"/>
      <c r="C6" s="320"/>
      <c r="D6" s="320"/>
      <c r="E6" s="320"/>
      <c r="F6" s="320"/>
      <c r="G6" s="320"/>
      <c r="H6" s="320"/>
      <c r="I6" s="320"/>
      <c r="J6" s="320"/>
      <c r="K6" s="320"/>
      <c r="L6" s="320"/>
      <c r="M6" s="320"/>
      <c r="N6" s="320"/>
      <c r="O6" s="320"/>
      <c r="P6" s="320"/>
      <c r="Q6" s="320"/>
      <c r="R6" s="321"/>
      <c r="S6" s="17"/>
    </row>
    <row r="7" spans="1:32" s="18" customFormat="1" ht="20.100000000000001" customHeight="1" x14ac:dyDescent="0.2">
      <c r="A7" s="125"/>
      <c r="B7" s="320"/>
      <c r="C7" s="320"/>
      <c r="D7" s="320"/>
      <c r="E7" s="320"/>
      <c r="F7" s="320"/>
      <c r="G7" s="320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1"/>
      <c r="S7" s="17"/>
    </row>
    <row r="8" spans="1:32" s="18" customFormat="1" ht="20.100000000000001" customHeight="1" x14ac:dyDescent="0.2">
      <c r="A8" s="125"/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17"/>
    </row>
    <row r="9" spans="1:32" s="18" customFormat="1" ht="20.100000000000001" customHeight="1" x14ac:dyDescent="0.2">
      <c r="A9" s="125"/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1"/>
      <c r="S9" s="17"/>
    </row>
    <row r="10" spans="1:32" s="18" customFormat="1" ht="20.100000000000001" customHeight="1" x14ac:dyDescent="0.2">
      <c r="A10" s="125"/>
      <c r="B10" s="320"/>
      <c r="C10" s="320"/>
      <c r="D10" s="320"/>
      <c r="E10" s="320"/>
      <c r="F10" s="320"/>
      <c r="G10" s="320"/>
      <c r="H10" s="320"/>
      <c r="I10" s="320"/>
      <c r="J10" s="320"/>
      <c r="K10" s="320"/>
      <c r="L10" s="320"/>
      <c r="M10" s="320"/>
      <c r="N10" s="320"/>
      <c r="O10" s="320"/>
      <c r="P10" s="320"/>
      <c r="Q10" s="320"/>
      <c r="R10" s="321"/>
      <c r="S10" s="17"/>
    </row>
    <row r="11" spans="1:32" s="18" customFormat="1" ht="20.100000000000001" customHeight="1" x14ac:dyDescent="0.2">
      <c r="A11" s="125"/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20"/>
      <c r="M11" s="320"/>
      <c r="N11" s="320"/>
      <c r="O11" s="320"/>
      <c r="P11" s="320"/>
      <c r="Q11" s="320"/>
      <c r="R11" s="321"/>
      <c r="S11" s="17"/>
    </row>
    <row r="12" spans="1:32" s="18" customFormat="1" ht="20.100000000000001" customHeight="1" x14ac:dyDescent="0.2">
      <c r="A12" s="125"/>
      <c r="B12" s="320"/>
      <c r="C12" s="320"/>
      <c r="D12" s="320"/>
      <c r="E12" s="320"/>
      <c r="F12" s="320"/>
      <c r="G12" s="320"/>
      <c r="H12" s="320"/>
      <c r="I12" s="320"/>
      <c r="J12" s="320"/>
      <c r="K12" s="320"/>
      <c r="L12" s="320"/>
      <c r="M12" s="320"/>
      <c r="N12" s="320"/>
      <c r="O12" s="320"/>
      <c r="P12" s="320"/>
      <c r="Q12" s="320"/>
      <c r="R12" s="321"/>
      <c r="S12" s="17"/>
    </row>
    <row r="13" spans="1:32" s="18" customFormat="1" ht="20.100000000000001" customHeight="1" x14ac:dyDescent="0.2">
      <c r="A13" s="125"/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0"/>
      <c r="P13" s="320"/>
      <c r="Q13" s="320"/>
      <c r="R13" s="321"/>
      <c r="S13" s="17"/>
    </row>
    <row r="14" spans="1:32" s="18" customFormat="1" ht="20.100000000000001" customHeight="1" x14ac:dyDescent="0.2">
      <c r="A14" s="125"/>
      <c r="B14" s="320"/>
      <c r="C14" s="320"/>
      <c r="D14" s="320"/>
      <c r="E14" s="320"/>
      <c r="F14" s="3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1"/>
      <c r="S14" s="17"/>
    </row>
    <row r="15" spans="1:32" s="18" customFormat="1" ht="20.100000000000001" customHeight="1" x14ac:dyDescent="0.2">
      <c r="A15" s="125"/>
      <c r="B15" s="320"/>
      <c r="C15" s="320"/>
      <c r="D15" s="320"/>
      <c r="E15" s="320"/>
      <c r="F15" s="320"/>
      <c r="G15" s="320"/>
      <c r="H15" s="320"/>
      <c r="I15" s="320"/>
      <c r="J15" s="320"/>
      <c r="K15" s="320"/>
      <c r="L15" s="320"/>
      <c r="M15" s="320"/>
      <c r="N15" s="320"/>
      <c r="O15" s="320"/>
      <c r="P15" s="320"/>
      <c r="Q15" s="320"/>
      <c r="R15" s="321"/>
      <c r="S15" s="17"/>
    </row>
    <row r="16" spans="1:32" s="18" customFormat="1" ht="20.100000000000001" customHeight="1" x14ac:dyDescent="0.2">
      <c r="A16" s="125"/>
      <c r="B16" s="320"/>
      <c r="C16" s="320"/>
      <c r="D16" s="320"/>
      <c r="E16" s="320"/>
      <c r="F16" s="320"/>
      <c r="G16" s="320"/>
      <c r="H16" s="320"/>
      <c r="I16" s="320"/>
      <c r="J16" s="320"/>
      <c r="K16" s="320"/>
      <c r="L16" s="320"/>
      <c r="M16" s="320"/>
      <c r="N16" s="320"/>
      <c r="O16" s="320"/>
      <c r="P16" s="320"/>
      <c r="Q16" s="320"/>
      <c r="R16" s="321"/>
      <c r="S16" s="17"/>
    </row>
    <row r="17" spans="1:19" s="18" customFormat="1" ht="20.100000000000001" customHeight="1" x14ac:dyDescent="0.2">
      <c r="A17" s="125"/>
      <c r="B17" s="320"/>
      <c r="C17" s="320"/>
      <c r="D17" s="320"/>
      <c r="E17" s="320"/>
      <c r="F17" s="320"/>
      <c r="G17" s="320"/>
      <c r="H17" s="320"/>
      <c r="I17" s="320"/>
      <c r="J17" s="320"/>
      <c r="K17" s="320"/>
      <c r="L17" s="320"/>
      <c r="M17" s="320"/>
      <c r="N17" s="320"/>
      <c r="O17" s="320"/>
      <c r="P17" s="320"/>
      <c r="Q17" s="320"/>
      <c r="R17" s="321"/>
      <c r="S17" s="17"/>
    </row>
    <row r="18" spans="1:19" s="18" customFormat="1" ht="20.100000000000001" customHeight="1" x14ac:dyDescent="0.2">
      <c r="A18" s="125"/>
      <c r="B18" s="320"/>
      <c r="C18" s="320"/>
      <c r="D18" s="320"/>
      <c r="E18" s="320"/>
      <c r="F18" s="320"/>
      <c r="G18" s="320"/>
      <c r="H18" s="320"/>
      <c r="I18" s="320"/>
      <c r="J18" s="320"/>
      <c r="K18" s="320"/>
      <c r="L18" s="320"/>
      <c r="M18" s="320"/>
      <c r="N18" s="320"/>
      <c r="O18" s="320"/>
      <c r="P18" s="320"/>
      <c r="Q18" s="320"/>
      <c r="R18" s="321"/>
      <c r="S18" s="17"/>
    </row>
    <row r="19" spans="1:19" s="18" customFormat="1" ht="20.100000000000001" customHeight="1" x14ac:dyDescent="0.2">
      <c r="A19" s="125"/>
      <c r="B19" s="320"/>
      <c r="C19" s="320"/>
      <c r="D19" s="320"/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1"/>
      <c r="S19" s="17"/>
    </row>
    <row r="20" spans="1:19" s="18" customFormat="1" ht="20.100000000000001" customHeight="1" x14ac:dyDescent="0.2">
      <c r="A20" s="125"/>
      <c r="B20" s="320"/>
      <c r="C20" s="320"/>
      <c r="D20" s="320"/>
      <c r="E20" s="320"/>
      <c r="F20" s="320"/>
      <c r="G20" s="320"/>
      <c r="H20" s="320"/>
      <c r="I20" s="320"/>
      <c r="J20" s="320"/>
      <c r="K20" s="320"/>
      <c r="L20" s="320"/>
      <c r="M20" s="320"/>
      <c r="N20" s="320"/>
      <c r="O20" s="320"/>
      <c r="P20" s="320"/>
      <c r="Q20" s="320"/>
      <c r="R20" s="321"/>
      <c r="S20" s="17"/>
    </row>
    <row r="21" spans="1:19" s="18" customFormat="1" ht="20.100000000000001" customHeight="1" x14ac:dyDescent="0.2">
      <c r="A21" s="125"/>
      <c r="B21" s="320"/>
      <c r="C21" s="320"/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320"/>
      <c r="O21" s="320"/>
      <c r="P21" s="320"/>
      <c r="Q21" s="320"/>
      <c r="R21" s="321"/>
      <c r="S21" s="17"/>
    </row>
    <row r="22" spans="1:19" s="18" customFormat="1" ht="20.100000000000001" customHeight="1" x14ac:dyDescent="0.2">
      <c r="A22" s="125"/>
      <c r="B22" s="320"/>
      <c r="C22" s="320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0"/>
      <c r="O22" s="320"/>
      <c r="P22" s="320"/>
      <c r="Q22" s="320"/>
      <c r="R22" s="321"/>
      <c r="S22" s="17"/>
    </row>
    <row r="23" spans="1:19" s="18" customFormat="1" ht="20.100000000000001" customHeight="1" x14ac:dyDescent="0.2">
      <c r="A23" s="125"/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1"/>
      <c r="S23" s="17"/>
    </row>
    <row r="24" spans="1:19" s="18" customFormat="1" ht="20.100000000000001" customHeight="1" x14ac:dyDescent="0.2">
      <c r="A24" s="125"/>
      <c r="B24" s="320"/>
      <c r="C24" s="320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P24" s="320"/>
      <c r="Q24" s="320"/>
      <c r="R24" s="321"/>
      <c r="S24" s="17"/>
    </row>
    <row r="25" spans="1:19" s="18" customFormat="1" ht="20.100000000000001" customHeight="1" x14ac:dyDescent="0.2">
      <c r="A25" s="125"/>
      <c r="B25" s="320"/>
      <c r="C25" s="320"/>
      <c r="D25" s="320"/>
      <c r="E25" s="320"/>
      <c r="F25" s="320"/>
      <c r="G25" s="320"/>
      <c r="H25" s="320"/>
      <c r="I25" s="320"/>
      <c r="J25" s="320"/>
      <c r="K25" s="320"/>
      <c r="L25" s="320"/>
      <c r="M25" s="320"/>
      <c r="N25" s="320"/>
      <c r="O25" s="320"/>
      <c r="P25" s="320"/>
      <c r="Q25" s="320"/>
      <c r="R25" s="321"/>
      <c r="S25" s="17"/>
    </row>
    <row r="26" spans="1:19" s="18" customFormat="1" ht="20.100000000000001" customHeight="1" x14ac:dyDescent="0.2">
      <c r="A26" s="125"/>
      <c r="B26" s="320"/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1"/>
      <c r="S26" s="17"/>
    </row>
    <row r="27" spans="1:19" s="18" customFormat="1" ht="20.100000000000001" customHeight="1" x14ac:dyDescent="0.2">
      <c r="A27" s="125"/>
      <c r="B27" s="320"/>
      <c r="C27" s="320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1"/>
      <c r="S27" s="17"/>
    </row>
    <row r="28" spans="1:19" s="18" customFormat="1" ht="20.100000000000001" customHeight="1" x14ac:dyDescent="0.2">
      <c r="A28" s="125"/>
      <c r="B28" s="320"/>
      <c r="C28" s="320"/>
      <c r="D28" s="320"/>
      <c r="E28" s="320"/>
      <c r="F28" s="320"/>
      <c r="G28" s="320"/>
      <c r="H28" s="320"/>
      <c r="I28" s="320"/>
      <c r="J28" s="320"/>
      <c r="K28" s="320"/>
      <c r="L28" s="320"/>
      <c r="M28" s="320"/>
      <c r="N28" s="320"/>
      <c r="O28" s="320"/>
      <c r="P28" s="320"/>
      <c r="Q28" s="320"/>
      <c r="R28" s="321"/>
      <c r="S28" s="17"/>
    </row>
    <row r="29" spans="1:19" s="18" customFormat="1" ht="20.100000000000001" customHeight="1" x14ac:dyDescent="0.2">
      <c r="A29" s="125"/>
      <c r="B29" s="320"/>
      <c r="C29" s="320"/>
      <c r="D29" s="320"/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1"/>
      <c r="S29" s="17"/>
    </row>
    <row r="30" spans="1:19" s="18" customFormat="1" ht="20.100000000000001" customHeight="1" x14ac:dyDescent="0.2">
      <c r="A30" s="125"/>
      <c r="B30" s="320"/>
      <c r="C30" s="320"/>
      <c r="D30" s="320"/>
      <c r="E30" s="320"/>
      <c r="F30" s="320"/>
      <c r="G30" s="320"/>
      <c r="H30" s="320"/>
      <c r="I30" s="320"/>
      <c r="J30" s="320"/>
      <c r="K30" s="320"/>
      <c r="L30" s="320"/>
      <c r="M30" s="320"/>
      <c r="N30" s="320"/>
      <c r="O30" s="320"/>
      <c r="P30" s="320"/>
      <c r="Q30" s="320"/>
      <c r="R30" s="321"/>
      <c r="S30" s="17"/>
    </row>
    <row r="31" spans="1:19" s="18" customFormat="1" ht="20.100000000000001" customHeight="1" x14ac:dyDescent="0.2">
      <c r="A31" s="125"/>
      <c r="B31" s="320"/>
      <c r="C31" s="320"/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1"/>
      <c r="S31" s="17"/>
    </row>
    <row r="32" spans="1:19" s="18" customFormat="1" ht="20.100000000000001" customHeight="1" x14ac:dyDescent="0.2">
      <c r="A32" s="125"/>
      <c r="B32" s="320"/>
      <c r="C32" s="320"/>
      <c r="D32" s="320"/>
      <c r="E32" s="320"/>
      <c r="F32" s="320"/>
      <c r="G32" s="320"/>
      <c r="H32" s="320"/>
      <c r="I32" s="320"/>
      <c r="J32" s="320"/>
      <c r="K32" s="320"/>
      <c r="L32" s="320"/>
      <c r="M32" s="320"/>
      <c r="N32" s="320"/>
      <c r="O32" s="320"/>
      <c r="P32" s="320"/>
      <c r="Q32" s="320"/>
      <c r="R32" s="321"/>
      <c r="S32" s="17"/>
    </row>
    <row r="33" spans="1:19" s="18" customFormat="1" ht="20.100000000000001" customHeight="1" x14ac:dyDescent="0.2">
      <c r="A33" s="125"/>
      <c r="B33" s="320"/>
      <c r="C33" s="320"/>
      <c r="D33" s="320"/>
      <c r="E33" s="320"/>
      <c r="F33" s="320"/>
      <c r="G33" s="320"/>
      <c r="H33" s="320"/>
      <c r="I33" s="320"/>
      <c r="J33" s="320"/>
      <c r="K33" s="320"/>
      <c r="L33" s="320"/>
      <c r="M33" s="320"/>
      <c r="N33" s="320"/>
      <c r="O33" s="320"/>
      <c r="P33" s="320"/>
      <c r="Q33" s="320"/>
      <c r="R33" s="321"/>
      <c r="S33" s="17"/>
    </row>
    <row r="34" spans="1:19" s="18" customFormat="1" ht="20.100000000000001" customHeight="1" x14ac:dyDescent="0.2">
      <c r="A34" s="125"/>
      <c r="B34" s="320"/>
      <c r="C34" s="320"/>
      <c r="D34" s="320"/>
      <c r="E34" s="320"/>
      <c r="F34" s="320"/>
      <c r="G34" s="320"/>
      <c r="H34" s="320"/>
      <c r="I34" s="320"/>
      <c r="J34" s="320"/>
      <c r="K34" s="320"/>
      <c r="L34" s="320"/>
      <c r="M34" s="320"/>
      <c r="N34" s="320"/>
      <c r="O34" s="320"/>
      <c r="P34" s="320"/>
      <c r="Q34" s="320"/>
      <c r="R34" s="321"/>
      <c r="S34" s="17"/>
    </row>
    <row r="35" spans="1:19" s="18" customFormat="1" ht="20.100000000000001" customHeight="1" x14ac:dyDescent="0.2">
      <c r="A35" s="125"/>
      <c r="B35" s="320"/>
      <c r="C35" s="320"/>
      <c r="D35" s="320"/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1"/>
      <c r="S35" s="17"/>
    </row>
    <row r="36" spans="1:19" s="18" customFormat="1" ht="20.100000000000001" customHeight="1" x14ac:dyDescent="0.2">
      <c r="A36" s="125"/>
      <c r="B36" s="320"/>
      <c r="C36" s="320"/>
      <c r="D36" s="320"/>
      <c r="E36" s="320"/>
      <c r="F36" s="320"/>
      <c r="G36" s="320"/>
      <c r="H36" s="320"/>
      <c r="I36" s="320"/>
      <c r="J36" s="320"/>
      <c r="K36" s="320"/>
      <c r="L36" s="320"/>
      <c r="M36" s="320"/>
      <c r="N36" s="320"/>
      <c r="O36" s="320"/>
      <c r="P36" s="320"/>
      <c r="Q36" s="320"/>
      <c r="R36" s="321"/>
      <c r="S36" s="17"/>
    </row>
    <row r="37" spans="1:19" s="18" customFormat="1" ht="20.100000000000001" customHeight="1" x14ac:dyDescent="0.2">
      <c r="A37" s="125"/>
      <c r="B37" s="320"/>
      <c r="C37" s="320"/>
      <c r="D37" s="320"/>
      <c r="E37" s="320"/>
      <c r="F37" s="320"/>
      <c r="G37" s="320"/>
      <c r="H37" s="320"/>
      <c r="I37" s="320"/>
      <c r="J37" s="320"/>
      <c r="K37" s="320"/>
      <c r="L37" s="320"/>
      <c r="M37" s="320"/>
      <c r="N37" s="320"/>
      <c r="O37" s="320"/>
      <c r="P37" s="320"/>
      <c r="Q37" s="320"/>
      <c r="R37" s="321"/>
      <c r="S37" s="17"/>
    </row>
    <row r="38" spans="1:19" s="18" customFormat="1" ht="20.100000000000001" customHeight="1" x14ac:dyDescent="0.2">
      <c r="A38" s="125"/>
      <c r="B38" s="320"/>
      <c r="C38" s="320"/>
      <c r="D38" s="320"/>
      <c r="E38" s="320"/>
      <c r="F38" s="320"/>
      <c r="G38" s="320"/>
      <c r="H38" s="320"/>
      <c r="I38" s="320"/>
      <c r="J38" s="320"/>
      <c r="K38" s="320"/>
      <c r="L38" s="320"/>
      <c r="M38" s="320"/>
      <c r="N38" s="320"/>
      <c r="O38" s="320"/>
      <c r="P38" s="320"/>
      <c r="Q38" s="320"/>
      <c r="R38" s="321"/>
      <c r="S38" s="17"/>
    </row>
    <row r="39" spans="1:19" s="18" customFormat="1" ht="20.100000000000001" customHeight="1" x14ac:dyDescent="0.2">
      <c r="A39" s="125"/>
      <c r="B39" s="320"/>
      <c r="C39" s="320"/>
      <c r="D39" s="320"/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  <c r="R39" s="321"/>
      <c r="S39" s="17"/>
    </row>
    <row r="40" spans="1:19" s="18" customFormat="1" ht="20.100000000000001" customHeight="1" x14ac:dyDescent="0.2">
      <c r="A40" s="125"/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0"/>
      <c r="P40" s="320"/>
      <c r="Q40" s="320"/>
      <c r="R40" s="321"/>
      <c r="S40" s="17"/>
    </row>
    <row r="41" spans="1:19" s="18" customFormat="1" ht="20.100000000000001" customHeight="1" x14ac:dyDescent="0.2">
      <c r="A41" s="125"/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  <c r="R41" s="321"/>
      <c r="S41" s="17"/>
    </row>
    <row r="42" spans="1:19" s="18" customFormat="1" ht="20.100000000000001" customHeight="1" x14ac:dyDescent="0.2">
      <c r="A42" s="125"/>
      <c r="B42" s="320"/>
      <c r="C42" s="320"/>
      <c r="D42" s="320"/>
      <c r="E42" s="320"/>
      <c r="F42" s="320"/>
      <c r="G42" s="320"/>
      <c r="H42" s="320"/>
      <c r="I42" s="320"/>
      <c r="J42" s="320"/>
      <c r="K42" s="320"/>
      <c r="L42" s="320"/>
      <c r="M42" s="320"/>
      <c r="N42" s="320"/>
      <c r="O42" s="320"/>
      <c r="P42" s="320"/>
      <c r="Q42" s="320"/>
      <c r="R42" s="321"/>
      <c r="S42" s="17"/>
    </row>
    <row r="43" spans="1:19" s="18" customFormat="1" ht="20.100000000000001" customHeight="1" x14ac:dyDescent="0.2">
      <c r="A43" s="125"/>
      <c r="B43" s="320"/>
      <c r="C43" s="320"/>
      <c r="D43" s="320"/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1"/>
      <c r="S43" s="17"/>
    </row>
    <row r="44" spans="1:19" s="18" customFormat="1" ht="20.100000000000001" customHeight="1" x14ac:dyDescent="0.2">
      <c r="A44" s="125"/>
      <c r="B44" s="320"/>
      <c r="C44" s="320"/>
      <c r="D44" s="320"/>
      <c r="E44" s="320"/>
      <c r="F44" s="320"/>
      <c r="G44" s="320"/>
      <c r="H44" s="320"/>
      <c r="I44" s="320"/>
      <c r="J44" s="320"/>
      <c r="K44" s="320"/>
      <c r="L44" s="320"/>
      <c r="M44" s="320"/>
      <c r="N44" s="320"/>
      <c r="O44" s="320"/>
      <c r="P44" s="320"/>
      <c r="Q44" s="320"/>
      <c r="R44" s="321"/>
      <c r="S44" s="17"/>
    </row>
    <row r="45" spans="1:19" s="18" customFormat="1" ht="20.100000000000001" customHeight="1" x14ac:dyDescent="0.2">
      <c r="A45" s="125"/>
      <c r="B45" s="320"/>
      <c r="C45" s="320"/>
      <c r="D45" s="320"/>
      <c r="E45" s="320"/>
      <c r="F45" s="320"/>
      <c r="G45" s="320"/>
      <c r="H45" s="320"/>
      <c r="I45" s="320"/>
      <c r="J45" s="320"/>
      <c r="K45" s="320"/>
      <c r="L45" s="320"/>
      <c r="M45" s="320"/>
      <c r="N45" s="320"/>
      <c r="O45" s="320"/>
      <c r="P45" s="320"/>
      <c r="Q45" s="320"/>
      <c r="R45" s="321"/>
      <c r="S45" s="17"/>
    </row>
    <row r="46" spans="1:19" s="18" customFormat="1" ht="20.100000000000001" customHeight="1" x14ac:dyDescent="0.2">
      <c r="A46" s="125"/>
      <c r="B46" s="320"/>
      <c r="C46" s="320"/>
      <c r="D46" s="320"/>
      <c r="E46" s="320"/>
      <c r="F46" s="320"/>
      <c r="G46" s="320"/>
      <c r="H46" s="320"/>
      <c r="I46" s="320"/>
      <c r="J46" s="320"/>
      <c r="K46" s="320"/>
      <c r="L46" s="320"/>
      <c r="M46" s="320"/>
      <c r="N46" s="320"/>
      <c r="O46" s="320"/>
      <c r="P46" s="320"/>
      <c r="Q46" s="320"/>
      <c r="R46" s="321"/>
      <c r="S46" s="17"/>
    </row>
    <row r="47" spans="1:19" s="18" customFormat="1" ht="20.100000000000001" customHeight="1" x14ac:dyDescent="0.2">
      <c r="A47" s="125"/>
      <c r="B47" s="320"/>
      <c r="C47" s="320"/>
      <c r="D47" s="320"/>
      <c r="E47" s="320"/>
      <c r="F47" s="320"/>
      <c r="G47" s="320"/>
      <c r="H47" s="320"/>
      <c r="I47" s="320"/>
      <c r="J47" s="320"/>
      <c r="K47" s="320"/>
      <c r="L47" s="320"/>
      <c r="M47" s="320"/>
      <c r="N47" s="320"/>
      <c r="O47" s="320"/>
      <c r="P47" s="320"/>
      <c r="Q47" s="320"/>
      <c r="R47" s="321"/>
      <c r="S47" s="17"/>
    </row>
    <row r="48" spans="1:19" s="18" customFormat="1" ht="20.100000000000001" customHeight="1" x14ac:dyDescent="0.2">
      <c r="A48" s="125"/>
      <c r="B48" s="320"/>
      <c r="C48" s="320"/>
      <c r="D48" s="320"/>
      <c r="E48" s="320"/>
      <c r="F48" s="320"/>
      <c r="G48" s="320"/>
      <c r="H48" s="320"/>
      <c r="I48" s="320"/>
      <c r="J48" s="320"/>
      <c r="K48" s="320"/>
      <c r="L48" s="320"/>
      <c r="M48" s="320"/>
      <c r="N48" s="320"/>
      <c r="O48" s="320"/>
      <c r="P48" s="320"/>
      <c r="Q48" s="320"/>
      <c r="R48" s="321"/>
      <c r="S48" s="17"/>
    </row>
    <row r="49" spans="1:19" s="18" customFormat="1" ht="20.100000000000001" customHeight="1" x14ac:dyDescent="0.2">
      <c r="A49" s="125"/>
      <c r="B49" s="320"/>
      <c r="C49" s="320"/>
      <c r="D49" s="320"/>
      <c r="E49" s="320"/>
      <c r="F49" s="320"/>
      <c r="G49" s="320"/>
      <c r="H49" s="320"/>
      <c r="I49" s="320"/>
      <c r="J49" s="320"/>
      <c r="K49" s="320"/>
      <c r="L49" s="320"/>
      <c r="M49" s="320"/>
      <c r="N49" s="320"/>
      <c r="O49" s="320"/>
      <c r="P49" s="320"/>
      <c r="Q49" s="320"/>
      <c r="R49" s="321"/>
      <c r="S49" s="17"/>
    </row>
    <row r="50" spans="1:19" s="18" customFormat="1" ht="20.100000000000001" customHeight="1" x14ac:dyDescent="0.2">
      <c r="A50" s="125"/>
      <c r="B50" s="320"/>
      <c r="C50" s="320"/>
      <c r="D50" s="320"/>
      <c r="E50" s="320"/>
      <c r="F50" s="320"/>
      <c r="G50" s="320"/>
      <c r="H50" s="320"/>
      <c r="I50" s="320"/>
      <c r="J50" s="320"/>
      <c r="K50" s="320"/>
      <c r="L50" s="320"/>
      <c r="M50" s="320"/>
      <c r="N50" s="320"/>
      <c r="O50" s="320"/>
      <c r="P50" s="320"/>
      <c r="Q50" s="320"/>
      <c r="R50" s="321"/>
      <c r="S50" s="17"/>
    </row>
    <row r="51" spans="1:19" s="18" customFormat="1" ht="20.100000000000001" customHeight="1" x14ac:dyDescent="0.2">
      <c r="A51" s="125"/>
      <c r="B51" s="320"/>
      <c r="C51" s="320"/>
      <c r="D51" s="320"/>
      <c r="E51" s="320"/>
      <c r="F51" s="320"/>
      <c r="G51" s="320"/>
      <c r="H51" s="320"/>
      <c r="I51" s="320"/>
      <c r="J51" s="320"/>
      <c r="K51" s="320"/>
      <c r="L51" s="320"/>
      <c r="M51" s="320"/>
      <c r="N51" s="320"/>
      <c r="O51" s="320"/>
      <c r="P51" s="320"/>
      <c r="Q51" s="320"/>
      <c r="R51" s="321"/>
      <c r="S51" s="17"/>
    </row>
    <row r="52" spans="1:19" s="18" customFormat="1" ht="20.100000000000001" customHeight="1" x14ac:dyDescent="0.2">
      <c r="A52" s="125"/>
      <c r="B52" s="320"/>
      <c r="C52" s="320"/>
      <c r="D52" s="320"/>
      <c r="E52" s="320"/>
      <c r="F52" s="320"/>
      <c r="G52" s="320"/>
      <c r="H52" s="320"/>
      <c r="I52" s="320"/>
      <c r="J52" s="320"/>
      <c r="K52" s="320"/>
      <c r="L52" s="320"/>
      <c r="M52" s="320"/>
      <c r="N52" s="320"/>
      <c r="O52" s="320"/>
      <c r="P52" s="320"/>
      <c r="Q52" s="320"/>
      <c r="R52" s="321"/>
      <c r="S52" s="17"/>
    </row>
    <row r="53" spans="1:19" s="18" customFormat="1" ht="20.100000000000001" customHeight="1" thickBot="1" x14ac:dyDescent="0.25">
      <c r="A53" s="125"/>
      <c r="B53" s="320"/>
      <c r="C53" s="320"/>
      <c r="D53" s="320"/>
      <c r="E53" s="320"/>
      <c r="F53" s="320"/>
      <c r="G53" s="320"/>
      <c r="H53" s="320"/>
      <c r="I53" s="320"/>
      <c r="J53" s="320"/>
      <c r="K53" s="320"/>
      <c r="L53" s="320"/>
      <c r="M53" s="320"/>
      <c r="N53" s="320"/>
      <c r="O53" s="320"/>
      <c r="P53" s="320"/>
      <c r="Q53" s="320"/>
      <c r="R53" s="321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2" t="s">
        <v>26</v>
      </c>
      <c r="B1" s="323"/>
      <c r="C1" s="345" t="str">
        <f ca="1">IF(ISBLANK(INDIRECT("Cover!D3")),"",INDIRECT("Cover!D3"))</f>
        <v>*</v>
      </c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5"/>
      <c r="W1" s="345"/>
      <c r="X1" s="345"/>
      <c r="Y1" s="345"/>
      <c r="Z1" s="22" t="s">
        <v>28</v>
      </c>
      <c r="AA1" s="363" t="str">
        <f ca="1">IF(ISBLANK(INDIRECT("Cover!O2")),"",INDIRECT("Cover!O2"))</f>
        <v>*</v>
      </c>
      <c r="AB1" s="363"/>
      <c r="AC1" s="364"/>
    </row>
    <row r="2" spans="1:29" s="9" customFormat="1" ht="20.100000000000001" customHeight="1" thickBot="1" x14ac:dyDescent="0.25">
      <c r="A2" s="324" t="s">
        <v>27</v>
      </c>
      <c r="B2" s="325"/>
      <c r="C2" s="356" t="str">
        <f ca="1">IF(ISBLANK(INDIRECT("Cover!D4")),"",INDIRECT("Cover!D4"))</f>
        <v>*</v>
      </c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4" t="s">
        <v>44</v>
      </c>
      <c r="B3" s="354" t="s">
        <v>0</v>
      </c>
      <c r="C3" s="354" t="s">
        <v>1</v>
      </c>
      <c r="D3" s="357" t="s">
        <v>81</v>
      </c>
      <c r="E3" s="358"/>
      <c r="F3" s="346" t="s">
        <v>2</v>
      </c>
      <c r="G3" s="347"/>
      <c r="H3" s="347"/>
      <c r="I3" s="346" t="s">
        <v>5</v>
      </c>
      <c r="J3" s="347"/>
      <c r="K3" s="347"/>
      <c r="L3" s="346" t="s">
        <v>8</v>
      </c>
      <c r="M3" s="348"/>
      <c r="N3" s="23" t="s">
        <v>6</v>
      </c>
      <c r="O3" s="23" t="s">
        <v>22</v>
      </c>
      <c r="P3" s="353" t="s">
        <v>79</v>
      </c>
      <c r="Q3" s="347"/>
      <c r="R3" s="348"/>
      <c r="S3" s="346" t="s">
        <v>75</v>
      </c>
      <c r="T3" s="347"/>
      <c r="U3" s="347"/>
      <c r="V3" s="346" t="s">
        <v>76</v>
      </c>
      <c r="W3" s="347"/>
      <c r="X3" s="348"/>
      <c r="Y3" s="361" t="s">
        <v>80</v>
      </c>
      <c r="Z3" s="365" t="s">
        <v>11</v>
      </c>
      <c r="AA3" s="366"/>
      <c r="AB3" s="366"/>
      <c r="AC3" s="367"/>
    </row>
    <row r="4" spans="1:29" s="9" customFormat="1" ht="20.100000000000001" customHeight="1" thickBot="1" x14ac:dyDescent="0.25">
      <c r="A4" s="355"/>
      <c r="B4" s="355"/>
      <c r="C4" s="355"/>
      <c r="D4" s="359"/>
      <c r="E4" s="360"/>
      <c r="F4" s="61" t="s">
        <v>3</v>
      </c>
      <c r="G4" s="351" t="s">
        <v>4</v>
      </c>
      <c r="H4" s="352"/>
      <c r="I4" s="61" t="s">
        <v>3</v>
      </c>
      <c r="J4" s="351" t="s">
        <v>4</v>
      </c>
      <c r="K4" s="352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51" t="s">
        <v>77</v>
      </c>
      <c r="U4" s="352"/>
      <c r="V4" s="61" t="s">
        <v>78</v>
      </c>
      <c r="W4" s="351" t="s">
        <v>77</v>
      </c>
      <c r="X4" s="352"/>
      <c r="Y4" s="362"/>
      <c r="Z4" s="368"/>
      <c r="AA4" s="369"/>
      <c r="AB4" s="369"/>
      <c r="AC4" s="370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39"/>
      <c r="AA5" s="340"/>
      <c r="AB5" s="340"/>
      <c r="AC5" s="341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42"/>
      <c r="AA6" s="343"/>
      <c r="AB6" s="343"/>
      <c r="AC6" s="344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42"/>
      <c r="AA7" s="343"/>
      <c r="AB7" s="343"/>
      <c r="AC7" s="344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42"/>
      <c r="AA8" s="343"/>
      <c r="AB8" s="343"/>
      <c r="AC8" s="344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42"/>
      <c r="AA9" s="343"/>
      <c r="AB9" s="343"/>
      <c r="AC9" s="344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42"/>
      <c r="AA10" s="343"/>
      <c r="AB10" s="343"/>
      <c r="AC10" s="344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42"/>
      <c r="AA11" s="343"/>
      <c r="AB11" s="343"/>
      <c r="AC11" s="344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42"/>
      <c r="AA12" s="343"/>
      <c r="AB12" s="343"/>
      <c r="AC12" s="344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42"/>
      <c r="AA13" s="343"/>
      <c r="AB13" s="343"/>
      <c r="AC13" s="344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42"/>
      <c r="AA14" s="343"/>
      <c r="AB14" s="343"/>
      <c r="AC14" s="344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42"/>
      <c r="AA15" s="343"/>
      <c r="AB15" s="343"/>
      <c r="AC15" s="344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42"/>
      <c r="AA16" s="343"/>
      <c r="AB16" s="343"/>
      <c r="AC16" s="344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42"/>
      <c r="AA17" s="343"/>
      <c r="AB17" s="343"/>
      <c r="AC17" s="344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42"/>
      <c r="AA18" s="343"/>
      <c r="AB18" s="343"/>
      <c r="AC18" s="344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42"/>
      <c r="AA19" s="343"/>
      <c r="AB19" s="343"/>
      <c r="AC19" s="344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42"/>
      <c r="AA20" s="343"/>
      <c r="AB20" s="343"/>
      <c r="AC20" s="344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42"/>
      <c r="AA21" s="343"/>
      <c r="AB21" s="343"/>
      <c r="AC21" s="344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42"/>
      <c r="AA22" s="343"/>
      <c r="AB22" s="343"/>
      <c r="AC22" s="344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42"/>
      <c r="AA23" s="343"/>
      <c r="AB23" s="343"/>
      <c r="AC23" s="344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42"/>
      <c r="AA24" s="343"/>
      <c r="AB24" s="343"/>
      <c r="AC24" s="344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42"/>
      <c r="AA25" s="343"/>
      <c r="AB25" s="343"/>
      <c r="AC25" s="344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42"/>
      <c r="AA26" s="343"/>
      <c r="AB26" s="343"/>
      <c r="AC26" s="344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42"/>
      <c r="AA27" s="343"/>
      <c r="AB27" s="343"/>
      <c r="AC27" s="344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42"/>
      <c r="AA28" s="343"/>
      <c r="AB28" s="343"/>
      <c r="AC28" s="344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42"/>
      <c r="AA29" s="343"/>
      <c r="AB29" s="343"/>
      <c r="AC29" s="344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42"/>
      <c r="AA30" s="343"/>
      <c r="AB30" s="343"/>
      <c r="AC30" s="344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42"/>
      <c r="AA31" s="343"/>
      <c r="AB31" s="343"/>
      <c r="AC31" s="344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42"/>
      <c r="AA32" s="343"/>
      <c r="AB32" s="343"/>
      <c r="AC32" s="344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42"/>
      <c r="AA33" s="343"/>
      <c r="AB33" s="343"/>
      <c r="AC33" s="344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42"/>
      <c r="AA34" s="343"/>
      <c r="AB34" s="343"/>
      <c r="AC34" s="344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42"/>
      <c r="AA35" s="343"/>
      <c r="AB35" s="343"/>
      <c r="AC35" s="344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42"/>
      <c r="AA36" s="343"/>
      <c r="AB36" s="343"/>
      <c r="AC36" s="344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42"/>
      <c r="AA37" s="343"/>
      <c r="AB37" s="343"/>
      <c r="AC37" s="344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42"/>
      <c r="AA38" s="343"/>
      <c r="AB38" s="343"/>
      <c r="AC38" s="344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42"/>
      <c r="AA39" s="343"/>
      <c r="AB39" s="343"/>
      <c r="AC39" s="344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42"/>
      <c r="AA40" s="343"/>
      <c r="AB40" s="343"/>
      <c r="AC40" s="344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42"/>
      <c r="AA41" s="343"/>
      <c r="AB41" s="343"/>
      <c r="AC41" s="344"/>
    </row>
    <row r="42" spans="1:29" s="18" customFormat="1" ht="20.100000000000001" customHeight="1" thickBot="1" x14ac:dyDescent="0.25">
      <c r="A42" s="74" t="s">
        <v>47</v>
      </c>
      <c r="B42" s="337">
        <f>SUM(B5:B41)</f>
        <v>0</v>
      </c>
      <c r="C42" s="338"/>
      <c r="D42" s="334"/>
      <c r="E42" s="335"/>
      <c r="F42" s="335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  <c r="U42" s="335"/>
      <c r="V42" s="335"/>
      <c r="W42" s="335"/>
      <c r="X42" s="335"/>
      <c r="Y42" s="335"/>
      <c r="Z42" s="335"/>
      <c r="AA42" s="335"/>
      <c r="AB42" s="335"/>
      <c r="AC42" s="336"/>
    </row>
    <row r="43" spans="1:29" s="18" customFormat="1" ht="20.100000000000001" customHeight="1" x14ac:dyDescent="0.2">
      <c r="A43" s="163" t="s">
        <v>25</v>
      </c>
      <c r="B43" s="349"/>
      <c r="C43" s="349"/>
      <c r="D43" s="349"/>
      <c r="E43" s="349"/>
      <c r="F43" s="349"/>
      <c r="G43" s="349"/>
      <c r="H43" s="349"/>
      <c r="I43" s="349"/>
      <c r="J43" s="349"/>
      <c r="K43" s="349"/>
      <c r="L43" s="349"/>
      <c r="M43" s="349"/>
      <c r="N43" s="349"/>
      <c r="O43" s="349"/>
      <c r="P43" s="349"/>
      <c r="Q43" s="349"/>
      <c r="R43" s="349"/>
      <c r="S43" s="349"/>
      <c r="T43" s="349"/>
      <c r="U43" s="349"/>
      <c r="V43" s="349"/>
      <c r="W43" s="349"/>
      <c r="X43" s="349"/>
      <c r="Y43" s="349"/>
      <c r="Z43" s="349"/>
      <c r="AA43" s="349"/>
      <c r="AB43" s="349"/>
      <c r="AC43" s="350"/>
    </row>
    <row r="44" spans="1:29" s="18" customFormat="1" ht="20.100000000000001" customHeight="1" x14ac:dyDescent="0.2">
      <c r="A44" s="342"/>
      <c r="B44" s="343"/>
      <c r="C44" s="343"/>
      <c r="D44" s="343"/>
      <c r="E44" s="343"/>
      <c r="F44" s="343"/>
      <c r="G44" s="343"/>
      <c r="H44" s="343"/>
      <c r="I44" s="343"/>
      <c r="J44" s="343"/>
      <c r="K44" s="343"/>
      <c r="L44" s="343"/>
      <c r="M44" s="343"/>
      <c r="N44" s="343"/>
      <c r="O44" s="343"/>
      <c r="P44" s="343"/>
      <c r="Q44" s="343"/>
      <c r="R44" s="343"/>
      <c r="S44" s="343"/>
      <c r="T44" s="343"/>
      <c r="U44" s="343"/>
      <c r="V44" s="343"/>
      <c r="W44" s="343"/>
      <c r="X44" s="343"/>
      <c r="Y44" s="343"/>
      <c r="Z44" s="343"/>
      <c r="AA44" s="343"/>
      <c r="AB44" s="343"/>
      <c r="AC44" s="344"/>
    </row>
    <row r="45" spans="1:29" s="18" customFormat="1" ht="20.100000000000001" customHeight="1" thickBot="1" x14ac:dyDescent="0.25">
      <c r="A45" s="331"/>
      <c r="B45" s="332"/>
      <c r="C45" s="332"/>
      <c r="D45" s="332"/>
      <c r="E45" s="332"/>
      <c r="F45" s="332"/>
      <c r="G45" s="332"/>
      <c r="H45" s="332"/>
      <c r="I45" s="332"/>
      <c r="J45" s="332"/>
      <c r="K45" s="332"/>
      <c r="L45" s="332"/>
      <c r="M45" s="332"/>
      <c r="N45" s="332"/>
      <c r="O45" s="332"/>
      <c r="P45" s="332"/>
      <c r="Q45" s="332"/>
      <c r="R45" s="332"/>
      <c r="S45" s="332"/>
      <c r="T45" s="332"/>
      <c r="U45" s="332"/>
      <c r="V45" s="332"/>
      <c r="W45" s="332"/>
      <c r="X45" s="332"/>
      <c r="Y45" s="332"/>
      <c r="Z45" s="332"/>
      <c r="AA45" s="332"/>
      <c r="AB45" s="332"/>
      <c r="AC45" s="333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5" t="s">
        <v>29</v>
      </c>
      <c r="B1" s="386"/>
      <c r="C1" s="382" t="str">
        <f ca="1">IF(ISBLANK(INDIRECT("Cover!D3")),"",INDIRECT("Cover!D3"))</f>
        <v>*</v>
      </c>
      <c r="D1" s="382"/>
      <c r="E1" s="382"/>
      <c r="F1" s="382"/>
      <c r="G1" s="382"/>
      <c r="H1" s="382"/>
      <c r="I1" s="382"/>
      <c r="J1" s="47" t="s">
        <v>19</v>
      </c>
      <c r="K1" s="373" t="str">
        <f ca="1">IF(ISBLANK(INDIRECT("Cover!O2")),"",INDIRECT("Cover!O2"))</f>
        <v>*</v>
      </c>
      <c r="L1" s="373"/>
      <c r="M1" s="374"/>
    </row>
    <row r="2" spans="1:13" ht="20.100000000000001" customHeight="1" thickBot="1" x14ac:dyDescent="0.25">
      <c r="A2" s="387" t="s">
        <v>30</v>
      </c>
      <c r="B2" s="388"/>
      <c r="C2" s="381" t="str">
        <f ca="1">IF(ISBLANK(INDIRECT("Cover!D4")),"",INDIRECT("Cover!D4"))</f>
        <v>*</v>
      </c>
      <c r="D2" s="381"/>
      <c r="E2" s="381"/>
      <c r="F2" s="381"/>
      <c r="G2" s="381"/>
      <c r="H2" s="381"/>
      <c r="I2" s="381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78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79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79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79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79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79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79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79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79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79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79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79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79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79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79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79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79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79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79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79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79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79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89"/>
      <c r="B25" s="390"/>
      <c r="C25" s="391"/>
      <c r="D25" s="371" t="s">
        <v>47</v>
      </c>
      <c r="E25" s="372"/>
      <c r="F25" s="1">
        <f>ROUNDUP(SUM(F4:F24)*1.02,-1)</f>
        <v>0</v>
      </c>
      <c r="G25" s="379"/>
      <c r="H25" s="389"/>
      <c r="I25" s="390"/>
      <c r="J25" s="391"/>
      <c r="K25" s="371" t="s">
        <v>47</v>
      </c>
      <c r="L25" s="372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79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79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79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79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79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79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79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79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79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79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79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79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79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79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79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79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79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79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79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79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79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89"/>
      <c r="B47" s="390"/>
      <c r="C47" s="391"/>
      <c r="D47" s="371" t="s">
        <v>47</v>
      </c>
      <c r="E47" s="372"/>
      <c r="F47" s="1">
        <f>ROUNDUP(SUM(F26:F46)*1.02,-1)</f>
        <v>0</v>
      </c>
      <c r="G47" s="379"/>
      <c r="H47" s="389"/>
      <c r="I47" s="390"/>
      <c r="J47" s="391"/>
      <c r="K47" s="371" t="s">
        <v>47</v>
      </c>
      <c r="L47" s="372"/>
      <c r="M47" s="1">
        <f>ROUNDUP(SUM(M26:M46)*1.02,-1)</f>
        <v>0</v>
      </c>
    </row>
    <row r="48" spans="1:13" ht="9.9499999999999993" customHeight="1" thickBot="1" x14ac:dyDescent="0.25">
      <c r="A48" s="375"/>
      <c r="B48" s="376"/>
      <c r="C48" s="376"/>
      <c r="D48" s="376"/>
      <c r="E48" s="376"/>
      <c r="F48" s="377"/>
      <c r="G48" s="379"/>
      <c r="H48" s="375"/>
      <c r="I48" s="376"/>
      <c r="J48" s="376"/>
      <c r="K48" s="376"/>
      <c r="L48" s="376"/>
      <c r="M48" s="377"/>
    </row>
    <row r="49" spans="1:13" ht="20.100000000000001" customHeight="1" thickBot="1" x14ac:dyDescent="0.3">
      <c r="A49" s="383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79"/>
      <c r="H49" s="383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4"/>
      <c r="B50" s="55"/>
      <c r="C50" s="3"/>
      <c r="D50" s="56"/>
      <c r="E50" s="57"/>
      <c r="F50" s="58" t="str">
        <f>IF(ISBLANK(D50),"",ROUNDUP((D50*E50)*0.5*1.02,-1))</f>
        <v/>
      </c>
      <c r="G50" s="380"/>
      <c r="H50" s="384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2" t="s">
        <v>29</v>
      </c>
      <c r="B1" s="323"/>
      <c r="C1" s="345" t="str">
        <f ca="1">IF(ISBLANK(INDIRECT("Cover!D3")),"",INDIRECT("Cover!D3"))</f>
        <v>*</v>
      </c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22" t="s">
        <v>19</v>
      </c>
      <c r="O1" s="363" t="str">
        <f ca="1">IF(ISBLANK(INDIRECT("Cover!O2")),"",INDIRECT("Cover!O2"))</f>
        <v>*</v>
      </c>
      <c r="P1" s="363"/>
      <c r="Q1" s="364"/>
      <c r="S1" s="398"/>
      <c r="T1" s="399"/>
      <c r="U1" s="399"/>
      <c r="V1" s="399"/>
      <c r="W1" s="399"/>
      <c r="X1" s="399"/>
    </row>
    <row r="2" spans="1:24" ht="20.100000000000001" customHeight="1" thickBot="1" x14ac:dyDescent="0.25">
      <c r="A2" s="324" t="s">
        <v>30</v>
      </c>
      <c r="B2" s="325"/>
      <c r="C2" s="413" t="str">
        <f ca="1">IF(ISBLANK(INDIRECT("Cover!D4")),"",INDIRECT("Cover!D4"))</f>
        <v>*</v>
      </c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00" t="s">
        <v>88</v>
      </c>
      <c r="T2" s="401"/>
      <c r="U2" s="401"/>
      <c r="V2" s="401"/>
      <c r="W2" s="401"/>
      <c r="X2" s="402"/>
    </row>
    <row r="3" spans="1:24" ht="20.100000000000001" customHeight="1" thickBot="1" x14ac:dyDescent="0.3">
      <c r="A3" s="34" t="s">
        <v>15</v>
      </c>
      <c r="B3" s="394" t="s">
        <v>16</v>
      </c>
      <c r="C3" s="395"/>
      <c r="D3" s="34"/>
      <c r="E3" s="394" t="s">
        <v>17</v>
      </c>
      <c r="F3" s="395"/>
      <c r="G3" s="34" t="s">
        <v>4</v>
      </c>
      <c r="H3" s="34" t="s">
        <v>18</v>
      </c>
      <c r="I3" s="408"/>
      <c r="J3" s="34" t="s">
        <v>15</v>
      </c>
      <c r="K3" s="394" t="s">
        <v>16</v>
      </c>
      <c r="L3" s="395"/>
      <c r="M3" s="34"/>
      <c r="N3" s="394" t="s">
        <v>17</v>
      </c>
      <c r="O3" s="395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396"/>
      <c r="C4" s="397"/>
      <c r="D4" s="112"/>
      <c r="E4" s="85"/>
      <c r="F4" s="113"/>
      <c r="G4" s="114"/>
      <c r="H4" s="115" t="str">
        <f>IF(ISBLANK(E4),"",IF(D4="X",((E4+(F4/12))*G4)/100*0.5,((E4+(F4/12))*G4)/100))</f>
        <v/>
      </c>
      <c r="I4" s="409"/>
      <c r="J4" s="111"/>
      <c r="K4" s="396"/>
      <c r="L4" s="397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2"/>
      <c r="C5" s="393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9"/>
      <c r="J5" s="39"/>
      <c r="K5" s="392"/>
      <c r="L5" s="393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2"/>
      <c r="C6" s="393"/>
      <c r="D6" s="40"/>
      <c r="E6" s="41"/>
      <c r="F6" s="42"/>
      <c r="G6" s="110"/>
      <c r="H6" s="44" t="str">
        <f t="shared" si="0"/>
        <v/>
      </c>
      <c r="I6" s="409"/>
      <c r="J6" s="39"/>
      <c r="K6" s="392"/>
      <c r="L6" s="393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2"/>
      <c r="C7" s="393"/>
      <c r="D7" s="40"/>
      <c r="E7" s="41"/>
      <c r="F7" s="42"/>
      <c r="G7" s="110"/>
      <c r="H7" s="44" t="str">
        <f t="shared" si="0"/>
        <v/>
      </c>
      <c r="I7" s="409"/>
      <c r="J7" s="39"/>
      <c r="K7" s="392"/>
      <c r="L7" s="393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2"/>
      <c r="C8" s="393"/>
      <c r="D8" s="40"/>
      <c r="E8" s="41"/>
      <c r="F8" s="42"/>
      <c r="G8" s="110"/>
      <c r="H8" s="44" t="str">
        <f t="shared" si="0"/>
        <v/>
      </c>
      <c r="I8" s="409"/>
      <c r="J8" s="39"/>
      <c r="K8" s="392"/>
      <c r="L8" s="393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2"/>
      <c r="C9" s="393"/>
      <c r="D9" s="40"/>
      <c r="E9" s="41"/>
      <c r="F9" s="42"/>
      <c r="G9" s="110"/>
      <c r="H9" s="44" t="str">
        <f t="shared" si="0"/>
        <v/>
      </c>
      <c r="I9" s="409"/>
      <c r="J9" s="39"/>
      <c r="K9" s="392"/>
      <c r="L9" s="393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2"/>
      <c r="C10" s="393"/>
      <c r="D10" s="40"/>
      <c r="E10" s="41"/>
      <c r="F10" s="42"/>
      <c r="G10" s="110"/>
      <c r="H10" s="44" t="str">
        <f t="shared" si="0"/>
        <v/>
      </c>
      <c r="I10" s="409"/>
      <c r="J10" s="39"/>
      <c r="K10" s="392"/>
      <c r="L10" s="393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2"/>
      <c r="C11" s="393"/>
      <c r="D11" s="40"/>
      <c r="E11" s="41"/>
      <c r="F11" s="42"/>
      <c r="G11" s="110"/>
      <c r="H11" s="44" t="str">
        <f t="shared" si="0"/>
        <v/>
      </c>
      <c r="I11" s="409"/>
      <c r="J11" s="39"/>
      <c r="K11" s="392"/>
      <c r="L11" s="393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2"/>
      <c r="C12" s="393"/>
      <c r="D12" s="40"/>
      <c r="E12" s="41"/>
      <c r="F12" s="42"/>
      <c r="G12" s="110"/>
      <c r="H12" s="44" t="str">
        <f t="shared" si="0"/>
        <v/>
      </c>
      <c r="I12" s="409"/>
      <c r="J12" s="39"/>
      <c r="K12" s="392"/>
      <c r="L12" s="393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2"/>
      <c r="C13" s="393"/>
      <c r="D13" s="40"/>
      <c r="E13" s="41"/>
      <c r="F13" s="42"/>
      <c r="G13" s="110"/>
      <c r="H13" s="44" t="str">
        <f t="shared" si="0"/>
        <v/>
      </c>
      <c r="I13" s="409"/>
      <c r="J13" s="39"/>
      <c r="K13" s="392"/>
      <c r="L13" s="393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2"/>
      <c r="C14" s="393"/>
      <c r="D14" s="40"/>
      <c r="E14" s="41"/>
      <c r="F14" s="42"/>
      <c r="G14" s="110"/>
      <c r="H14" s="44" t="str">
        <f t="shared" si="0"/>
        <v/>
      </c>
      <c r="I14" s="409"/>
      <c r="J14" s="39"/>
      <c r="K14" s="392"/>
      <c r="L14" s="393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2"/>
      <c r="C15" s="393"/>
      <c r="D15" s="40"/>
      <c r="E15" s="41"/>
      <c r="F15" s="42"/>
      <c r="G15" s="110"/>
      <c r="H15" s="44" t="str">
        <f t="shared" si="0"/>
        <v/>
      </c>
      <c r="I15" s="409"/>
      <c r="J15" s="39"/>
      <c r="K15" s="392"/>
      <c r="L15" s="393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2"/>
      <c r="C16" s="393"/>
      <c r="D16" s="40"/>
      <c r="E16" s="41"/>
      <c r="F16" s="42"/>
      <c r="G16" s="110"/>
      <c r="H16" s="44" t="str">
        <f t="shared" si="0"/>
        <v/>
      </c>
      <c r="I16" s="409"/>
      <c r="J16" s="39"/>
      <c r="K16" s="392"/>
      <c r="L16" s="393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2"/>
      <c r="C17" s="393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9"/>
      <c r="J17" s="39"/>
      <c r="K17" s="392"/>
      <c r="L17" s="393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2"/>
      <c r="C18" s="393"/>
      <c r="D18" s="40"/>
      <c r="E18" s="41"/>
      <c r="F18" s="42"/>
      <c r="G18" s="110"/>
      <c r="H18" s="44" t="str">
        <f t="shared" si="2"/>
        <v/>
      </c>
      <c r="I18" s="409"/>
      <c r="J18" s="39"/>
      <c r="K18" s="392"/>
      <c r="L18" s="393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2"/>
      <c r="C19" s="393"/>
      <c r="D19" s="40"/>
      <c r="E19" s="41"/>
      <c r="F19" s="42"/>
      <c r="G19" s="110"/>
      <c r="H19" s="44" t="str">
        <f t="shared" si="2"/>
        <v/>
      </c>
      <c r="I19" s="409"/>
      <c r="J19" s="39"/>
      <c r="K19" s="392"/>
      <c r="L19" s="393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2"/>
      <c r="C20" s="393"/>
      <c r="D20" s="40"/>
      <c r="E20" s="41"/>
      <c r="F20" s="42"/>
      <c r="G20" s="110"/>
      <c r="H20" s="44" t="str">
        <f t="shared" si="2"/>
        <v/>
      </c>
      <c r="I20" s="409"/>
      <c r="J20" s="39"/>
      <c r="K20" s="392"/>
      <c r="L20" s="393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2"/>
      <c r="C21" s="393"/>
      <c r="D21" s="40"/>
      <c r="E21" s="41"/>
      <c r="F21" s="42"/>
      <c r="G21" s="110"/>
      <c r="H21" s="44" t="str">
        <f t="shared" si="2"/>
        <v/>
      </c>
      <c r="I21" s="409"/>
      <c r="J21" s="39"/>
      <c r="K21" s="392"/>
      <c r="L21" s="393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2"/>
      <c r="C22" s="393"/>
      <c r="D22" s="40"/>
      <c r="E22" s="41"/>
      <c r="F22" s="42"/>
      <c r="G22" s="110"/>
      <c r="H22" s="44" t="str">
        <f t="shared" si="2"/>
        <v/>
      </c>
      <c r="I22" s="409"/>
      <c r="J22" s="39"/>
      <c r="K22" s="392"/>
      <c r="L22" s="393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2"/>
      <c r="C23" s="393"/>
      <c r="D23" s="40"/>
      <c r="E23" s="41"/>
      <c r="F23" s="42"/>
      <c r="G23" s="110"/>
      <c r="H23" s="44" t="str">
        <f t="shared" si="2"/>
        <v/>
      </c>
      <c r="I23" s="409"/>
      <c r="J23" s="39"/>
      <c r="K23" s="392"/>
      <c r="L23" s="393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2"/>
      <c r="C24" s="393"/>
      <c r="D24" s="40"/>
      <c r="E24" s="41"/>
      <c r="F24" s="42"/>
      <c r="G24" s="110"/>
      <c r="H24" s="44" t="str">
        <f t="shared" si="2"/>
        <v/>
      </c>
      <c r="I24" s="409"/>
      <c r="J24" s="39"/>
      <c r="K24" s="392"/>
      <c r="L24" s="393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2"/>
      <c r="C25" s="393"/>
      <c r="D25" s="40"/>
      <c r="E25" s="41"/>
      <c r="F25" s="42"/>
      <c r="G25" s="110"/>
      <c r="H25" s="44" t="str">
        <f t="shared" si="0"/>
        <v/>
      </c>
      <c r="I25" s="409"/>
      <c r="J25" s="39"/>
      <c r="K25" s="392"/>
      <c r="L25" s="393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2"/>
      <c r="C26" s="393"/>
      <c r="D26" s="40"/>
      <c r="E26" s="41"/>
      <c r="F26" s="42"/>
      <c r="G26" s="110"/>
      <c r="H26" s="44" t="str">
        <f t="shared" si="0"/>
        <v/>
      </c>
      <c r="I26" s="409"/>
      <c r="J26" s="39"/>
      <c r="K26" s="392"/>
      <c r="L26" s="393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411"/>
      <c r="C27" s="412"/>
      <c r="D27" s="117"/>
      <c r="E27" s="93"/>
      <c r="F27" s="118"/>
      <c r="G27" s="119"/>
      <c r="H27" s="120" t="str">
        <f t="shared" si="0"/>
        <v/>
      </c>
      <c r="I27" s="409"/>
      <c r="J27" s="116"/>
      <c r="K27" s="411"/>
      <c r="L27" s="412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5"/>
      <c r="B28" s="406"/>
      <c r="C28" s="406"/>
      <c r="D28" s="407"/>
      <c r="E28" s="403" t="s">
        <v>47</v>
      </c>
      <c r="F28" s="404"/>
      <c r="G28" s="404"/>
      <c r="H28" s="5">
        <f>ROUNDUP(SUM(H4:H27)*U5,0)</f>
        <v>0</v>
      </c>
      <c r="I28" s="409"/>
      <c r="J28" s="405"/>
      <c r="K28" s="406"/>
      <c r="L28" s="406"/>
      <c r="M28" s="407"/>
      <c r="N28" s="403" t="s">
        <v>47</v>
      </c>
      <c r="O28" s="404"/>
      <c r="P28" s="404"/>
      <c r="Q28" s="5">
        <f>ROUNDUP(SUM(Q4:Q27)*X5,0)</f>
        <v>0</v>
      </c>
    </row>
    <row r="29" spans="1:17" ht="20.100000000000001" customHeight="1" x14ac:dyDescent="0.2">
      <c r="A29" s="111"/>
      <c r="B29" s="396"/>
      <c r="C29" s="397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9"/>
      <c r="J29" s="111"/>
      <c r="K29" s="396"/>
      <c r="L29" s="397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2"/>
      <c r="C30" s="393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9"/>
      <c r="J30" s="39"/>
      <c r="K30" s="392"/>
      <c r="L30" s="393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2"/>
      <c r="C31" s="393"/>
      <c r="D31" s="40"/>
      <c r="E31" s="41"/>
      <c r="F31" s="42"/>
      <c r="G31" s="110"/>
      <c r="H31" s="44" t="str">
        <f t="shared" si="4"/>
        <v/>
      </c>
      <c r="I31" s="409"/>
      <c r="J31" s="39"/>
      <c r="K31" s="392"/>
      <c r="L31" s="393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2"/>
      <c r="C32" s="393"/>
      <c r="D32" s="40"/>
      <c r="E32" s="41"/>
      <c r="F32" s="42"/>
      <c r="G32" s="110"/>
      <c r="H32" s="44" t="str">
        <f t="shared" si="4"/>
        <v/>
      </c>
      <c r="I32" s="409"/>
      <c r="J32" s="39"/>
      <c r="K32" s="392"/>
      <c r="L32" s="393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2"/>
      <c r="C33" s="393"/>
      <c r="D33" s="40"/>
      <c r="E33" s="41"/>
      <c r="F33" s="42"/>
      <c r="G33" s="110"/>
      <c r="H33" s="44" t="str">
        <f t="shared" si="4"/>
        <v/>
      </c>
      <c r="I33" s="409"/>
      <c r="J33" s="39"/>
      <c r="K33" s="392"/>
      <c r="L33" s="393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2"/>
      <c r="C34" s="393"/>
      <c r="D34" s="40"/>
      <c r="E34" s="41"/>
      <c r="F34" s="42"/>
      <c r="G34" s="110"/>
      <c r="H34" s="44" t="str">
        <f t="shared" si="4"/>
        <v/>
      </c>
      <c r="I34" s="409"/>
      <c r="J34" s="39"/>
      <c r="K34" s="392"/>
      <c r="L34" s="393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2"/>
      <c r="C35" s="393"/>
      <c r="D35" s="40"/>
      <c r="E35" s="41"/>
      <c r="F35" s="42"/>
      <c r="G35" s="110"/>
      <c r="H35" s="44" t="str">
        <f t="shared" si="4"/>
        <v/>
      </c>
      <c r="I35" s="409"/>
      <c r="J35" s="39"/>
      <c r="K35" s="392"/>
      <c r="L35" s="393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2"/>
      <c r="C36" s="393"/>
      <c r="D36" s="40"/>
      <c r="E36" s="41"/>
      <c r="F36" s="42"/>
      <c r="G36" s="110"/>
      <c r="H36" s="44" t="str">
        <f t="shared" si="4"/>
        <v/>
      </c>
      <c r="I36" s="409"/>
      <c r="J36" s="39"/>
      <c r="K36" s="392"/>
      <c r="L36" s="393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2"/>
      <c r="C37" s="393"/>
      <c r="D37" s="40"/>
      <c r="E37" s="41"/>
      <c r="F37" s="42"/>
      <c r="G37" s="110"/>
      <c r="H37" s="44" t="str">
        <f t="shared" si="4"/>
        <v/>
      </c>
      <c r="I37" s="409"/>
      <c r="J37" s="39"/>
      <c r="K37" s="392"/>
      <c r="L37" s="393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2"/>
      <c r="C38" s="393"/>
      <c r="D38" s="40"/>
      <c r="E38" s="41"/>
      <c r="F38" s="42"/>
      <c r="G38" s="110"/>
      <c r="H38" s="44" t="str">
        <f t="shared" si="4"/>
        <v/>
      </c>
      <c r="I38" s="409"/>
      <c r="J38" s="39"/>
      <c r="K38" s="392"/>
      <c r="L38" s="393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2"/>
      <c r="C39" s="393"/>
      <c r="D39" s="40"/>
      <c r="E39" s="41"/>
      <c r="F39" s="42"/>
      <c r="G39" s="110"/>
      <c r="H39" s="44" t="str">
        <f t="shared" si="4"/>
        <v/>
      </c>
      <c r="I39" s="409"/>
      <c r="J39" s="39"/>
      <c r="K39" s="392"/>
      <c r="L39" s="393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2"/>
      <c r="C40" s="393"/>
      <c r="D40" s="40"/>
      <c r="E40" s="41"/>
      <c r="F40" s="42"/>
      <c r="G40" s="110"/>
      <c r="H40" s="44" t="str">
        <f t="shared" si="4"/>
        <v/>
      </c>
      <c r="I40" s="409"/>
      <c r="J40" s="39"/>
      <c r="K40" s="392"/>
      <c r="L40" s="393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2"/>
      <c r="C41" s="393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9"/>
      <c r="J41" s="39"/>
      <c r="K41" s="392"/>
      <c r="L41" s="393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2"/>
      <c r="C42" s="393"/>
      <c r="D42" s="40"/>
      <c r="E42" s="41"/>
      <c r="F42" s="42"/>
      <c r="G42" s="110"/>
      <c r="H42" s="44" t="str">
        <f t="shared" si="6"/>
        <v/>
      </c>
      <c r="I42" s="409"/>
      <c r="J42" s="39"/>
      <c r="K42" s="392"/>
      <c r="L42" s="393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2"/>
      <c r="C43" s="393"/>
      <c r="D43" s="40"/>
      <c r="E43" s="41"/>
      <c r="F43" s="42"/>
      <c r="G43" s="110"/>
      <c r="H43" s="44" t="str">
        <f t="shared" si="6"/>
        <v/>
      </c>
      <c r="I43" s="409"/>
      <c r="J43" s="39"/>
      <c r="K43" s="392"/>
      <c r="L43" s="393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2"/>
      <c r="C44" s="393"/>
      <c r="D44" s="40"/>
      <c r="E44" s="41"/>
      <c r="F44" s="42"/>
      <c r="G44" s="110"/>
      <c r="H44" s="44" t="str">
        <f t="shared" si="6"/>
        <v/>
      </c>
      <c r="I44" s="409"/>
      <c r="J44" s="39"/>
      <c r="K44" s="392"/>
      <c r="L44" s="393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2"/>
      <c r="C45" s="393"/>
      <c r="D45" s="40"/>
      <c r="E45" s="41"/>
      <c r="F45" s="42"/>
      <c r="G45" s="110"/>
      <c r="H45" s="44" t="str">
        <f t="shared" si="6"/>
        <v/>
      </c>
      <c r="I45" s="409"/>
      <c r="J45" s="39"/>
      <c r="K45" s="392"/>
      <c r="L45" s="393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2"/>
      <c r="C46" s="393"/>
      <c r="D46" s="40"/>
      <c r="E46" s="41"/>
      <c r="F46" s="42"/>
      <c r="G46" s="110"/>
      <c r="H46" s="44" t="str">
        <f t="shared" si="6"/>
        <v/>
      </c>
      <c r="I46" s="409"/>
      <c r="J46" s="39"/>
      <c r="K46" s="392"/>
      <c r="L46" s="393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2"/>
      <c r="C47" s="393"/>
      <c r="D47" s="40"/>
      <c r="E47" s="41"/>
      <c r="F47" s="42"/>
      <c r="G47" s="110"/>
      <c r="H47" s="44" t="str">
        <f t="shared" si="6"/>
        <v/>
      </c>
      <c r="I47" s="409"/>
      <c r="J47" s="39"/>
      <c r="K47" s="392"/>
      <c r="L47" s="393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2"/>
      <c r="C48" s="393"/>
      <c r="D48" s="40"/>
      <c r="E48" s="41"/>
      <c r="F48" s="42"/>
      <c r="G48" s="110"/>
      <c r="H48" s="44" t="str">
        <f t="shared" si="6"/>
        <v/>
      </c>
      <c r="I48" s="409"/>
      <c r="J48" s="39"/>
      <c r="K48" s="392"/>
      <c r="L48" s="393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2"/>
      <c r="C49" s="393"/>
      <c r="D49" s="40"/>
      <c r="E49" s="41"/>
      <c r="F49" s="42"/>
      <c r="G49" s="110"/>
      <c r="H49" s="44" t="str">
        <f t="shared" si="6"/>
        <v/>
      </c>
      <c r="I49" s="409"/>
      <c r="J49" s="39"/>
      <c r="K49" s="392"/>
      <c r="L49" s="393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2"/>
      <c r="C50" s="393"/>
      <c r="D50" s="40"/>
      <c r="E50" s="41"/>
      <c r="F50" s="42"/>
      <c r="G50" s="110"/>
      <c r="H50" s="44" t="str">
        <f t="shared" si="6"/>
        <v/>
      </c>
      <c r="I50" s="409"/>
      <c r="J50" s="39"/>
      <c r="K50" s="392"/>
      <c r="L50" s="393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2"/>
      <c r="C51" s="393"/>
      <c r="D51" s="40"/>
      <c r="E51" s="41"/>
      <c r="F51" s="42"/>
      <c r="G51" s="110"/>
      <c r="H51" s="44" t="str">
        <f t="shared" si="6"/>
        <v/>
      </c>
      <c r="I51" s="409"/>
      <c r="J51" s="39"/>
      <c r="K51" s="392"/>
      <c r="L51" s="393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411"/>
      <c r="C52" s="412"/>
      <c r="D52" s="117"/>
      <c r="E52" s="93"/>
      <c r="F52" s="118"/>
      <c r="G52" s="119"/>
      <c r="H52" s="120" t="str">
        <f t="shared" si="6"/>
        <v/>
      </c>
      <c r="I52" s="409"/>
      <c r="J52" s="116"/>
      <c r="K52" s="411"/>
      <c r="L52" s="412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5"/>
      <c r="B53" s="406"/>
      <c r="C53" s="406"/>
      <c r="D53" s="407"/>
      <c r="E53" s="403" t="s">
        <v>47</v>
      </c>
      <c r="F53" s="404"/>
      <c r="G53" s="404"/>
      <c r="H53" s="5">
        <f>ROUNDUP(SUM(H29:H52)*U8,0)</f>
        <v>0</v>
      </c>
      <c r="I53" s="410"/>
      <c r="J53" s="405"/>
      <c r="K53" s="406"/>
      <c r="L53" s="406"/>
      <c r="M53" s="407"/>
      <c r="N53" s="403" t="s">
        <v>47</v>
      </c>
      <c r="O53" s="404"/>
      <c r="P53" s="404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2" t="s">
        <v>29</v>
      </c>
      <c r="B1" s="323"/>
      <c r="C1" s="431" t="str">
        <f ca="1">IF(ISBLANK(INDIRECT("Cover!D3")),"",INDIRECT("Cover!D3"))</f>
        <v>*</v>
      </c>
      <c r="D1" s="431"/>
      <c r="E1" s="431"/>
      <c r="F1" s="431"/>
      <c r="G1" s="431"/>
      <c r="H1" s="431"/>
      <c r="I1" s="323" t="s">
        <v>19</v>
      </c>
      <c r="J1" s="323"/>
      <c r="K1" s="363" t="str">
        <f ca="1">IF(ISBLANK(INDIRECT("Cover!O2")),"",INDIRECT("Cover!O2"))</f>
        <v>*</v>
      </c>
      <c r="L1" s="363"/>
      <c r="M1" s="364"/>
    </row>
    <row r="2" spans="1:13" ht="20.100000000000001" customHeight="1" thickBot="1" x14ac:dyDescent="0.25">
      <c r="A2" s="324" t="s">
        <v>30</v>
      </c>
      <c r="B2" s="325"/>
      <c r="C2" s="413" t="str">
        <f ca="1">IF(ISBLANK(INDIRECT("Cover!D4")),"",INDIRECT("Cover!D4"))</f>
        <v>*</v>
      </c>
      <c r="D2" s="413"/>
      <c r="E2" s="413"/>
      <c r="F2" s="413"/>
      <c r="G2" s="413"/>
      <c r="H2" s="413"/>
      <c r="I2" s="325" t="s">
        <v>36</v>
      </c>
      <c r="J2" s="325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94" t="s">
        <v>20</v>
      </c>
      <c r="C3" s="430"/>
      <c r="D3" s="395"/>
      <c r="E3" s="34" t="s">
        <v>0</v>
      </c>
      <c r="F3" s="408"/>
      <c r="G3" s="34" t="s">
        <v>15</v>
      </c>
      <c r="H3" s="394" t="s">
        <v>40</v>
      </c>
      <c r="I3" s="430"/>
      <c r="J3" s="430"/>
      <c r="K3" s="430"/>
      <c r="L3" s="395"/>
      <c r="M3" s="34" t="s">
        <v>4</v>
      </c>
    </row>
    <row r="4" spans="1:13" ht="20.100000000000001" customHeight="1" x14ac:dyDescent="0.2">
      <c r="A4" s="75"/>
      <c r="B4" s="425"/>
      <c r="C4" s="426"/>
      <c r="D4" s="427"/>
      <c r="E4" s="77"/>
      <c r="F4" s="409"/>
      <c r="G4" s="75"/>
      <c r="H4" s="425"/>
      <c r="I4" s="426"/>
      <c r="J4" s="426"/>
      <c r="K4" s="426"/>
      <c r="L4" s="427"/>
      <c r="M4" s="77"/>
    </row>
    <row r="5" spans="1:13" ht="20.100000000000001" customHeight="1" x14ac:dyDescent="0.2">
      <c r="A5" s="35"/>
      <c r="B5" s="417"/>
      <c r="C5" s="424"/>
      <c r="D5" s="418"/>
      <c r="E5" s="36"/>
      <c r="F5" s="409"/>
      <c r="G5" s="35"/>
      <c r="H5" s="417"/>
      <c r="I5" s="424"/>
      <c r="J5" s="424"/>
      <c r="K5" s="424"/>
      <c r="L5" s="418"/>
      <c r="M5" s="36"/>
    </row>
    <row r="6" spans="1:13" ht="20.100000000000001" customHeight="1" x14ac:dyDescent="0.2">
      <c r="A6" s="35"/>
      <c r="B6" s="417"/>
      <c r="C6" s="424"/>
      <c r="D6" s="418"/>
      <c r="E6" s="36"/>
      <c r="F6" s="409"/>
      <c r="G6" s="35"/>
      <c r="H6" s="417"/>
      <c r="I6" s="424"/>
      <c r="J6" s="424"/>
      <c r="K6" s="424"/>
      <c r="L6" s="418"/>
      <c r="M6" s="36"/>
    </row>
    <row r="7" spans="1:13" ht="20.100000000000001" customHeight="1" x14ac:dyDescent="0.2">
      <c r="A7" s="35"/>
      <c r="B7" s="417"/>
      <c r="C7" s="424"/>
      <c r="D7" s="418"/>
      <c r="E7" s="36"/>
      <c r="F7" s="409"/>
      <c r="G7" s="35"/>
      <c r="H7" s="417"/>
      <c r="I7" s="424"/>
      <c r="J7" s="424"/>
      <c r="K7" s="424"/>
      <c r="L7" s="418"/>
      <c r="M7" s="36"/>
    </row>
    <row r="8" spans="1:13" ht="20.100000000000001" customHeight="1" x14ac:dyDescent="0.2">
      <c r="A8" s="35"/>
      <c r="B8" s="417"/>
      <c r="C8" s="424"/>
      <c r="D8" s="418"/>
      <c r="E8" s="36"/>
      <c r="F8" s="409"/>
      <c r="G8" s="35"/>
      <c r="H8" s="417"/>
      <c r="I8" s="424"/>
      <c r="J8" s="424"/>
      <c r="K8" s="424"/>
      <c r="L8" s="418"/>
      <c r="M8" s="36"/>
    </row>
    <row r="9" spans="1:13" ht="20.100000000000001" customHeight="1" x14ac:dyDescent="0.2">
      <c r="A9" s="35"/>
      <c r="B9" s="417"/>
      <c r="C9" s="424"/>
      <c r="D9" s="418"/>
      <c r="E9" s="36"/>
      <c r="F9" s="409"/>
      <c r="G9" s="35"/>
      <c r="H9" s="417"/>
      <c r="I9" s="424"/>
      <c r="J9" s="424"/>
      <c r="K9" s="424"/>
      <c r="L9" s="418"/>
      <c r="M9" s="36"/>
    </row>
    <row r="10" spans="1:13" ht="20.100000000000001" customHeight="1" x14ac:dyDescent="0.2">
      <c r="A10" s="35"/>
      <c r="B10" s="417"/>
      <c r="C10" s="424"/>
      <c r="D10" s="418"/>
      <c r="E10" s="36"/>
      <c r="F10" s="409"/>
      <c r="G10" s="35"/>
      <c r="H10" s="417"/>
      <c r="I10" s="424"/>
      <c r="J10" s="424"/>
      <c r="K10" s="424"/>
      <c r="L10" s="418"/>
      <c r="M10" s="36"/>
    </row>
    <row r="11" spans="1:13" ht="20.100000000000001" customHeight="1" thickBot="1" x14ac:dyDescent="0.25">
      <c r="A11" s="121"/>
      <c r="B11" s="419"/>
      <c r="C11" s="429"/>
      <c r="D11" s="420"/>
      <c r="E11" s="123"/>
      <c r="F11" s="409"/>
      <c r="G11" s="121"/>
      <c r="H11" s="419"/>
      <c r="I11" s="429"/>
      <c r="J11" s="429"/>
      <c r="K11" s="429"/>
      <c r="L11" s="420"/>
      <c r="M11" s="123"/>
    </row>
    <row r="12" spans="1:13" ht="20.100000000000001" customHeight="1" thickBot="1" x14ac:dyDescent="0.25">
      <c r="A12" s="414"/>
      <c r="B12" s="415"/>
      <c r="C12" s="416"/>
      <c r="D12" s="4" t="s">
        <v>47</v>
      </c>
      <c r="E12" s="5">
        <f>ROUNDUP(SUM(E4:E11)*1.1,-3)</f>
        <v>0</v>
      </c>
      <c r="F12" s="409"/>
      <c r="G12" s="414"/>
      <c r="H12" s="415"/>
      <c r="I12" s="416"/>
      <c r="J12" s="403" t="s">
        <v>47</v>
      </c>
      <c r="K12" s="404"/>
      <c r="L12" s="404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94" t="s">
        <v>41</v>
      </c>
      <c r="C13" s="430"/>
      <c r="D13" s="395"/>
      <c r="E13" s="34" t="s">
        <v>4</v>
      </c>
      <c r="F13" s="409"/>
      <c r="G13" s="34" t="s">
        <v>15</v>
      </c>
      <c r="H13" s="394" t="s">
        <v>42</v>
      </c>
      <c r="I13" s="430"/>
      <c r="J13" s="430"/>
      <c r="K13" s="430"/>
      <c r="L13" s="395"/>
      <c r="M13" s="24" t="s">
        <v>0</v>
      </c>
    </row>
    <row r="14" spans="1:13" ht="20.100000000000001" customHeight="1" x14ac:dyDescent="0.2">
      <c r="A14" s="75"/>
      <c r="B14" s="425"/>
      <c r="C14" s="426"/>
      <c r="D14" s="427"/>
      <c r="E14" s="77"/>
      <c r="F14" s="409"/>
      <c r="G14" s="75"/>
      <c r="H14" s="425"/>
      <c r="I14" s="426"/>
      <c r="J14" s="426"/>
      <c r="K14" s="426"/>
      <c r="L14" s="427"/>
      <c r="M14" s="77"/>
    </row>
    <row r="15" spans="1:13" ht="20.100000000000001" customHeight="1" x14ac:dyDescent="0.2">
      <c r="A15" s="35"/>
      <c r="B15" s="417"/>
      <c r="C15" s="424"/>
      <c r="D15" s="418"/>
      <c r="E15" s="36"/>
      <c r="F15" s="409"/>
      <c r="G15" s="35"/>
      <c r="H15" s="417"/>
      <c r="I15" s="424"/>
      <c r="J15" s="424"/>
      <c r="K15" s="424"/>
      <c r="L15" s="418"/>
      <c r="M15" s="36"/>
    </row>
    <row r="16" spans="1:13" ht="20.100000000000001" customHeight="1" x14ac:dyDescent="0.2">
      <c r="A16" s="35"/>
      <c r="B16" s="417"/>
      <c r="C16" s="424"/>
      <c r="D16" s="418"/>
      <c r="E16" s="36"/>
      <c r="F16" s="409"/>
      <c r="G16" s="35"/>
      <c r="H16" s="417"/>
      <c r="I16" s="424"/>
      <c r="J16" s="424"/>
      <c r="K16" s="424"/>
      <c r="L16" s="418"/>
      <c r="M16" s="36"/>
    </row>
    <row r="17" spans="1:13" ht="20.100000000000001" customHeight="1" x14ac:dyDescent="0.2">
      <c r="A17" s="35"/>
      <c r="B17" s="417"/>
      <c r="C17" s="424"/>
      <c r="D17" s="418"/>
      <c r="E17" s="36"/>
      <c r="F17" s="409"/>
      <c r="G17" s="35"/>
      <c r="H17" s="417"/>
      <c r="I17" s="424"/>
      <c r="J17" s="424"/>
      <c r="K17" s="424"/>
      <c r="L17" s="418"/>
      <c r="M17" s="36"/>
    </row>
    <row r="18" spans="1:13" ht="20.100000000000001" customHeight="1" x14ac:dyDescent="0.2">
      <c r="A18" s="35"/>
      <c r="B18" s="417"/>
      <c r="C18" s="424"/>
      <c r="D18" s="418"/>
      <c r="E18" s="36"/>
      <c r="F18" s="409"/>
      <c r="G18" s="35"/>
      <c r="H18" s="417"/>
      <c r="I18" s="424"/>
      <c r="J18" s="424"/>
      <c r="K18" s="424"/>
      <c r="L18" s="418"/>
      <c r="M18" s="36"/>
    </row>
    <row r="19" spans="1:13" ht="20.100000000000001" customHeight="1" x14ac:dyDescent="0.2">
      <c r="A19" s="35"/>
      <c r="B19" s="417"/>
      <c r="C19" s="424"/>
      <c r="D19" s="418"/>
      <c r="E19" s="36"/>
      <c r="F19" s="409"/>
      <c r="G19" s="35"/>
      <c r="H19" s="417"/>
      <c r="I19" s="424"/>
      <c r="J19" s="424"/>
      <c r="K19" s="424"/>
      <c r="L19" s="418"/>
      <c r="M19" s="36"/>
    </row>
    <row r="20" spans="1:13" ht="20.100000000000001" customHeight="1" x14ac:dyDescent="0.2">
      <c r="A20" s="35"/>
      <c r="B20" s="417"/>
      <c r="C20" s="424"/>
      <c r="D20" s="418"/>
      <c r="E20" s="36"/>
      <c r="F20" s="409"/>
      <c r="G20" s="35"/>
      <c r="H20" s="417"/>
      <c r="I20" s="424"/>
      <c r="J20" s="424"/>
      <c r="K20" s="424"/>
      <c r="L20" s="418"/>
      <c r="M20" s="36"/>
    </row>
    <row r="21" spans="1:13" ht="20.100000000000001" customHeight="1" thickBot="1" x14ac:dyDescent="0.25">
      <c r="A21" s="121"/>
      <c r="B21" s="419"/>
      <c r="C21" s="429"/>
      <c r="D21" s="420"/>
      <c r="E21" s="123"/>
      <c r="F21" s="409"/>
      <c r="G21" s="121"/>
      <c r="H21" s="419"/>
      <c r="I21" s="429"/>
      <c r="J21" s="429"/>
      <c r="K21" s="429"/>
      <c r="L21" s="420"/>
      <c r="M21" s="123"/>
    </row>
    <row r="22" spans="1:13" ht="20.100000000000001" customHeight="1" thickBot="1" x14ac:dyDescent="0.25">
      <c r="A22" s="414"/>
      <c r="B22" s="415"/>
      <c r="C22" s="416"/>
      <c r="D22" s="4" t="s">
        <v>47</v>
      </c>
      <c r="E22" s="5">
        <f>ROUNDUP(SUM(E14:E21)*1.02,-1)</f>
        <v>0</v>
      </c>
      <c r="F22" s="409"/>
      <c r="G22" s="414"/>
      <c r="H22" s="415"/>
      <c r="I22" s="416"/>
      <c r="J22" s="403" t="s">
        <v>47</v>
      </c>
      <c r="K22" s="404"/>
      <c r="L22" s="404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94" t="s">
        <v>37</v>
      </c>
      <c r="C23" s="430"/>
      <c r="D23" s="395"/>
      <c r="E23" s="34" t="s">
        <v>4</v>
      </c>
      <c r="F23" s="409"/>
      <c r="G23" s="34" t="s">
        <v>15</v>
      </c>
      <c r="H23" s="394" t="s">
        <v>38</v>
      </c>
      <c r="I23" s="430"/>
      <c r="J23" s="430"/>
      <c r="K23" s="430"/>
      <c r="L23" s="395"/>
      <c r="M23" s="34" t="s">
        <v>4</v>
      </c>
    </row>
    <row r="24" spans="1:13" ht="20.100000000000001" customHeight="1" x14ac:dyDescent="0.2">
      <c r="A24" s="75"/>
      <c r="B24" s="425"/>
      <c r="C24" s="426"/>
      <c r="D24" s="427"/>
      <c r="E24" s="77"/>
      <c r="F24" s="409"/>
      <c r="G24" s="75"/>
      <c r="H24" s="425"/>
      <c r="I24" s="426"/>
      <c r="J24" s="426"/>
      <c r="K24" s="426"/>
      <c r="L24" s="427"/>
      <c r="M24" s="77"/>
    </row>
    <row r="25" spans="1:13" ht="20.100000000000001" customHeight="1" x14ac:dyDescent="0.2">
      <c r="A25" s="35"/>
      <c r="B25" s="417"/>
      <c r="C25" s="424"/>
      <c r="D25" s="418"/>
      <c r="E25" s="36"/>
      <c r="F25" s="409"/>
      <c r="G25" s="35"/>
      <c r="H25" s="417"/>
      <c r="I25" s="424"/>
      <c r="J25" s="424"/>
      <c r="K25" s="424"/>
      <c r="L25" s="418"/>
      <c r="M25" s="36"/>
    </row>
    <row r="26" spans="1:13" ht="20.100000000000001" customHeight="1" x14ac:dyDescent="0.2">
      <c r="A26" s="35"/>
      <c r="B26" s="417"/>
      <c r="C26" s="424"/>
      <c r="D26" s="418"/>
      <c r="E26" s="36"/>
      <c r="F26" s="409"/>
      <c r="G26" s="35"/>
      <c r="H26" s="417"/>
      <c r="I26" s="424"/>
      <c r="J26" s="424"/>
      <c r="K26" s="424"/>
      <c r="L26" s="418"/>
      <c r="M26" s="36"/>
    </row>
    <row r="27" spans="1:13" ht="20.100000000000001" customHeight="1" x14ac:dyDescent="0.2">
      <c r="A27" s="35"/>
      <c r="B27" s="417"/>
      <c r="C27" s="424"/>
      <c r="D27" s="418"/>
      <c r="E27" s="36"/>
      <c r="F27" s="409"/>
      <c r="G27" s="35"/>
      <c r="H27" s="417"/>
      <c r="I27" s="424"/>
      <c r="J27" s="424"/>
      <c r="K27" s="424"/>
      <c r="L27" s="418"/>
      <c r="M27" s="36"/>
    </row>
    <row r="28" spans="1:13" ht="20.100000000000001" customHeight="1" x14ac:dyDescent="0.2">
      <c r="A28" s="35"/>
      <c r="B28" s="417"/>
      <c r="C28" s="424"/>
      <c r="D28" s="418"/>
      <c r="E28" s="36"/>
      <c r="F28" s="409"/>
      <c r="G28" s="35"/>
      <c r="H28" s="417"/>
      <c r="I28" s="424"/>
      <c r="J28" s="424"/>
      <c r="K28" s="424"/>
      <c r="L28" s="418"/>
      <c r="M28" s="36"/>
    </row>
    <row r="29" spans="1:13" ht="20.100000000000001" customHeight="1" x14ac:dyDescent="0.2">
      <c r="A29" s="35"/>
      <c r="B29" s="417"/>
      <c r="C29" s="424"/>
      <c r="D29" s="418"/>
      <c r="E29" s="36"/>
      <c r="F29" s="409"/>
      <c r="G29" s="35"/>
      <c r="H29" s="417"/>
      <c r="I29" s="424"/>
      <c r="J29" s="424"/>
      <c r="K29" s="424"/>
      <c r="L29" s="418"/>
      <c r="M29" s="36"/>
    </row>
    <row r="30" spans="1:13" ht="20.100000000000001" customHeight="1" x14ac:dyDescent="0.2">
      <c r="A30" s="35"/>
      <c r="B30" s="417"/>
      <c r="C30" s="424"/>
      <c r="D30" s="418"/>
      <c r="E30" s="36"/>
      <c r="F30" s="409"/>
      <c r="G30" s="35"/>
      <c r="H30" s="417"/>
      <c r="I30" s="424"/>
      <c r="J30" s="424"/>
      <c r="K30" s="424"/>
      <c r="L30" s="418"/>
      <c r="M30" s="36"/>
    </row>
    <row r="31" spans="1:13" ht="20.100000000000001" customHeight="1" thickBot="1" x14ac:dyDescent="0.25">
      <c r="A31" s="121"/>
      <c r="B31" s="419"/>
      <c r="C31" s="429"/>
      <c r="D31" s="420"/>
      <c r="E31" s="123"/>
      <c r="F31" s="409"/>
      <c r="G31" s="121"/>
      <c r="H31" s="419"/>
      <c r="I31" s="429"/>
      <c r="J31" s="429"/>
      <c r="K31" s="429"/>
      <c r="L31" s="420"/>
      <c r="M31" s="123"/>
    </row>
    <row r="32" spans="1:13" ht="20.100000000000001" customHeight="1" thickBot="1" x14ac:dyDescent="0.25">
      <c r="A32" s="414"/>
      <c r="B32" s="415"/>
      <c r="C32" s="416"/>
      <c r="D32" s="4" t="s">
        <v>47</v>
      </c>
      <c r="E32" s="5">
        <f>ROUNDUP(SUM(E24:E31)*1.02,-1)</f>
        <v>0</v>
      </c>
      <c r="F32" s="409"/>
      <c r="G32" s="414"/>
      <c r="H32" s="415"/>
      <c r="I32" s="416"/>
      <c r="J32" s="403" t="s">
        <v>47</v>
      </c>
      <c r="K32" s="432"/>
      <c r="L32" s="432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94" t="s">
        <v>49</v>
      </c>
      <c r="C33" s="430"/>
      <c r="D33" s="395"/>
      <c r="E33" s="34" t="s">
        <v>48</v>
      </c>
      <c r="F33" s="409"/>
      <c r="G33" s="34" t="s">
        <v>15</v>
      </c>
      <c r="H33" s="394" t="s">
        <v>39</v>
      </c>
      <c r="I33" s="430"/>
      <c r="J33" s="430"/>
      <c r="K33" s="430"/>
      <c r="L33" s="395"/>
      <c r="M33" s="34" t="s">
        <v>4</v>
      </c>
    </row>
    <row r="34" spans="1:13" ht="20.100000000000001" customHeight="1" x14ac:dyDescent="0.2">
      <c r="A34" s="75"/>
      <c r="B34" s="425"/>
      <c r="C34" s="426"/>
      <c r="D34" s="427"/>
      <c r="E34" s="77"/>
      <c r="F34" s="409"/>
      <c r="G34" s="75"/>
      <c r="H34" s="425"/>
      <c r="I34" s="426"/>
      <c r="J34" s="426"/>
      <c r="K34" s="426"/>
      <c r="L34" s="427"/>
      <c r="M34" s="77"/>
    </row>
    <row r="35" spans="1:13" ht="20.100000000000001" customHeight="1" x14ac:dyDescent="0.2">
      <c r="A35" s="35"/>
      <c r="B35" s="417"/>
      <c r="C35" s="424"/>
      <c r="D35" s="418"/>
      <c r="E35" s="36"/>
      <c r="F35" s="409"/>
      <c r="G35" s="35"/>
      <c r="H35" s="417"/>
      <c r="I35" s="424"/>
      <c r="J35" s="424"/>
      <c r="K35" s="424"/>
      <c r="L35" s="418"/>
      <c r="M35" s="36"/>
    </row>
    <row r="36" spans="1:13" ht="20.100000000000001" customHeight="1" x14ac:dyDescent="0.2">
      <c r="A36" s="35"/>
      <c r="B36" s="417"/>
      <c r="C36" s="424"/>
      <c r="D36" s="418"/>
      <c r="E36" s="36"/>
      <c r="F36" s="409"/>
      <c r="G36" s="35"/>
      <c r="H36" s="417"/>
      <c r="I36" s="424"/>
      <c r="J36" s="424"/>
      <c r="K36" s="424"/>
      <c r="L36" s="418"/>
      <c r="M36" s="36"/>
    </row>
    <row r="37" spans="1:13" ht="20.100000000000001" customHeight="1" x14ac:dyDescent="0.2">
      <c r="A37" s="35"/>
      <c r="B37" s="417"/>
      <c r="C37" s="424"/>
      <c r="D37" s="418"/>
      <c r="E37" s="36"/>
      <c r="F37" s="409"/>
      <c r="G37" s="35"/>
      <c r="H37" s="417"/>
      <c r="I37" s="424"/>
      <c r="J37" s="424"/>
      <c r="K37" s="424"/>
      <c r="L37" s="418"/>
      <c r="M37" s="36"/>
    </row>
    <row r="38" spans="1:13" ht="20.100000000000001" customHeight="1" x14ac:dyDescent="0.2">
      <c r="A38" s="35"/>
      <c r="B38" s="417"/>
      <c r="C38" s="424"/>
      <c r="D38" s="418"/>
      <c r="E38" s="36"/>
      <c r="F38" s="409"/>
      <c r="G38" s="35"/>
      <c r="H38" s="417"/>
      <c r="I38" s="424"/>
      <c r="J38" s="424"/>
      <c r="K38" s="424"/>
      <c r="L38" s="418"/>
      <c r="M38" s="36"/>
    </row>
    <row r="39" spans="1:13" ht="20.100000000000001" customHeight="1" x14ac:dyDescent="0.2">
      <c r="A39" s="35"/>
      <c r="B39" s="417"/>
      <c r="C39" s="424"/>
      <c r="D39" s="418"/>
      <c r="E39" s="36"/>
      <c r="F39" s="409"/>
      <c r="G39" s="35"/>
      <c r="H39" s="417"/>
      <c r="I39" s="424"/>
      <c r="J39" s="424"/>
      <c r="K39" s="424"/>
      <c r="L39" s="418"/>
      <c r="M39" s="36"/>
    </row>
    <row r="40" spans="1:13" ht="20.100000000000001" customHeight="1" x14ac:dyDescent="0.2">
      <c r="A40" s="35"/>
      <c r="B40" s="417"/>
      <c r="C40" s="424"/>
      <c r="D40" s="418"/>
      <c r="E40" s="36"/>
      <c r="F40" s="409"/>
      <c r="G40" s="35"/>
      <c r="H40" s="417"/>
      <c r="I40" s="424"/>
      <c r="J40" s="424"/>
      <c r="K40" s="424"/>
      <c r="L40" s="418"/>
      <c r="M40" s="36"/>
    </row>
    <row r="41" spans="1:13" ht="20.100000000000001" customHeight="1" thickBot="1" x14ac:dyDescent="0.25">
      <c r="A41" s="121"/>
      <c r="B41" s="419"/>
      <c r="C41" s="429"/>
      <c r="D41" s="420"/>
      <c r="E41" s="123"/>
      <c r="F41" s="409"/>
      <c r="G41" s="121"/>
      <c r="H41" s="419"/>
      <c r="I41" s="429"/>
      <c r="J41" s="429"/>
      <c r="K41" s="429"/>
      <c r="L41" s="420"/>
      <c r="M41" s="123"/>
    </row>
    <row r="42" spans="1:13" ht="20.100000000000001" customHeight="1" thickBot="1" x14ac:dyDescent="0.25">
      <c r="A42" s="414"/>
      <c r="B42" s="415"/>
      <c r="C42" s="416"/>
      <c r="D42" s="4" t="s">
        <v>47</v>
      </c>
      <c r="E42" s="5">
        <f>SUM(E34:E41)</f>
        <v>0</v>
      </c>
      <c r="F42" s="409"/>
      <c r="G42" s="414"/>
      <c r="H42" s="415"/>
      <c r="I42" s="416"/>
      <c r="J42" s="403" t="s">
        <v>47</v>
      </c>
      <c r="K42" s="404"/>
      <c r="L42" s="404"/>
      <c r="M42" s="5">
        <f>ROUNDUP(SUM(M34:M41)*1.02,-1)</f>
        <v>0</v>
      </c>
    </row>
    <row r="43" spans="1:13" ht="20.100000000000001" customHeight="1" thickBot="1" x14ac:dyDescent="0.3">
      <c r="A43" s="421" t="s">
        <v>24</v>
      </c>
      <c r="B43" s="422"/>
      <c r="C43" s="422"/>
      <c r="D43" s="422"/>
      <c r="E43" s="423"/>
      <c r="F43" s="409"/>
      <c r="G43" s="421" t="s">
        <v>24</v>
      </c>
      <c r="H43" s="422"/>
      <c r="I43" s="422"/>
      <c r="J43" s="422"/>
      <c r="K43" s="422"/>
      <c r="L43" s="422"/>
      <c r="M43" s="423"/>
    </row>
    <row r="44" spans="1:13" ht="20.100000000000001" customHeight="1" thickBot="1" x14ac:dyDescent="0.3">
      <c r="A44" s="34" t="s">
        <v>15</v>
      </c>
      <c r="B44" s="428" t="s">
        <v>16</v>
      </c>
      <c r="C44" s="428"/>
      <c r="D44" s="34" t="s">
        <v>12</v>
      </c>
      <c r="E44" s="34" t="s">
        <v>0</v>
      </c>
      <c r="F44" s="409"/>
      <c r="G44" s="34" t="s">
        <v>15</v>
      </c>
      <c r="H44" s="428" t="s">
        <v>16</v>
      </c>
      <c r="I44" s="428"/>
      <c r="J44" s="394" t="s">
        <v>12</v>
      </c>
      <c r="K44" s="430"/>
      <c r="L44" s="395"/>
      <c r="M44" s="34" t="s">
        <v>0</v>
      </c>
    </row>
    <row r="45" spans="1:13" ht="20.100000000000001" customHeight="1" x14ac:dyDescent="0.2">
      <c r="A45" s="75"/>
      <c r="B45" s="425"/>
      <c r="C45" s="427"/>
      <c r="D45" s="76"/>
      <c r="E45" s="77"/>
      <c r="F45" s="409"/>
      <c r="G45" s="75"/>
      <c r="H45" s="425"/>
      <c r="I45" s="427"/>
      <c r="J45" s="425"/>
      <c r="K45" s="426"/>
      <c r="L45" s="427"/>
      <c r="M45" s="77"/>
    </row>
    <row r="46" spans="1:13" ht="20.100000000000001" customHeight="1" x14ac:dyDescent="0.2">
      <c r="A46" s="35"/>
      <c r="B46" s="417"/>
      <c r="C46" s="418"/>
      <c r="D46" s="76"/>
      <c r="E46" s="36"/>
      <c r="F46" s="409"/>
      <c r="G46" s="35"/>
      <c r="H46" s="417"/>
      <c r="I46" s="418"/>
      <c r="J46" s="417"/>
      <c r="K46" s="424"/>
      <c r="L46" s="418"/>
      <c r="M46" s="36"/>
    </row>
    <row r="47" spans="1:13" ht="20.100000000000001" customHeight="1" x14ac:dyDescent="0.2">
      <c r="A47" s="35"/>
      <c r="B47" s="417"/>
      <c r="C47" s="418"/>
      <c r="D47" s="122"/>
      <c r="E47" s="123"/>
      <c r="F47" s="409"/>
      <c r="G47" s="35"/>
      <c r="H47" s="417"/>
      <c r="I47" s="418"/>
      <c r="J47" s="417"/>
      <c r="K47" s="424"/>
      <c r="L47" s="418"/>
      <c r="M47" s="36"/>
    </row>
    <row r="48" spans="1:13" ht="20.100000000000001" customHeight="1" thickBot="1" x14ac:dyDescent="0.25">
      <c r="A48" s="121"/>
      <c r="B48" s="419"/>
      <c r="C48" s="420"/>
      <c r="D48" s="122"/>
      <c r="E48" s="123"/>
      <c r="F48" s="409"/>
      <c r="G48" s="121"/>
      <c r="H48" s="419"/>
      <c r="I48" s="420"/>
      <c r="J48" s="419"/>
      <c r="K48" s="429"/>
      <c r="L48" s="420"/>
      <c r="M48" s="123"/>
    </row>
    <row r="49" spans="1:13" ht="20.100000000000001" customHeight="1" thickBot="1" x14ac:dyDescent="0.25">
      <c r="A49" s="414"/>
      <c r="B49" s="415"/>
      <c r="C49" s="416"/>
      <c r="D49" s="4" t="s">
        <v>47</v>
      </c>
      <c r="E49" s="5">
        <f>SUM(E44:E48)</f>
        <v>0</v>
      </c>
      <c r="F49" s="410"/>
      <c r="G49" s="414"/>
      <c r="H49" s="415"/>
      <c r="I49" s="416"/>
      <c r="J49" s="403" t="s">
        <v>47</v>
      </c>
      <c r="K49" s="404"/>
      <c r="L49" s="404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3" sqref="D3:L3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79" t="s">
        <v>52</v>
      </c>
      <c r="B1" s="480"/>
      <c r="C1" s="480"/>
      <c r="D1" s="481" t="s">
        <v>120</v>
      </c>
      <c r="E1" s="481"/>
      <c r="F1" s="481"/>
      <c r="G1" s="481"/>
      <c r="H1" s="482"/>
      <c r="I1" s="482"/>
      <c r="J1" s="482"/>
      <c r="K1" s="482"/>
      <c r="L1" s="482"/>
      <c r="M1" s="482"/>
      <c r="N1" s="482"/>
      <c r="O1" s="482"/>
      <c r="P1" s="482"/>
      <c r="Q1" s="482"/>
      <c r="R1" s="482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3" t="s">
        <v>207</v>
      </c>
      <c r="B2" s="484"/>
      <c r="C2" s="484"/>
      <c r="D2" s="455" t="s">
        <v>82</v>
      </c>
      <c r="E2" s="455"/>
      <c r="F2" s="455"/>
      <c r="G2" s="455"/>
      <c r="H2" s="477" t="s">
        <v>143</v>
      </c>
      <c r="I2" s="477"/>
      <c r="J2" s="478" t="str">
        <f ca="1">INDEX(INDIRECT("ProjectTypes[Category]"),MATCH(INDIRECT("ProjectCat"),INDIRECT("ProjectTypes[Type]"),0))</f>
        <v/>
      </c>
      <c r="K2" s="478"/>
      <c r="L2" s="478"/>
      <c r="M2" s="446" t="s">
        <v>55</v>
      </c>
      <c r="N2" s="446"/>
      <c r="O2" s="456" t="s">
        <v>120</v>
      </c>
      <c r="P2" s="456"/>
      <c r="Q2" s="456"/>
      <c r="R2" s="483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5" t="s">
        <v>62</v>
      </c>
      <c r="B3" s="446"/>
      <c r="C3" s="446"/>
      <c r="D3" s="469" t="s">
        <v>120</v>
      </c>
      <c r="E3" s="469"/>
      <c r="F3" s="469"/>
      <c r="G3" s="469"/>
      <c r="H3" s="469"/>
      <c r="I3" s="469"/>
      <c r="J3" s="469"/>
      <c r="K3" s="469"/>
      <c r="L3" s="469"/>
      <c r="M3" s="446" t="s">
        <v>56</v>
      </c>
      <c r="N3" s="446"/>
      <c r="O3" s="459" t="s">
        <v>120</v>
      </c>
      <c r="P3" s="459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5" t="s">
        <v>53</v>
      </c>
      <c r="B4" s="446"/>
      <c r="C4" s="446"/>
      <c r="D4" s="469" t="s">
        <v>120</v>
      </c>
      <c r="E4" s="469"/>
      <c r="F4" s="469"/>
      <c r="G4" s="469"/>
      <c r="H4" s="469"/>
      <c r="I4" s="469"/>
      <c r="J4" s="469"/>
      <c r="K4" s="469"/>
      <c r="L4" s="469"/>
      <c r="M4" s="446" t="s">
        <v>57</v>
      </c>
      <c r="N4" s="446"/>
      <c r="O4" s="469" t="s">
        <v>120</v>
      </c>
      <c r="P4" s="469"/>
      <c r="Q4" s="469"/>
      <c r="R4" s="473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5" t="s">
        <v>54</v>
      </c>
      <c r="B5" s="446"/>
      <c r="C5" s="446"/>
      <c r="D5" s="469" t="s">
        <v>120</v>
      </c>
      <c r="E5" s="469"/>
      <c r="F5" s="469"/>
      <c r="G5" s="469"/>
      <c r="H5" s="469"/>
      <c r="I5" s="469"/>
      <c r="J5" s="469"/>
      <c r="K5" s="469"/>
      <c r="L5" s="469"/>
      <c r="M5" s="446" t="s">
        <v>71</v>
      </c>
      <c r="N5" s="446"/>
      <c r="O5" s="446"/>
      <c r="P5" s="446"/>
      <c r="Q5" s="447" t="s">
        <v>119</v>
      </c>
      <c r="R5" s="454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5"/>
      <c r="B6" s="466"/>
      <c r="C6" s="466"/>
      <c r="D6" s="469"/>
      <c r="E6" s="469"/>
      <c r="F6" s="469"/>
      <c r="G6" s="469"/>
      <c r="H6" s="469"/>
      <c r="I6" s="469"/>
      <c r="J6" s="469"/>
      <c r="K6" s="469"/>
      <c r="L6" s="469"/>
      <c r="M6" s="446" t="s">
        <v>83</v>
      </c>
      <c r="N6" s="446"/>
      <c r="O6" s="446"/>
      <c r="P6" s="446"/>
      <c r="Q6" s="459" t="s">
        <v>120</v>
      </c>
      <c r="R6" s="460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7"/>
      <c r="B7" s="468"/>
      <c r="C7" s="468"/>
      <c r="D7" s="469"/>
      <c r="E7" s="469"/>
      <c r="F7" s="469"/>
      <c r="G7" s="469"/>
      <c r="H7" s="469"/>
      <c r="I7" s="469"/>
      <c r="J7" s="469"/>
      <c r="K7" s="469"/>
      <c r="L7" s="469"/>
      <c r="M7" s="446"/>
      <c r="N7" s="446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3" t="s">
        <v>63</v>
      </c>
      <c r="B8" s="444"/>
      <c r="C8" s="444"/>
      <c r="D8" s="456" t="s">
        <v>120</v>
      </c>
      <c r="E8" s="456"/>
      <c r="F8" s="456"/>
      <c r="G8" s="444" t="s">
        <v>60</v>
      </c>
      <c r="H8" s="444"/>
      <c r="I8" s="455" t="s">
        <v>120</v>
      </c>
      <c r="J8" s="455"/>
      <c r="K8" s="444" t="s">
        <v>58</v>
      </c>
      <c r="L8" s="444"/>
      <c r="M8" s="455" t="s">
        <v>120</v>
      </c>
      <c r="N8" s="461"/>
      <c r="O8" s="461"/>
      <c r="P8" s="461"/>
      <c r="Q8" s="461"/>
      <c r="R8" s="462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5" t="s">
        <v>64</v>
      </c>
      <c r="B9" s="446"/>
      <c r="C9" s="446"/>
      <c r="D9" s="447" t="s">
        <v>120</v>
      </c>
      <c r="E9" s="447"/>
      <c r="F9" s="447"/>
      <c r="G9" s="446" t="s">
        <v>61</v>
      </c>
      <c r="H9" s="446"/>
      <c r="I9" s="447" t="s">
        <v>120</v>
      </c>
      <c r="J9" s="447"/>
      <c r="K9" s="446" t="s">
        <v>59</v>
      </c>
      <c r="L9" s="446"/>
      <c r="M9" s="447" t="s">
        <v>120</v>
      </c>
      <c r="N9" s="463"/>
      <c r="O9" s="463"/>
      <c r="P9" s="463"/>
      <c r="Q9" s="463"/>
      <c r="R9" s="464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5" t="s">
        <v>65</v>
      </c>
      <c r="B10" s="446"/>
      <c r="C10" s="446"/>
      <c r="D10" s="447" t="s">
        <v>120</v>
      </c>
      <c r="E10" s="447"/>
      <c r="F10" s="447"/>
      <c r="G10" s="447"/>
      <c r="H10" s="447"/>
      <c r="I10" s="447"/>
      <c r="J10" s="447"/>
      <c r="K10" s="447"/>
      <c r="L10" s="447"/>
      <c r="M10" s="447"/>
      <c r="N10" s="447"/>
      <c r="O10" s="447"/>
      <c r="P10" s="447"/>
      <c r="Q10" s="447"/>
      <c r="R10" s="454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49"/>
      <c r="B11" s="450"/>
      <c r="C11" s="450"/>
      <c r="D11" s="447"/>
      <c r="E11" s="447"/>
      <c r="F11" s="447"/>
      <c r="G11" s="447"/>
      <c r="H11" s="447"/>
      <c r="I11" s="447"/>
      <c r="J11" s="447"/>
      <c r="K11" s="447"/>
      <c r="L11" s="447"/>
      <c r="M11" s="447"/>
      <c r="N11" s="447"/>
      <c r="O11" s="447"/>
      <c r="P11" s="447"/>
      <c r="Q11" s="447"/>
      <c r="R11" s="454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5" t="s">
        <v>72</v>
      </c>
      <c r="B12" s="446"/>
      <c r="C12" s="446"/>
      <c r="D12" s="448" t="s">
        <v>120</v>
      </c>
      <c r="E12" s="448"/>
      <c r="F12" s="448"/>
      <c r="G12" s="448"/>
      <c r="H12" s="448"/>
      <c r="I12" s="448"/>
      <c r="J12" s="448"/>
      <c r="K12" s="446" t="s">
        <v>222</v>
      </c>
      <c r="L12" s="446"/>
      <c r="M12" s="447"/>
      <c r="N12" s="463"/>
      <c r="O12" s="463"/>
      <c r="P12" s="463"/>
      <c r="Q12" s="463"/>
      <c r="R12" s="464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57" t="s">
        <v>66</v>
      </c>
      <c r="B13" s="458"/>
      <c r="C13" s="474" t="s">
        <v>35</v>
      </c>
      <c r="D13" s="474"/>
      <c r="E13" s="474"/>
      <c r="F13" s="475" t="s">
        <v>120</v>
      </c>
      <c r="G13" s="475"/>
      <c r="H13" s="475"/>
      <c r="I13" s="475"/>
      <c r="J13" s="475"/>
      <c r="K13" s="475"/>
      <c r="L13" s="475"/>
      <c r="M13" s="475"/>
      <c r="N13" s="475"/>
      <c r="O13" s="475"/>
      <c r="P13" s="475"/>
      <c r="Q13" s="475"/>
      <c r="R13" s="476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439" t="s">
        <v>134</v>
      </c>
      <c r="C14" s="437"/>
      <c r="D14" s="437"/>
      <c r="E14" s="437"/>
      <c r="F14" s="437"/>
      <c r="G14" s="437"/>
      <c r="H14" s="437"/>
      <c r="I14" s="437"/>
      <c r="J14" s="437"/>
      <c r="K14" s="437"/>
      <c r="L14" s="437"/>
      <c r="M14" s="437"/>
      <c r="N14" s="437"/>
      <c r="O14" s="437"/>
      <c r="P14" s="437"/>
      <c r="Q14" s="437"/>
      <c r="R14" s="438"/>
      <c r="S14" s="131"/>
    </row>
    <row r="15" spans="1:33" s="18" customFormat="1" ht="20.100000000000001" customHeight="1" x14ac:dyDescent="0.2">
      <c r="A15" s="125" t="s">
        <v>133</v>
      </c>
      <c r="B15" s="439" t="s">
        <v>135</v>
      </c>
      <c r="C15" s="437"/>
      <c r="D15" s="437"/>
      <c r="E15" s="437"/>
      <c r="F15" s="437"/>
      <c r="G15" s="437"/>
      <c r="H15" s="437"/>
      <c r="I15" s="437"/>
      <c r="J15" s="437"/>
      <c r="K15" s="437"/>
      <c r="L15" s="437"/>
      <c r="M15" s="437"/>
      <c r="N15" s="437"/>
      <c r="O15" s="437"/>
      <c r="P15" s="437"/>
      <c r="Q15" s="437"/>
      <c r="R15" s="438"/>
      <c r="S15" s="131"/>
    </row>
    <row r="16" spans="1:33" s="18" customFormat="1" ht="20.100000000000001" customHeight="1" x14ac:dyDescent="0.2">
      <c r="A16" s="125" t="s">
        <v>133</v>
      </c>
      <c r="B16" s="439" t="s">
        <v>136</v>
      </c>
      <c r="C16" s="437"/>
      <c r="D16" s="437"/>
      <c r="E16" s="437"/>
      <c r="F16" s="437"/>
      <c r="G16" s="437"/>
      <c r="H16" s="437"/>
      <c r="I16" s="437"/>
      <c r="J16" s="437"/>
      <c r="K16" s="437"/>
      <c r="L16" s="437"/>
      <c r="M16" s="437"/>
      <c r="N16" s="437"/>
      <c r="O16" s="437"/>
      <c r="P16" s="437"/>
      <c r="Q16" s="437"/>
      <c r="R16" s="438"/>
      <c r="S16" s="131"/>
    </row>
    <row r="17" spans="1:19" s="18" customFormat="1" ht="20.100000000000001" customHeight="1" x14ac:dyDescent="0.2">
      <c r="A17" s="125"/>
      <c r="B17" s="437"/>
      <c r="C17" s="437"/>
      <c r="D17" s="437"/>
      <c r="E17" s="437"/>
      <c r="F17" s="437"/>
      <c r="G17" s="437"/>
      <c r="H17" s="437"/>
      <c r="I17" s="437"/>
      <c r="J17" s="437"/>
      <c r="K17" s="437"/>
      <c r="L17" s="437"/>
      <c r="M17" s="437"/>
      <c r="N17" s="437"/>
      <c r="O17" s="437"/>
      <c r="P17" s="437"/>
      <c r="Q17" s="437"/>
      <c r="R17" s="438"/>
      <c r="S17" s="131"/>
    </row>
    <row r="18" spans="1:19" s="18" customFormat="1" ht="20.100000000000001" customHeight="1" x14ac:dyDescent="0.2">
      <c r="A18" s="125"/>
      <c r="B18" s="437"/>
      <c r="C18" s="437"/>
      <c r="D18" s="437"/>
      <c r="E18" s="437"/>
      <c r="F18" s="437"/>
      <c r="G18" s="437"/>
      <c r="H18" s="437"/>
      <c r="I18" s="437"/>
      <c r="J18" s="437"/>
      <c r="K18" s="437"/>
      <c r="L18" s="437"/>
      <c r="M18" s="437"/>
      <c r="N18" s="437"/>
      <c r="O18" s="437"/>
      <c r="P18" s="437"/>
      <c r="Q18" s="437"/>
      <c r="R18" s="438"/>
      <c r="S18" s="131"/>
    </row>
    <row r="19" spans="1:19" s="18" customFormat="1" ht="20.100000000000001" customHeight="1" x14ac:dyDescent="0.2">
      <c r="A19" s="125"/>
      <c r="B19" s="437"/>
      <c r="C19" s="437"/>
      <c r="D19" s="437"/>
      <c r="E19" s="437"/>
      <c r="F19" s="437"/>
      <c r="G19" s="437"/>
      <c r="H19" s="437"/>
      <c r="I19" s="437"/>
      <c r="J19" s="437"/>
      <c r="K19" s="437"/>
      <c r="L19" s="437"/>
      <c r="M19" s="437"/>
      <c r="N19" s="437"/>
      <c r="O19" s="437"/>
      <c r="P19" s="437"/>
      <c r="Q19" s="437"/>
      <c r="R19" s="438"/>
      <c r="S19" s="131"/>
    </row>
    <row r="20" spans="1:19" s="18" customFormat="1" ht="20.100000000000001" customHeight="1" x14ac:dyDescent="0.2">
      <c r="A20" s="125"/>
      <c r="B20" s="437"/>
      <c r="C20" s="437"/>
      <c r="D20" s="437"/>
      <c r="E20" s="437"/>
      <c r="F20" s="437"/>
      <c r="G20" s="437"/>
      <c r="H20" s="437"/>
      <c r="I20" s="437"/>
      <c r="J20" s="437"/>
      <c r="K20" s="437"/>
      <c r="L20" s="437"/>
      <c r="M20" s="437"/>
      <c r="N20" s="437"/>
      <c r="O20" s="437"/>
      <c r="P20" s="437"/>
      <c r="Q20" s="437"/>
      <c r="R20" s="438"/>
      <c r="S20" s="131"/>
    </row>
    <row r="21" spans="1:19" s="18" customFormat="1" ht="20.100000000000001" customHeight="1" x14ac:dyDescent="0.2">
      <c r="A21" s="125"/>
      <c r="B21" s="437"/>
      <c r="C21" s="437"/>
      <c r="D21" s="437"/>
      <c r="E21" s="437"/>
      <c r="F21" s="437"/>
      <c r="G21" s="437"/>
      <c r="H21" s="437"/>
      <c r="I21" s="437"/>
      <c r="J21" s="437"/>
      <c r="K21" s="437"/>
      <c r="L21" s="437"/>
      <c r="M21" s="437"/>
      <c r="N21" s="437"/>
      <c r="O21" s="437"/>
      <c r="P21" s="437"/>
      <c r="Q21" s="437"/>
      <c r="R21" s="438"/>
      <c r="S21" s="131"/>
    </row>
    <row r="22" spans="1:19" s="18" customFormat="1" ht="20.100000000000001" customHeight="1" x14ac:dyDescent="0.2">
      <c r="A22" s="125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8"/>
      <c r="S22" s="131"/>
    </row>
    <row r="23" spans="1:19" s="18" customFormat="1" ht="20.100000000000001" customHeight="1" x14ac:dyDescent="0.2">
      <c r="A23" s="125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8"/>
      <c r="S23" s="131"/>
    </row>
    <row r="24" spans="1:19" s="18" customFormat="1" ht="20.100000000000001" customHeight="1" x14ac:dyDescent="0.2">
      <c r="A24" s="125"/>
      <c r="B24" s="437"/>
      <c r="C24" s="437"/>
      <c r="D24" s="437"/>
      <c r="E24" s="437"/>
      <c r="F24" s="437"/>
      <c r="G24" s="437"/>
      <c r="H24" s="437"/>
      <c r="I24" s="437"/>
      <c r="J24" s="437"/>
      <c r="K24" s="437"/>
      <c r="L24" s="437"/>
      <c r="M24" s="437"/>
      <c r="N24" s="437"/>
      <c r="O24" s="437"/>
      <c r="P24" s="437"/>
      <c r="Q24" s="437"/>
      <c r="R24" s="438"/>
      <c r="S24" s="131"/>
    </row>
    <row r="25" spans="1:19" s="18" customFormat="1" ht="20.100000000000001" customHeight="1" x14ac:dyDescent="0.2">
      <c r="A25" s="125"/>
      <c r="B25" s="437"/>
      <c r="C25" s="437"/>
      <c r="D25" s="437"/>
      <c r="E25" s="437"/>
      <c r="F25" s="437"/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437"/>
      <c r="R25" s="438"/>
      <c r="S25" s="131"/>
    </row>
    <row r="26" spans="1:19" s="18" customFormat="1" ht="20.100000000000001" customHeight="1" x14ac:dyDescent="0.2">
      <c r="A26" s="125"/>
      <c r="B26" s="437"/>
      <c r="C26" s="437"/>
      <c r="D26" s="437"/>
      <c r="E26" s="437"/>
      <c r="F26" s="437"/>
      <c r="G26" s="437"/>
      <c r="H26" s="437"/>
      <c r="I26" s="437"/>
      <c r="J26" s="437"/>
      <c r="K26" s="437"/>
      <c r="L26" s="437"/>
      <c r="M26" s="437"/>
      <c r="N26" s="437"/>
      <c r="O26" s="437"/>
      <c r="P26" s="437"/>
      <c r="Q26" s="437"/>
      <c r="R26" s="438"/>
      <c r="S26" s="131"/>
    </row>
    <row r="27" spans="1:19" s="18" customFormat="1" ht="20.100000000000001" customHeight="1" x14ac:dyDescent="0.2">
      <c r="A27" s="125"/>
      <c r="B27" s="437"/>
      <c r="C27" s="437"/>
      <c r="D27" s="437"/>
      <c r="E27" s="437"/>
      <c r="F27" s="437"/>
      <c r="G27" s="437"/>
      <c r="H27" s="437"/>
      <c r="I27" s="437"/>
      <c r="J27" s="437"/>
      <c r="K27" s="437"/>
      <c r="L27" s="437"/>
      <c r="M27" s="437"/>
      <c r="N27" s="437"/>
      <c r="O27" s="437"/>
      <c r="P27" s="437"/>
      <c r="Q27" s="437"/>
      <c r="R27" s="438"/>
      <c r="S27" s="131"/>
    </row>
    <row r="28" spans="1:19" s="18" customFormat="1" ht="20.100000000000001" customHeight="1" x14ac:dyDescent="0.2">
      <c r="A28" s="125"/>
      <c r="B28" s="437"/>
      <c r="C28" s="437"/>
      <c r="D28" s="437"/>
      <c r="E28" s="437"/>
      <c r="F28" s="437"/>
      <c r="G28" s="437"/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438"/>
      <c r="S28" s="131"/>
    </row>
    <row r="29" spans="1:19" s="18" customFormat="1" ht="20.100000000000001" customHeight="1" x14ac:dyDescent="0.2">
      <c r="A29" s="125" t="s">
        <v>137</v>
      </c>
      <c r="B29" s="439" t="s">
        <v>138</v>
      </c>
      <c r="C29" s="437"/>
      <c r="D29" s="437"/>
      <c r="E29" s="437"/>
      <c r="F29" s="437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438"/>
      <c r="S29" s="131"/>
    </row>
    <row r="30" spans="1:19" s="18" customFormat="1" ht="20.100000000000001" customHeight="1" x14ac:dyDescent="0.2">
      <c r="A30" s="125" t="s">
        <v>137</v>
      </c>
      <c r="B30" s="439" t="s">
        <v>139</v>
      </c>
      <c r="C30" s="437"/>
      <c r="D30" s="437"/>
      <c r="E30" s="437"/>
      <c r="F30" s="437"/>
      <c r="G30" s="437"/>
      <c r="H30" s="437"/>
      <c r="I30" s="437"/>
      <c r="J30" s="437"/>
      <c r="K30" s="437"/>
      <c r="L30" s="437"/>
      <c r="M30" s="437"/>
      <c r="N30" s="437"/>
      <c r="O30" s="437"/>
      <c r="P30" s="437"/>
      <c r="Q30" s="437"/>
      <c r="R30" s="438"/>
      <c r="S30" s="131"/>
    </row>
    <row r="31" spans="1:19" s="18" customFormat="1" ht="20.100000000000001" customHeight="1" x14ac:dyDescent="0.2">
      <c r="A31" s="125" t="s">
        <v>137</v>
      </c>
      <c r="B31" s="439" t="s">
        <v>140</v>
      </c>
      <c r="C31" s="437"/>
      <c r="D31" s="437"/>
      <c r="E31" s="437"/>
      <c r="F31" s="437"/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438"/>
      <c r="S31" s="131"/>
    </row>
    <row r="32" spans="1:19" s="18" customFormat="1" ht="20.100000000000001" customHeight="1" x14ac:dyDescent="0.2">
      <c r="A32" s="125"/>
      <c r="B32" s="439" t="s">
        <v>141</v>
      </c>
      <c r="C32" s="437"/>
      <c r="D32" s="437"/>
      <c r="E32" s="437"/>
      <c r="F32" s="437"/>
      <c r="G32" s="437"/>
      <c r="H32" s="437"/>
      <c r="I32" s="437"/>
      <c r="J32" s="437"/>
      <c r="K32" s="437"/>
      <c r="L32" s="437"/>
      <c r="M32" s="437"/>
      <c r="N32" s="437"/>
      <c r="O32" s="437"/>
      <c r="P32" s="437"/>
      <c r="Q32" s="437"/>
      <c r="R32" s="438"/>
      <c r="S32" s="131"/>
    </row>
    <row r="33" spans="1:19" s="18" customFormat="1" ht="20.100000000000001" customHeight="1" x14ac:dyDescent="0.2">
      <c r="A33" s="125"/>
      <c r="B33" s="439" t="s">
        <v>142</v>
      </c>
      <c r="C33" s="437"/>
      <c r="D33" s="437"/>
      <c r="E33" s="437"/>
      <c r="F33" s="437"/>
      <c r="G33" s="437"/>
      <c r="H33" s="437"/>
      <c r="I33" s="437"/>
      <c r="J33" s="437"/>
      <c r="K33" s="437"/>
      <c r="L33" s="437"/>
      <c r="M33" s="437"/>
      <c r="N33" s="437"/>
      <c r="O33" s="437"/>
      <c r="P33" s="437"/>
      <c r="Q33" s="437"/>
      <c r="R33" s="438"/>
      <c r="S33" s="131"/>
    </row>
    <row r="34" spans="1:19" s="18" customFormat="1" ht="20.100000000000001" customHeight="1" x14ac:dyDescent="0.2">
      <c r="A34" s="125"/>
      <c r="B34" s="437"/>
      <c r="C34" s="437"/>
      <c r="D34" s="437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8"/>
      <c r="S34" s="131"/>
    </row>
    <row r="35" spans="1:19" s="18" customFormat="1" ht="20.100000000000001" customHeight="1" x14ac:dyDescent="0.2">
      <c r="A35" s="125"/>
      <c r="B35" s="437"/>
      <c r="C35" s="437"/>
      <c r="D35" s="437"/>
      <c r="E35" s="437"/>
      <c r="F35" s="437"/>
      <c r="G35" s="437"/>
      <c r="H35" s="437"/>
      <c r="I35" s="437"/>
      <c r="J35" s="437"/>
      <c r="K35" s="437"/>
      <c r="L35" s="437"/>
      <c r="M35" s="437"/>
      <c r="N35" s="437"/>
      <c r="O35" s="437"/>
      <c r="P35" s="437"/>
      <c r="Q35" s="437"/>
      <c r="R35" s="438"/>
      <c r="S35" s="131"/>
    </row>
    <row r="36" spans="1:19" s="18" customFormat="1" ht="20.100000000000001" customHeight="1" thickBot="1" x14ac:dyDescent="0.25">
      <c r="A36" s="152"/>
      <c r="B36" s="437"/>
      <c r="C36" s="437"/>
      <c r="D36" s="437"/>
      <c r="E36" s="437"/>
      <c r="F36" s="437"/>
      <c r="G36" s="437"/>
      <c r="H36" s="437"/>
      <c r="I36" s="437"/>
      <c r="J36" s="437"/>
      <c r="K36" s="437"/>
      <c r="L36" s="437"/>
      <c r="M36" s="437"/>
      <c r="N36" s="437"/>
      <c r="O36" s="437"/>
      <c r="P36" s="437"/>
      <c r="Q36" s="437"/>
      <c r="R36" s="438"/>
      <c r="S36" s="131"/>
    </row>
    <row r="37" spans="1:19" s="19" customFormat="1" ht="20.100000000000001" customHeight="1" thickBot="1" x14ac:dyDescent="0.3">
      <c r="A37" s="451" t="s">
        <v>70</v>
      </c>
      <c r="B37" s="452"/>
      <c r="C37" s="452"/>
      <c r="D37" s="452"/>
      <c r="E37" s="452"/>
      <c r="F37" s="452"/>
      <c r="G37" s="452"/>
      <c r="H37" s="453"/>
      <c r="I37" s="451" t="s">
        <v>69</v>
      </c>
      <c r="J37" s="452"/>
      <c r="K37" s="452"/>
      <c r="L37" s="452"/>
      <c r="M37" s="452"/>
      <c r="N37" s="452"/>
      <c r="O37" s="452"/>
      <c r="P37" s="452"/>
      <c r="Q37" s="452"/>
      <c r="R37" s="453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70" t="s">
        <v>16</v>
      </c>
      <c r="K38" s="472"/>
      <c r="L38" s="135" t="s">
        <v>0</v>
      </c>
      <c r="M38" s="136" t="s">
        <v>15</v>
      </c>
      <c r="N38" s="470" t="s">
        <v>16</v>
      </c>
      <c r="O38" s="471"/>
      <c r="P38" s="471"/>
      <c r="Q38" s="472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17"/>
      <c r="K39" s="418"/>
      <c r="L39" s="143"/>
      <c r="M39" s="144"/>
      <c r="N39" s="417"/>
      <c r="O39" s="424"/>
      <c r="P39" s="424"/>
      <c r="Q39" s="418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17"/>
      <c r="K40" s="418"/>
      <c r="L40" s="143"/>
      <c r="M40" s="144"/>
      <c r="N40" s="417"/>
      <c r="O40" s="424"/>
      <c r="P40" s="424"/>
      <c r="Q40" s="418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17"/>
      <c r="K41" s="418"/>
      <c r="L41" s="143"/>
      <c r="M41" s="144"/>
      <c r="N41" s="417"/>
      <c r="O41" s="424"/>
      <c r="P41" s="424"/>
      <c r="Q41" s="418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17"/>
      <c r="K42" s="418"/>
      <c r="L42" s="143"/>
      <c r="M42" s="144"/>
      <c r="N42" s="417"/>
      <c r="O42" s="424"/>
      <c r="P42" s="424"/>
      <c r="Q42" s="418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17"/>
      <c r="K43" s="418"/>
      <c r="L43" s="143"/>
      <c r="M43" s="144"/>
      <c r="N43" s="417"/>
      <c r="O43" s="424"/>
      <c r="P43" s="424"/>
      <c r="Q43" s="418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17"/>
      <c r="K44" s="418"/>
      <c r="L44" s="143"/>
      <c r="M44" s="144"/>
      <c r="N44" s="417"/>
      <c r="O44" s="424"/>
      <c r="P44" s="424"/>
      <c r="Q44" s="418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17"/>
      <c r="K45" s="418"/>
      <c r="L45" s="143"/>
      <c r="M45" s="144"/>
      <c r="N45" s="417"/>
      <c r="O45" s="424"/>
      <c r="P45" s="424"/>
      <c r="Q45" s="418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17"/>
      <c r="K46" s="418"/>
      <c r="L46" s="143"/>
      <c r="M46" s="144"/>
      <c r="N46" s="417"/>
      <c r="O46" s="424"/>
      <c r="P46" s="424"/>
      <c r="Q46" s="418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17"/>
      <c r="K47" s="418"/>
      <c r="L47" s="143"/>
      <c r="M47" s="144"/>
      <c r="N47" s="417"/>
      <c r="O47" s="424"/>
      <c r="P47" s="424"/>
      <c r="Q47" s="418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17"/>
      <c r="K48" s="418"/>
      <c r="L48" s="143"/>
      <c r="M48" s="144"/>
      <c r="N48" s="417"/>
      <c r="O48" s="424"/>
      <c r="P48" s="424"/>
      <c r="Q48" s="418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17"/>
      <c r="K49" s="418"/>
      <c r="L49" s="143"/>
      <c r="M49" s="144"/>
      <c r="N49" s="417"/>
      <c r="O49" s="424"/>
      <c r="P49" s="424"/>
      <c r="Q49" s="418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17"/>
      <c r="K50" s="418"/>
      <c r="L50" s="143"/>
      <c r="M50" s="144"/>
      <c r="N50" s="417"/>
      <c r="O50" s="424"/>
      <c r="P50" s="424"/>
      <c r="Q50" s="418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17"/>
      <c r="K51" s="418"/>
      <c r="L51" s="143"/>
      <c r="M51" s="144"/>
      <c r="N51" s="417"/>
      <c r="O51" s="424"/>
      <c r="P51" s="424"/>
      <c r="Q51" s="418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17"/>
      <c r="K52" s="418"/>
      <c r="L52" s="143"/>
      <c r="M52" s="144"/>
      <c r="N52" s="417"/>
      <c r="O52" s="424"/>
      <c r="P52" s="424"/>
      <c r="Q52" s="418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17"/>
      <c r="K53" s="418"/>
      <c r="L53" s="149"/>
      <c r="M53" s="150"/>
      <c r="N53" s="417"/>
      <c r="O53" s="424"/>
      <c r="P53" s="424"/>
      <c r="Q53" s="418"/>
      <c r="R53" s="36"/>
      <c r="S53" s="131"/>
    </row>
    <row r="54" spans="1:19" s="18" customFormat="1" ht="20.100000000000001" customHeight="1" thickBot="1" x14ac:dyDescent="0.3">
      <c r="A54" s="435" t="s">
        <v>47</v>
      </c>
      <c r="B54" s="436"/>
      <c r="C54" s="433">
        <f ca="1">SUM(INDIRECT("Marks!C:C"))</f>
        <v>0</v>
      </c>
      <c r="D54" s="434"/>
      <c r="E54" s="441" t="s">
        <v>68</v>
      </c>
      <c r="F54" s="442"/>
      <c r="G54" s="442"/>
      <c r="H54" s="442"/>
      <c r="I54" s="442"/>
      <c r="J54" s="442"/>
      <c r="K54" s="442"/>
      <c r="L54" s="442"/>
      <c r="M54" s="442"/>
      <c r="N54" s="442"/>
      <c r="O54" s="442"/>
      <c r="P54" s="442"/>
      <c r="Q54" s="442"/>
      <c r="R54" s="442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40" t="s">
        <v>84</v>
      </c>
      <c r="N55" s="440"/>
      <c r="O55" s="440"/>
      <c r="P55" s="440"/>
      <c r="Q55" s="440"/>
      <c r="R55" s="440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85" t="s">
        <v>131</v>
      </c>
      <c r="B3" s="485" t="s">
        <v>130</v>
      </c>
      <c r="C3" s="487" t="s">
        <v>0</v>
      </c>
      <c r="D3" s="487" t="s">
        <v>1</v>
      </c>
      <c r="E3" s="488" t="s">
        <v>81</v>
      </c>
      <c r="F3" s="489"/>
      <c r="G3" s="492" t="s">
        <v>2</v>
      </c>
      <c r="H3" s="493"/>
      <c r="I3" s="494"/>
      <c r="J3" s="492" t="s">
        <v>5</v>
      </c>
      <c r="K3" s="493"/>
      <c r="L3" s="494"/>
      <c r="M3" s="492" t="s">
        <v>8</v>
      </c>
      <c r="N3" s="494"/>
      <c r="O3" s="230" t="s">
        <v>6</v>
      </c>
      <c r="P3" s="230" t="s">
        <v>22</v>
      </c>
      <c r="Q3" s="492" t="s">
        <v>79</v>
      </c>
      <c r="R3" s="493"/>
      <c r="S3" s="494"/>
      <c r="T3" s="492" t="s">
        <v>75</v>
      </c>
      <c r="U3" s="493"/>
      <c r="V3" s="494"/>
      <c r="W3" s="492" t="s">
        <v>76</v>
      </c>
      <c r="X3" s="493"/>
      <c r="Y3" s="494"/>
      <c r="Z3" s="485" t="s">
        <v>80</v>
      </c>
      <c r="AA3" s="485" t="s">
        <v>121</v>
      </c>
      <c r="AB3" s="487" t="s">
        <v>122</v>
      </c>
      <c r="AC3" s="495" t="s">
        <v>123</v>
      </c>
      <c r="AD3" s="496"/>
      <c r="AE3" s="485" t="s">
        <v>124</v>
      </c>
      <c r="AF3" s="485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86"/>
      <c r="B4" s="486"/>
      <c r="C4" s="486"/>
      <c r="D4" s="486"/>
      <c r="E4" s="490"/>
      <c r="F4" s="491"/>
      <c r="G4" s="231" t="s">
        <v>3</v>
      </c>
      <c r="H4" s="498" t="s">
        <v>4</v>
      </c>
      <c r="I4" s="499"/>
      <c r="J4" s="231" t="s">
        <v>3</v>
      </c>
      <c r="K4" s="498" t="s">
        <v>4</v>
      </c>
      <c r="L4" s="499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8" t="s">
        <v>77</v>
      </c>
      <c r="V4" s="499"/>
      <c r="W4" s="231" t="s">
        <v>78</v>
      </c>
      <c r="X4" s="498" t="s">
        <v>77</v>
      </c>
      <c r="Y4" s="499"/>
      <c r="Z4" s="497"/>
      <c r="AA4" s="497"/>
      <c r="AB4" s="486"/>
      <c r="AC4" s="233" t="s">
        <v>126</v>
      </c>
      <c r="AD4" s="236" t="s">
        <v>127</v>
      </c>
      <c r="AE4" s="486"/>
      <c r="AF4" s="497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8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30" width="9.140625" style="229" hidden="1" customWidth="1" collapsed="1"/>
    <col min="31" max="34" width="9.140625" style="229" customWidth="1" collapsed="1"/>
    <col min="35" max="35" width="9.140625" style="229" collapsed="1"/>
    <col min="36" max="36" width="28" style="229" hidden="1" customWidth="1" collapsed="1"/>
    <col min="37" max="37" width="13.85546875" style="229" hidden="1" customWidth="1" collapsed="1"/>
    <col min="38" max="38" width="9.140625" style="229" collapsed="1"/>
    <col min="39" max="39" width="9.140625" style="229"/>
    <col min="40" max="16384" width="9.140625" style="229" collapsed="1"/>
  </cols>
  <sheetData>
    <row r="1" spans="1:39" ht="15.75" customHeight="1" thickBot="1" x14ac:dyDescent="0.3"/>
    <row r="2" spans="1:39" ht="15" customHeight="1" x14ac:dyDescent="0.25">
      <c r="A2" s="487" t="s">
        <v>128</v>
      </c>
      <c r="B2" s="485" t="s">
        <v>130</v>
      </c>
      <c r="C2" s="487" t="s">
        <v>1</v>
      </c>
      <c r="D2" s="488" t="s">
        <v>81</v>
      </c>
      <c r="E2" s="489"/>
      <c r="F2" s="492" t="s">
        <v>2</v>
      </c>
      <c r="G2" s="493"/>
      <c r="H2" s="494"/>
      <c r="I2" s="492" t="s">
        <v>5</v>
      </c>
      <c r="J2" s="493"/>
      <c r="K2" s="494"/>
      <c r="L2" s="492" t="s">
        <v>8</v>
      </c>
      <c r="M2" s="494"/>
      <c r="N2" s="230" t="s">
        <v>6</v>
      </c>
      <c r="O2" s="230" t="s">
        <v>22</v>
      </c>
      <c r="P2" s="492" t="s">
        <v>79</v>
      </c>
      <c r="Q2" s="493"/>
      <c r="R2" s="494"/>
      <c r="S2" s="492" t="s">
        <v>75</v>
      </c>
      <c r="T2" s="493"/>
      <c r="U2" s="494"/>
      <c r="V2" s="492" t="s">
        <v>76</v>
      </c>
      <c r="W2" s="493"/>
      <c r="X2" s="494"/>
      <c r="Y2" s="485" t="s">
        <v>80</v>
      </c>
      <c r="Z2" s="485" t="s">
        <v>129</v>
      </c>
      <c r="AA2" s="487" t="s">
        <v>122</v>
      </c>
      <c r="AB2" s="495" t="s">
        <v>123</v>
      </c>
      <c r="AC2" s="496"/>
      <c r="AD2" s="485" t="s">
        <v>124</v>
      </c>
      <c r="AE2" s="495" t="s">
        <v>11</v>
      </c>
      <c r="AF2" s="506"/>
      <c r="AG2" s="506"/>
      <c r="AH2" s="496"/>
      <c r="AJ2" s="319" t="s">
        <v>223</v>
      </c>
    </row>
    <row r="3" spans="1:39" ht="15.75" thickBot="1" x14ac:dyDescent="0.3">
      <c r="A3" s="486"/>
      <c r="B3" s="486"/>
      <c r="C3" s="486"/>
      <c r="D3" s="490"/>
      <c r="E3" s="491"/>
      <c r="F3" s="231" t="s">
        <v>3</v>
      </c>
      <c r="G3" s="498" t="s">
        <v>4</v>
      </c>
      <c r="H3" s="499"/>
      <c r="I3" s="231" t="s">
        <v>3</v>
      </c>
      <c r="J3" s="498" t="s">
        <v>4</v>
      </c>
      <c r="K3" s="499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498" t="s">
        <v>77</v>
      </c>
      <c r="U3" s="499"/>
      <c r="V3" s="231" t="s">
        <v>78</v>
      </c>
      <c r="W3" s="498" t="s">
        <v>77</v>
      </c>
      <c r="X3" s="499"/>
      <c r="Y3" s="497"/>
      <c r="Z3" s="497"/>
      <c r="AA3" s="486"/>
      <c r="AB3" s="233" t="s">
        <v>126</v>
      </c>
      <c r="AC3" s="236" t="s">
        <v>127</v>
      </c>
      <c r="AD3" s="486"/>
      <c r="AE3" s="507"/>
      <c r="AF3" s="508"/>
      <c r="AG3" s="508"/>
      <c r="AH3" s="509"/>
      <c r="AJ3" s="271"/>
      <c r="AK3" s="271" t="s">
        <v>132</v>
      </c>
    </row>
    <row r="4" spans="1:39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500"/>
      <c r="AF4" s="501"/>
      <c r="AG4" s="501"/>
      <c r="AH4" s="502"/>
      <c r="AJ4" s="229" t="str">
        <f>IF(OR(A4="",AND(ISNUMBER(FIND("[", A4)), ISNUMBER(FIND("ALL", A4)), ISNUMBER(FIND("]", A4)))),"",MAX(AJ$3:AJ3)+1)</f>
        <v/>
      </c>
      <c r="AK4" s="229" t="str">
        <f t="shared" ref="AK4:AK67" si="0">IFERROR(INDEX($A$4:$A$1000,MATCH(ROW()-ROW($AK$3),$AJ$4:$AJ$1000,0)),"")</f>
        <v/>
      </c>
      <c r="AM4" s="527"/>
    </row>
    <row r="5" spans="1:39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268"/>
      <c r="AA5" s="264"/>
      <c r="AB5" s="264"/>
      <c r="AC5" s="269"/>
      <c r="AD5" s="264"/>
      <c r="AE5" s="503"/>
      <c r="AF5" s="504"/>
      <c r="AG5" s="504"/>
      <c r="AH5" s="505"/>
      <c r="AJ5" s="229" t="str">
        <f>IF(OR(A5="",AND(ISNUMBER(FIND("[", A5)), ISNUMBER(FIND("ALL", A5)), ISNUMBER(FIND("]", A5)))),"",MAX(AJ$3:AJ4)+1)</f>
        <v/>
      </c>
      <c r="AK5" s="229" t="str">
        <f t="shared" si="0"/>
        <v/>
      </c>
    </row>
    <row r="6" spans="1:39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268"/>
      <c r="AA6" s="264"/>
      <c r="AB6" s="264"/>
      <c r="AC6" s="269"/>
      <c r="AD6" s="264"/>
      <c r="AE6" s="503"/>
      <c r="AF6" s="504"/>
      <c r="AG6" s="504"/>
      <c r="AH6" s="505"/>
      <c r="AJ6" s="229" t="str">
        <f>IF(OR(A6="",AND(ISNUMBER(FIND("[", A6)), ISNUMBER(FIND("ALL", A6)), ISNUMBER(FIND("]", A6)))),"",MAX(AJ$3:AJ5)+1)</f>
        <v/>
      </c>
      <c r="AK6" s="229" t="str">
        <f t="shared" si="0"/>
        <v/>
      </c>
    </row>
    <row r="7" spans="1:39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268"/>
      <c r="AA7" s="264"/>
      <c r="AB7" s="264"/>
      <c r="AC7" s="269"/>
      <c r="AD7" s="264"/>
      <c r="AE7" s="503"/>
      <c r="AF7" s="504"/>
      <c r="AG7" s="504"/>
      <c r="AH7" s="505"/>
      <c r="AJ7" s="229" t="str">
        <f>IF(OR(A7="",AND(ISNUMBER(FIND("[", A7)), ISNUMBER(FIND("ALL", A7)), ISNUMBER(FIND("]", A7)))),"",MAX(AJ$3:AJ6)+1)</f>
        <v/>
      </c>
      <c r="AK7" s="229" t="str">
        <f t="shared" si="0"/>
        <v/>
      </c>
    </row>
    <row r="8" spans="1:39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268"/>
      <c r="AA8" s="264"/>
      <c r="AB8" s="264"/>
      <c r="AC8" s="269"/>
      <c r="AD8" s="264"/>
      <c r="AE8" s="503"/>
      <c r="AF8" s="504"/>
      <c r="AG8" s="504"/>
      <c r="AH8" s="505"/>
      <c r="AJ8" s="229" t="str">
        <f>IF(OR(A8="",AND(ISNUMBER(FIND("[", A8)), ISNUMBER(FIND("ALL", A8)), ISNUMBER(FIND("]", A8)))),"",MAX(AJ$3:AJ7)+1)</f>
        <v/>
      </c>
      <c r="AK8" s="229" t="str">
        <f t="shared" si="0"/>
        <v/>
      </c>
    </row>
    <row r="9" spans="1:39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268"/>
      <c r="AA9" s="264"/>
      <c r="AB9" s="264"/>
      <c r="AC9" s="269"/>
      <c r="AD9" s="264"/>
      <c r="AE9" s="503"/>
      <c r="AF9" s="504"/>
      <c r="AG9" s="504"/>
      <c r="AH9" s="505"/>
      <c r="AJ9" s="229" t="str">
        <f>IF(OR(A9="",AND(ISNUMBER(FIND("[", A9)), ISNUMBER(FIND("ALL", A9)), ISNUMBER(FIND("]", A9)))),"",MAX(AJ$3:AJ8)+1)</f>
        <v/>
      </c>
      <c r="AK9" s="229" t="str">
        <f t="shared" si="0"/>
        <v/>
      </c>
    </row>
    <row r="10" spans="1:39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268"/>
      <c r="AA10" s="264"/>
      <c r="AB10" s="264"/>
      <c r="AC10" s="269"/>
      <c r="AD10" s="264"/>
      <c r="AE10" s="503"/>
      <c r="AF10" s="504"/>
      <c r="AG10" s="504"/>
      <c r="AH10" s="505"/>
      <c r="AJ10" s="229" t="str">
        <f>IF(OR(A10="",AND(ISNUMBER(FIND("[", A10)), ISNUMBER(FIND("ALL", A10)), ISNUMBER(FIND("]", A10)))),"",MAX(AJ$3:AJ9)+1)</f>
        <v/>
      </c>
      <c r="AK10" s="229" t="str">
        <f t="shared" si="0"/>
        <v/>
      </c>
    </row>
    <row r="11" spans="1:39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268"/>
      <c r="AA11" s="264"/>
      <c r="AB11" s="264"/>
      <c r="AC11" s="269"/>
      <c r="AD11" s="264"/>
      <c r="AE11" s="503"/>
      <c r="AF11" s="504"/>
      <c r="AG11" s="504"/>
      <c r="AH11" s="505"/>
      <c r="AJ11" s="229" t="str">
        <f>IF(OR(A11="",AND(ISNUMBER(FIND("[", A11)), ISNUMBER(FIND("ALL", A11)), ISNUMBER(FIND("]", A11)))),"",MAX(AJ$3:AJ10)+1)</f>
        <v/>
      </c>
      <c r="AK11" s="229" t="str">
        <f t="shared" si="0"/>
        <v/>
      </c>
    </row>
    <row r="12" spans="1:39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268"/>
      <c r="AA12" s="264"/>
      <c r="AB12" s="264"/>
      <c r="AC12" s="269"/>
      <c r="AD12" s="264"/>
      <c r="AE12" s="503"/>
      <c r="AF12" s="504"/>
      <c r="AG12" s="504"/>
      <c r="AH12" s="505"/>
      <c r="AJ12" s="229" t="str">
        <f>IF(OR(A12="",AND(ISNUMBER(FIND("[", A12)), ISNUMBER(FIND("ALL", A12)), ISNUMBER(FIND("]", A12)))),"",MAX(AJ$3:AJ11)+1)</f>
        <v/>
      </c>
      <c r="AK12" s="229" t="str">
        <f t="shared" si="0"/>
        <v/>
      </c>
    </row>
    <row r="13" spans="1:39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268"/>
      <c r="AA13" s="264"/>
      <c r="AB13" s="264"/>
      <c r="AC13" s="269"/>
      <c r="AD13" s="264"/>
      <c r="AE13" s="503"/>
      <c r="AF13" s="504"/>
      <c r="AG13" s="504"/>
      <c r="AH13" s="505"/>
      <c r="AJ13" s="229" t="str">
        <f>IF(OR(A13="",AND(ISNUMBER(FIND("[", A13)), ISNUMBER(FIND("ALL", A13)), ISNUMBER(FIND("]", A13)))),"",MAX(AJ$3:AJ12)+1)</f>
        <v/>
      </c>
      <c r="AK13" s="229" t="str">
        <f t="shared" si="0"/>
        <v/>
      </c>
    </row>
    <row r="14" spans="1:39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268"/>
      <c r="AA14" s="264"/>
      <c r="AB14" s="264"/>
      <c r="AC14" s="269"/>
      <c r="AD14" s="264"/>
      <c r="AE14" s="503"/>
      <c r="AF14" s="504"/>
      <c r="AG14" s="504"/>
      <c r="AH14" s="505"/>
      <c r="AJ14" s="229" t="str">
        <f>IF(OR(A14="",AND(ISNUMBER(FIND("[", A14)), ISNUMBER(FIND("ALL", A14)), ISNUMBER(FIND("]", A14)))),"",MAX(AJ$3:AJ13)+1)</f>
        <v/>
      </c>
      <c r="AK14" s="229" t="str">
        <f t="shared" si="0"/>
        <v/>
      </c>
    </row>
    <row r="15" spans="1:39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268"/>
      <c r="AA15" s="264"/>
      <c r="AB15" s="264"/>
      <c r="AC15" s="269"/>
      <c r="AD15" s="264"/>
      <c r="AE15" s="503"/>
      <c r="AF15" s="504"/>
      <c r="AG15" s="504"/>
      <c r="AH15" s="505"/>
      <c r="AJ15" s="229" t="str">
        <f>IF(OR(A15="",AND(ISNUMBER(FIND("[", A15)), ISNUMBER(FIND("ALL", A15)), ISNUMBER(FIND("]", A15)))),"",MAX(AJ$3:AJ14)+1)</f>
        <v/>
      </c>
      <c r="AK15" s="229" t="str">
        <f t="shared" si="0"/>
        <v/>
      </c>
    </row>
    <row r="16" spans="1:39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268"/>
      <c r="AA16" s="264"/>
      <c r="AB16" s="264"/>
      <c r="AC16" s="269"/>
      <c r="AD16" s="264"/>
      <c r="AE16" s="503"/>
      <c r="AF16" s="504"/>
      <c r="AG16" s="504"/>
      <c r="AH16" s="505"/>
      <c r="AJ16" s="229" t="str">
        <f>IF(OR(A16="",AND(ISNUMBER(FIND("[", A16)), ISNUMBER(FIND("ALL", A16)), ISNUMBER(FIND("]", A16)))),"",MAX(AJ$3:AJ15)+1)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268"/>
      <c r="AA17" s="264"/>
      <c r="AB17" s="264"/>
      <c r="AC17" s="269"/>
      <c r="AD17" s="264"/>
      <c r="AE17" s="503"/>
      <c r="AF17" s="504"/>
      <c r="AG17" s="504"/>
      <c r="AH17" s="505"/>
      <c r="AJ17" s="229" t="str">
        <f>IF(OR(A17="",AND(ISNUMBER(FIND("[", A17)), ISNUMBER(FIND("ALL", A17)), ISNUMBER(FIND("]", A17)))),"",MAX(AJ$3:AJ16)+1)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268"/>
      <c r="AA18" s="264"/>
      <c r="AB18" s="264"/>
      <c r="AC18" s="269"/>
      <c r="AD18" s="264"/>
      <c r="AE18" s="503"/>
      <c r="AF18" s="504"/>
      <c r="AG18" s="504"/>
      <c r="AH18" s="505"/>
      <c r="AJ18" s="229" t="str">
        <f>IF(OR(A18="",AND(ISNUMBER(FIND("[", A18)), ISNUMBER(FIND("ALL", A18)), ISNUMBER(FIND("]", A18)))),"",MAX(AJ$3:AJ17)+1)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268"/>
      <c r="AA19" s="264"/>
      <c r="AB19" s="264"/>
      <c r="AC19" s="269"/>
      <c r="AD19" s="264"/>
      <c r="AE19" s="503"/>
      <c r="AF19" s="504"/>
      <c r="AG19" s="504"/>
      <c r="AH19" s="505"/>
      <c r="AJ19" s="229" t="str">
        <f>IF(OR(A19="",AND(ISNUMBER(FIND("[", A19)), ISNUMBER(FIND("ALL", A19)), ISNUMBER(FIND("]", A19)))),"",MAX(AJ$3:AJ18)+1)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268"/>
      <c r="AA20" s="264"/>
      <c r="AB20" s="264"/>
      <c r="AC20" s="269"/>
      <c r="AD20" s="264"/>
      <c r="AE20" s="503"/>
      <c r="AF20" s="504"/>
      <c r="AG20" s="504"/>
      <c r="AH20" s="505"/>
      <c r="AJ20" s="229" t="str">
        <f>IF(OR(A20="",AND(ISNUMBER(FIND("[", A20)), ISNUMBER(FIND("ALL", A20)), ISNUMBER(FIND("]", A20)))),"",MAX(AJ$3:AJ19)+1)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268"/>
      <c r="AA21" s="264"/>
      <c r="AB21" s="264"/>
      <c r="AC21" s="269"/>
      <c r="AD21" s="264"/>
      <c r="AE21" s="503"/>
      <c r="AF21" s="504"/>
      <c r="AG21" s="504"/>
      <c r="AH21" s="505"/>
      <c r="AJ21" s="229" t="str">
        <f>IF(OR(A21="",AND(ISNUMBER(FIND("[", A21)), ISNUMBER(FIND("ALL", A21)), ISNUMBER(FIND("]", A21)))),"",MAX(AJ$3:AJ20)+1)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268"/>
      <c r="AA22" s="264"/>
      <c r="AB22" s="264"/>
      <c r="AC22" s="269"/>
      <c r="AD22" s="264"/>
      <c r="AE22" s="503"/>
      <c r="AF22" s="504"/>
      <c r="AG22" s="504"/>
      <c r="AH22" s="505"/>
      <c r="AJ22" s="229" t="str">
        <f>IF(OR(A22="",AND(ISNUMBER(FIND("[", A22)), ISNUMBER(FIND("ALL", A22)), ISNUMBER(FIND("]", A22)))),"",MAX(AJ$3:AJ21)+1)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268"/>
      <c r="AA23" s="264"/>
      <c r="AB23" s="264"/>
      <c r="AC23" s="269"/>
      <c r="AD23" s="264"/>
      <c r="AE23" s="503"/>
      <c r="AF23" s="504"/>
      <c r="AG23" s="504"/>
      <c r="AH23" s="505"/>
      <c r="AJ23" s="229" t="str">
        <f>IF(OR(A23="",AND(ISNUMBER(FIND("[", A23)), ISNUMBER(FIND("ALL", A23)), ISNUMBER(FIND("]", A23)))),"",MAX(AJ$3:AJ22)+1)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268"/>
      <c r="AA24" s="264"/>
      <c r="AB24" s="264"/>
      <c r="AC24" s="269"/>
      <c r="AD24" s="264"/>
      <c r="AE24" s="503"/>
      <c r="AF24" s="504"/>
      <c r="AG24" s="504"/>
      <c r="AH24" s="505"/>
      <c r="AJ24" s="229" t="str">
        <f>IF(OR(A24="",AND(ISNUMBER(FIND("[", A24)), ISNUMBER(FIND("ALL", A24)), ISNUMBER(FIND("]", A24)))),"",MAX(AJ$3:AJ23)+1)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268"/>
      <c r="AA25" s="264"/>
      <c r="AB25" s="264"/>
      <c r="AC25" s="269"/>
      <c r="AD25" s="264"/>
      <c r="AE25" s="503"/>
      <c r="AF25" s="504"/>
      <c r="AG25" s="504"/>
      <c r="AH25" s="505"/>
      <c r="AJ25" s="229" t="str">
        <f>IF(OR(A25="",AND(ISNUMBER(FIND("[", A25)), ISNUMBER(FIND("ALL", A25)), ISNUMBER(FIND("]", A25)))),"",MAX(AJ$3:AJ24)+1)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268"/>
      <c r="AA26" s="264"/>
      <c r="AB26" s="264"/>
      <c r="AC26" s="269"/>
      <c r="AD26" s="264"/>
      <c r="AE26" s="503"/>
      <c r="AF26" s="504"/>
      <c r="AG26" s="504"/>
      <c r="AH26" s="505"/>
      <c r="AJ26" s="229" t="str">
        <f>IF(OR(A26="",AND(ISNUMBER(FIND("[", A26)), ISNUMBER(FIND("ALL", A26)), ISNUMBER(FIND("]", A26)))),"",MAX(AJ$3:AJ25)+1)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268"/>
      <c r="AA27" s="264"/>
      <c r="AB27" s="264"/>
      <c r="AC27" s="269"/>
      <c r="AD27" s="264"/>
      <c r="AE27" s="503"/>
      <c r="AF27" s="504"/>
      <c r="AG27" s="504"/>
      <c r="AH27" s="505"/>
      <c r="AJ27" s="229" t="str">
        <f>IF(OR(A27="",AND(ISNUMBER(FIND("[", A27)), ISNUMBER(FIND("ALL", A27)), ISNUMBER(FIND("]", A27)))),"",MAX(AJ$3:AJ26)+1)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268"/>
      <c r="AA28" s="264"/>
      <c r="AB28" s="264"/>
      <c r="AC28" s="269"/>
      <c r="AD28" s="264"/>
      <c r="AE28" s="503"/>
      <c r="AF28" s="504"/>
      <c r="AG28" s="504"/>
      <c r="AH28" s="505"/>
      <c r="AJ28" s="229" t="str">
        <f>IF(OR(A28="",AND(ISNUMBER(FIND("[", A28)), ISNUMBER(FIND("ALL", A28)), ISNUMBER(FIND("]", A28)))),"",MAX(AJ$3:AJ27)+1)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268"/>
      <c r="AA29" s="264"/>
      <c r="AB29" s="264"/>
      <c r="AC29" s="269"/>
      <c r="AD29" s="264"/>
      <c r="AE29" s="503"/>
      <c r="AF29" s="504"/>
      <c r="AG29" s="504"/>
      <c r="AH29" s="505"/>
      <c r="AJ29" s="229" t="str">
        <f>IF(OR(A29="",AND(ISNUMBER(FIND("[", A29)), ISNUMBER(FIND("ALL", A29)), ISNUMBER(FIND("]", A29)))),"",MAX(AJ$3:AJ28)+1)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268"/>
      <c r="AA30" s="264"/>
      <c r="AB30" s="264"/>
      <c r="AC30" s="269"/>
      <c r="AD30" s="264"/>
      <c r="AE30" s="503"/>
      <c r="AF30" s="504"/>
      <c r="AG30" s="504"/>
      <c r="AH30" s="505"/>
      <c r="AJ30" s="229" t="str">
        <f>IF(OR(A30="",AND(ISNUMBER(FIND("[", A30)), ISNUMBER(FIND("ALL", A30)), ISNUMBER(FIND("]", A30)))),"",MAX(AJ$3:AJ29)+1)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268"/>
      <c r="AA31" s="264"/>
      <c r="AB31" s="264"/>
      <c r="AC31" s="269"/>
      <c r="AD31" s="264"/>
      <c r="AE31" s="503"/>
      <c r="AF31" s="504"/>
      <c r="AG31" s="504"/>
      <c r="AH31" s="505"/>
      <c r="AJ31" s="229" t="str">
        <f>IF(OR(A31="",AND(ISNUMBER(FIND("[", A31)), ISNUMBER(FIND("ALL", A31)), ISNUMBER(FIND("]", A31)))),"",MAX(AJ$3:AJ30)+1)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268"/>
      <c r="AA32" s="264"/>
      <c r="AB32" s="264"/>
      <c r="AC32" s="269"/>
      <c r="AD32" s="264"/>
      <c r="AE32" s="503"/>
      <c r="AF32" s="504"/>
      <c r="AG32" s="504"/>
      <c r="AH32" s="505"/>
      <c r="AJ32" s="229" t="str">
        <f>IF(OR(A32="",AND(ISNUMBER(FIND("[", A32)), ISNUMBER(FIND("ALL", A32)), ISNUMBER(FIND("]", A32)))),"",MAX(AJ$3:AJ31)+1)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268"/>
      <c r="AA33" s="264"/>
      <c r="AB33" s="264"/>
      <c r="AC33" s="269"/>
      <c r="AD33" s="264"/>
      <c r="AE33" s="503"/>
      <c r="AF33" s="504"/>
      <c r="AG33" s="504"/>
      <c r="AH33" s="505"/>
      <c r="AJ33" s="229" t="str">
        <f>IF(OR(A33="",AND(ISNUMBER(FIND("[", A33)), ISNUMBER(FIND("ALL", A33)), ISNUMBER(FIND("]", A33)))),"",MAX(AJ$3:AJ32)+1)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268"/>
      <c r="AA34" s="264"/>
      <c r="AB34" s="264"/>
      <c r="AC34" s="269"/>
      <c r="AD34" s="264"/>
      <c r="AE34" s="503"/>
      <c r="AF34" s="504"/>
      <c r="AG34" s="504"/>
      <c r="AH34" s="505"/>
      <c r="AJ34" s="229" t="str">
        <f>IF(OR(A34="",AND(ISNUMBER(FIND("[", A34)), ISNUMBER(FIND("ALL", A34)), ISNUMBER(FIND("]", A34)))),"",MAX(AJ$3:AJ33)+1)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268"/>
      <c r="AA35" s="264"/>
      <c r="AB35" s="264"/>
      <c r="AC35" s="269"/>
      <c r="AD35" s="264"/>
      <c r="AE35" s="503"/>
      <c r="AF35" s="504"/>
      <c r="AG35" s="504"/>
      <c r="AH35" s="505"/>
      <c r="AJ35" s="229" t="str">
        <f>IF(OR(A35="",AND(ISNUMBER(FIND("[", A35)), ISNUMBER(FIND("ALL", A35)), ISNUMBER(FIND("]", A35)))),"",MAX(AJ$3:AJ34)+1)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268"/>
      <c r="AA36" s="264"/>
      <c r="AB36" s="264"/>
      <c r="AC36" s="269"/>
      <c r="AD36" s="264"/>
      <c r="AE36" s="503"/>
      <c r="AF36" s="504"/>
      <c r="AG36" s="504"/>
      <c r="AH36" s="505"/>
      <c r="AJ36" s="229" t="str">
        <f>IF(OR(A36="",AND(ISNUMBER(FIND("[", A36)), ISNUMBER(FIND("ALL", A36)), ISNUMBER(FIND("]", A36)))),"",MAX(AJ$3:AJ35)+1)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268"/>
      <c r="AA37" s="264"/>
      <c r="AB37" s="264"/>
      <c r="AC37" s="269"/>
      <c r="AD37" s="264"/>
      <c r="AE37" s="503"/>
      <c r="AF37" s="504"/>
      <c r="AG37" s="504"/>
      <c r="AH37" s="505"/>
      <c r="AJ37" s="229" t="str">
        <f>IF(OR(A37="",AND(ISNUMBER(FIND("[", A37)), ISNUMBER(FIND("ALL", A37)), ISNUMBER(FIND("]", A37)))),"",MAX(AJ$3:AJ36)+1)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268"/>
      <c r="AA38" s="264"/>
      <c r="AB38" s="264"/>
      <c r="AC38" s="269"/>
      <c r="AD38" s="264"/>
      <c r="AE38" s="503"/>
      <c r="AF38" s="504"/>
      <c r="AG38" s="504"/>
      <c r="AH38" s="505"/>
      <c r="AJ38" s="229" t="str">
        <f>IF(OR(A38="",AND(ISNUMBER(FIND("[", A38)), ISNUMBER(FIND("ALL", A38)), ISNUMBER(FIND("]", A38)))),"",MAX(AJ$3:AJ37)+1)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268"/>
      <c r="AA39" s="264"/>
      <c r="AB39" s="264"/>
      <c r="AC39" s="269"/>
      <c r="AD39" s="264"/>
      <c r="AE39" s="503"/>
      <c r="AF39" s="504"/>
      <c r="AG39" s="504"/>
      <c r="AH39" s="505"/>
      <c r="AJ39" s="229" t="str">
        <f>IF(OR(A39="",AND(ISNUMBER(FIND("[", A39)), ISNUMBER(FIND("ALL", A39)), ISNUMBER(FIND("]", A39)))),"",MAX(AJ$3:AJ38)+1)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268"/>
      <c r="AA40" s="264"/>
      <c r="AB40" s="264"/>
      <c r="AC40" s="269"/>
      <c r="AD40" s="264"/>
      <c r="AE40" s="503"/>
      <c r="AF40" s="504"/>
      <c r="AG40" s="504"/>
      <c r="AH40" s="505"/>
      <c r="AJ40" s="229" t="str">
        <f>IF(OR(A40="",AND(ISNUMBER(FIND("[", A40)), ISNUMBER(FIND("ALL", A40)), ISNUMBER(FIND("]", A40)))),"",MAX(AJ$3:AJ39)+1)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268"/>
      <c r="AA41" s="264"/>
      <c r="AB41" s="264"/>
      <c r="AC41" s="269"/>
      <c r="AD41" s="264"/>
      <c r="AE41" s="503"/>
      <c r="AF41" s="504"/>
      <c r="AG41" s="504"/>
      <c r="AH41" s="505"/>
      <c r="AJ41" s="229" t="str">
        <f>IF(OR(A41="",AND(ISNUMBER(FIND("[", A41)), ISNUMBER(FIND("ALL", A41)), ISNUMBER(FIND("]", A41)))),"",MAX(AJ$3:AJ40)+1)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268"/>
      <c r="AA42" s="264"/>
      <c r="AB42" s="264"/>
      <c r="AC42" s="269"/>
      <c r="AD42" s="264"/>
      <c r="AE42" s="503"/>
      <c r="AF42" s="504"/>
      <c r="AG42" s="504"/>
      <c r="AH42" s="505"/>
      <c r="AJ42" s="229" t="str">
        <f>IF(OR(A42="",AND(ISNUMBER(FIND("[", A42)), ISNUMBER(FIND("ALL", A42)), ISNUMBER(FIND("]", A42)))),"",MAX(AJ$3:AJ41)+1)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268"/>
      <c r="AA43" s="264"/>
      <c r="AB43" s="264"/>
      <c r="AC43" s="269"/>
      <c r="AD43" s="264"/>
      <c r="AE43" s="503"/>
      <c r="AF43" s="504"/>
      <c r="AG43" s="504"/>
      <c r="AH43" s="505"/>
      <c r="AJ43" s="229" t="str">
        <f>IF(OR(A43="",AND(ISNUMBER(FIND("[", A43)), ISNUMBER(FIND("ALL", A43)), ISNUMBER(FIND("]", A43)))),"",MAX(AJ$3:AJ42)+1)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268"/>
      <c r="AA44" s="264"/>
      <c r="AB44" s="264"/>
      <c r="AC44" s="269"/>
      <c r="AD44" s="264"/>
      <c r="AE44" s="503"/>
      <c r="AF44" s="504"/>
      <c r="AG44" s="504"/>
      <c r="AH44" s="505"/>
      <c r="AJ44" s="229" t="str">
        <f>IF(OR(A44="",AND(ISNUMBER(FIND("[", A44)), ISNUMBER(FIND("ALL", A44)), ISNUMBER(FIND("]", A44)))),"",MAX(AJ$3:AJ43)+1)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268"/>
      <c r="AA45" s="264"/>
      <c r="AB45" s="264"/>
      <c r="AC45" s="269"/>
      <c r="AD45" s="264"/>
      <c r="AE45" s="503"/>
      <c r="AF45" s="504"/>
      <c r="AG45" s="504"/>
      <c r="AH45" s="505"/>
      <c r="AJ45" s="229" t="str">
        <f>IF(OR(A45="",AND(ISNUMBER(FIND("[", A45)), ISNUMBER(FIND("ALL", A45)), ISNUMBER(FIND("]", A45)))),"",MAX(AJ$3:AJ44)+1)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268"/>
      <c r="AA46" s="264"/>
      <c r="AB46" s="264"/>
      <c r="AC46" s="269"/>
      <c r="AD46" s="264"/>
      <c r="AE46" s="503"/>
      <c r="AF46" s="504"/>
      <c r="AG46" s="504"/>
      <c r="AH46" s="505"/>
      <c r="AJ46" s="229" t="str">
        <f>IF(OR(A46="",AND(ISNUMBER(FIND("[", A46)), ISNUMBER(FIND("ALL", A46)), ISNUMBER(FIND("]", A46)))),"",MAX(AJ$3:AJ45)+1)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268"/>
      <c r="AA47" s="264"/>
      <c r="AB47" s="264"/>
      <c r="AC47" s="269"/>
      <c r="AD47" s="264"/>
      <c r="AE47" s="503"/>
      <c r="AF47" s="504"/>
      <c r="AG47" s="504"/>
      <c r="AH47" s="505"/>
      <c r="AJ47" s="229" t="str">
        <f>IF(OR(A47="",AND(ISNUMBER(FIND("[", A47)), ISNUMBER(FIND("ALL", A47)), ISNUMBER(FIND("]", A47)))),"",MAX(AJ$3:AJ46)+1)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268"/>
      <c r="AA48" s="264"/>
      <c r="AB48" s="264"/>
      <c r="AC48" s="269"/>
      <c r="AD48" s="264"/>
      <c r="AE48" s="503"/>
      <c r="AF48" s="504"/>
      <c r="AG48" s="504"/>
      <c r="AH48" s="505"/>
      <c r="AJ48" s="229" t="str">
        <f>IF(OR(A48="",AND(ISNUMBER(FIND("[", A48)), ISNUMBER(FIND("ALL", A48)), ISNUMBER(FIND("]", A48)))),"",MAX(AJ$3:AJ47)+1)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268"/>
      <c r="AA49" s="264"/>
      <c r="AB49" s="264"/>
      <c r="AC49" s="269"/>
      <c r="AD49" s="264"/>
      <c r="AE49" s="503"/>
      <c r="AF49" s="504"/>
      <c r="AG49" s="504"/>
      <c r="AH49" s="505"/>
      <c r="AJ49" s="229" t="str">
        <f>IF(OR(A49="",AND(ISNUMBER(FIND("[", A49)), ISNUMBER(FIND("ALL", A49)), ISNUMBER(FIND("]", A49)))),"",MAX(AJ$3:AJ48)+1)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268"/>
      <c r="AA50" s="264"/>
      <c r="AB50" s="264"/>
      <c r="AC50" s="269"/>
      <c r="AD50" s="264"/>
      <c r="AE50" s="503"/>
      <c r="AF50" s="504"/>
      <c r="AG50" s="504"/>
      <c r="AH50" s="505"/>
      <c r="AJ50" s="229" t="str">
        <f>IF(OR(A50="",AND(ISNUMBER(FIND("[", A50)), ISNUMBER(FIND("ALL", A50)), ISNUMBER(FIND("]", A50)))),"",MAX(AJ$3:AJ49)+1)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268"/>
      <c r="AA51" s="264"/>
      <c r="AB51" s="264"/>
      <c r="AC51" s="269"/>
      <c r="AD51" s="264"/>
      <c r="AE51" s="503"/>
      <c r="AF51" s="504"/>
      <c r="AG51" s="504"/>
      <c r="AH51" s="505"/>
      <c r="AJ51" s="229" t="str">
        <f>IF(OR(A51="",AND(ISNUMBER(FIND("[", A51)), ISNUMBER(FIND("ALL", A51)), ISNUMBER(FIND("]", A51)))),"",MAX(AJ$3:AJ50)+1)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268"/>
      <c r="AA52" s="264"/>
      <c r="AB52" s="264"/>
      <c r="AC52" s="269"/>
      <c r="AD52" s="264"/>
      <c r="AE52" s="503"/>
      <c r="AF52" s="504"/>
      <c r="AG52" s="504"/>
      <c r="AH52" s="505"/>
      <c r="AJ52" s="229" t="str">
        <f>IF(OR(A52="",AND(ISNUMBER(FIND("[", A52)), ISNUMBER(FIND("ALL", A52)), ISNUMBER(FIND("]", A52)))),"",MAX(AJ$3:AJ51)+1)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268"/>
      <c r="AA53" s="264"/>
      <c r="AB53" s="264"/>
      <c r="AC53" s="269"/>
      <c r="AD53" s="264"/>
      <c r="AE53" s="503"/>
      <c r="AF53" s="504"/>
      <c r="AG53" s="504"/>
      <c r="AH53" s="505"/>
      <c r="AJ53" s="229" t="str">
        <f>IF(OR(A53="",AND(ISNUMBER(FIND("[", A53)), ISNUMBER(FIND("ALL", A53)), ISNUMBER(FIND("]", A53)))),"",MAX(AJ$3:AJ52)+1)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268"/>
      <c r="AA54" s="264"/>
      <c r="AB54" s="264"/>
      <c r="AC54" s="269"/>
      <c r="AD54" s="264"/>
      <c r="AE54" s="503"/>
      <c r="AF54" s="504"/>
      <c r="AG54" s="504"/>
      <c r="AH54" s="505"/>
      <c r="AJ54" s="229" t="str">
        <f>IF(OR(A54="",AND(ISNUMBER(FIND("[", A54)), ISNUMBER(FIND("ALL", A54)), ISNUMBER(FIND("]", A54)))),"",MAX(AJ$3:AJ53)+1)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268"/>
      <c r="AA55" s="264"/>
      <c r="AB55" s="264"/>
      <c r="AC55" s="269"/>
      <c r="AD55" s="264"/>
      <c r="AE55" s="503"/>
      <c r="AF55" s="504"/>
      <c r="AG55" s="504"/>
      <c r="AH55" s="505"/>
      <c r="AJ55" s="229" t="str">
        <f>IF(OR(A55="",AND(ISNUMBER(FIND("[", A55)), ISNUMBER(FIND("ALL", A55)), ISNUMBER(FIND("]", A55)))),"",MAX(AJ$3:AJ54)+1)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268"/>
      <c r="AA56" s="264"/>
      <c r="AB56" s="264"/>
      <c r="AC56" s="269"/>
      <c r="AD56" s="264"/>
      <c r="AE56" s="503"/>
      <c r="AF56" s="504"/>
      <c r="AG56" s="504"/>
      <c r="AH56" s="505"/>
      <c r="AJ56" s="229" t="str">
        <f>IF(OR(A56="",AND(ISNUMBER(FIND("[", A56)), ISNUMBER(FIND("ALL", A56)), ISNUMBER(FIND("]", A56)))),"",MAX(AJ$3:AJ55)+1)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268"/>
      <c r="AA57" s="264"/>
      <c r="AB57" s="264"/>
      <c r="AC57" s="269"/>
      <c r="AD57" s="264"/>
      <c r="AE57" s="503"/>
      <c r="AF57" s="504"/>
      <c r="AG57" s="504"/>
      <c r="AH57" s="505"/>
      <c r="AJ57" s="229" t="str">
        <f>IF(OR(A57="",AND(ISNUMBER(FIND("[", A57)), ISNUMBER(FIND("ALL", A57)), ISNUMBER(FIND("]", A57)))),"",MAX(AJ$3:AJ56)+1)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268"/>
      <c r="AA58" s="264"/>
      <c r="AB58" s="264"/>
      <c r="AC58" s="269"/>
      <c r="AD58" s="264"/>
      <c r="AE58" s="503"/>
      <c r="AF58" s="504"/>
      <c r="AG58" s="504"/>
      <c r="AH58" s="505"/>
      <c r="AJ58" s="229" t="str">
        <f>IF(OR(A58="",AND(ISNUMBER(FIND("[", A58)), ISNUMBER(FIND("ALL", A58)), ISNUMBER(FIND("]", A58)))),"",MAX(AJ$3:AJ57)+1)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268"/>
      <c r="AA59" s="264"/>
      <c r="AB59" s="264"/>
      <c r="AC59" s="269"/>
      <c r="AD59" s="264"/>
      <c r="AE59" s="503"/>
      <c r="AF59" s="504"/>
      <c r="AG59" s="504"/>
      <c r="AH59" s="505"/>
      <c r="AJ59" s="229" t="str">
        <f>IF(OR(A59="",AND(ISNUMBER(FIND("[", A59)), ISNUMBER(FIND("ALL", A59)), ISNUMBER(FIND("]", A59)))),"",MAX(AJ$3:AJ58)+1)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268"/>
      <c r="AA60" s="264"/>
      <c r="AB60" s="264"/>
      <c r="AC60" s="269"/>
      <c r="AD60" s="264"/>
      <c r="AE60" s="503"/>
      <c r="AF60" s="504"/>
      <c r="AG60" s="504"/>
      <c r="AH60" s="505"/>
      <c r="AJ60" s="229" t="str">
        <f>IF(OR(A60="",AND(ISNUMBER(FIND("[", A60)), ISNUMBER(FIND("ALL", A60)), ISNUMBER(FIND("]", A60)))),"",MAX(AJ$3:AJ59)+1)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268"/>
      <c r="AA61" s="264"/>
      <c r="AB61" s="264"/>
      <c r="AC61" s="269"/>
      <c r="AD61" s="264"/>
      <c r="AE61" s="503"/>
      <c r="AF61" s="504"/>
      <c r="AG61" s="504"/>
      <c r="AH61" s="505"/>
      <c r="AJ61" s="229" t="str">
        <f>IF(OR(A61="",AND(ISNUMBER(FIND("[", A61)), ISNUMBER(FIND("ALL", A61)), ISNUMBER(FIND("]", A61)))),"",MAX(AJ$3:AJ60)+1)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268"/>
      <c r="AA62" s="264"/>
      <c r="AB62" s="264"/>
      <c r="AC62" s="269"/>
      <c r="AD62" s="264"/>
      <c r="AE62" s="503"/>
      <c r="AF62" s="504"/>
      <c r="AG62" s="504"/>
      <c r="AH62" s="505"/>
      <c r="AJ62" s="229" t="str">
        <f>IF(OR(A62="",AND(ISNUMBER(FIND("[", A62)), ISNUMBER(FIND("ALL", A62)), ISNUMBER(FIND("]", A62)))),"",MAX(AJ$3:AJ61)+1)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268"/>
      <c r="AA63" s="264"/>
      <c r="AB63" s="264"/>
      <c r="AC63" s="269"/>
      <c r="AD63" s="264"/>
      <c r="AE63" s="503"/>
      <c r="AF63" s="504"/>
      <c r="AG63" s="504"/>
      <c r="AH63" s="505"/>
      <c r="AJ63" s="229" t="str">
        <f>IF(OR(A63="",AND(ISNUMBER(FIND("[", A63)), ISNUMBER(FIND("ALL", A63)), ISNUMBER(FIND("]", A63)))),"",MAX(AJ$3:AJ62)+1)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268"/>
      <c r="AA64" s="264"/>
      <c r="AB64" s="264"/>
      <c r="AC64" s="269"/>
      <c r="AD64" s="264"/>
      <c r="AE64" s="503"/>
      <c r="AF64" s="504"/>
      <c r="AG64" s="504"/>
      <c r="AH64" s="505"/>
      <c r="AJ64" s="229" t="str">
        <f>IF(OR(A64="",AND(ISNUMBER(FIND("[", A64)), ISNUMBER(FIND("ALL", A64)), ISNUMBER(FIND("]", A64)))),"",MAX(AJ$3:AJ63)+1)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268"/>
      <c r="AA65" s="264"/>
      <c r="AB65" s="264"/>
      <c r="AC65" s="269"/>
      <c r="AD65" s="264"/>
      <c r="AE65" s="503"/>
      <c r="AF65" s="504"/>
      <c r="AG65" s="504"/>
      <c r="AH65" s="505"/>
      <c r="AJ65" s="229" t="str">
        <f>IF(OR(A65="",AND(ISNUMBER(FIND("[", A65)), ISNUMBER(FIND("ALL", A65)), ISNUMBER(FIND("]", A65)))),"",MAX(AJ$3:AJ64)+1)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268"/>
      <c r="AA66" s="264"/>
      <c r="AB66" s="264"/>
      <c r="AC66" s="269"/>
      <c r="AD66" s="264"/>
      <c r="AE66" s="503"/>
      <c r="AF66" s="504"/>
      <c r="AG66" s="504"/>
      <c r="AH66" s="505"/>
      <c r="AJ66" s="229" t="str">
        <f>IF(OR(A66="",AND(ISNUMBER(FIND("[", A66)), ISNUMBER(FIND("ALL", A66)), ISNUMBER(FIND("]", A66)))),"",MAX(AJ$3:AJ65)+1)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268"/>
      <c r="AA67" s="264"/>
      <c r="AB67" s="264"/>
      <c r="AC67" s="269"/>
      <c r="AD67" s="264"/>
      <c r="AE67" s="503"/>
      <c r="AF67" s="504"/>
      <c r="AG67" s="504"/>
      <c r="AH67" s="505"/>
      <c r="AJ67" s="229" t="str">
        <f>IF(OR(A67="",AND(ISNUMBER(FIND("[", A67)), ISNUMBER(FIND("ALL", A67)), ISNUMBER(FIND("]", A67)))),"",MAX(AJ$3:AJ66)+1)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268"/>
      <c r="AA68" s="264"/>
      <c r="AB68" s="264"/>
      <c r="AC68" s="269"/>
      <c r="AD68" s="264"/>
      <c r="AE68" s="503"/>
      <c r="AF68" s="504"/>
      <c r="AG68" s="504"/>
      <c r="AH68" s="505"/>
      <c r="AJ68" s="229" t="str">
        <f>IF(OR(A68="",AND(ISNUMBER(FIND("[", A68)), ISNUMBER(FIND("ALL", A68)), ISNUMBER(FIND("]", A68)))),"",MAX(AJ$3:AJ67)+1)</f>
        <v/>
      </c>
      <c r="AK68" s="229" t="str">
        <f t="shared" ref="AK68:AK131" si="1">IFERROR(INDEX($A$4:$A$1000,MATCH(ROW()-ROW($AK$3),$AJ$4:$AJ$1000,0)),"")</f>
        <v/>
      </c>
    </row>
    <row r="69" spans="1:37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268"/>
      <c r="AA69" s="264"/>
      <c r="AB69" s="264"/>
      <c r="AC69" s="269"/>
      <c r="AD69" s="264"/>
      <c r="AE69" s="503"/>
      <c r="AF69" s="504"/>
      <c r="AG69" s="504"/>
      <c r="AH69" s="505"/>
      <c r="AJ69" s="229" t="str">
        <f>IF(OR(A69="",AND(ISNUMBER(FIND("[", A69)), ISNUMBER(FIND("ALL", A69)), ISNUMBER(FIND("]", A69)))),"",MAX(AJ$3:AJ68)+1)</f>
        <v/>
      </c>
      <c r="AK69" s="229" t="str">
        <f t="shared" si="1"/>
        <v/>
      </c>
    </row>
    <row r="70" spans="1:37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268"/>
      <c r="AA70" s="264"/>
      <c r="AB70" s="264"/>
      <c r="AC70" s="269"/>
      <c r="AD70" s="264"/>
      <c r="AE70" s="503"/>
      <c r="AF70" s="504"/>
      <c r="AG70" s="504"/>
      <c r="AH70" s="505"/>
      <c r="AJ70" s="229" t="str">
        <f>IF(OR(A70="",AND(ISNUMBER(FIND("[", A70)), ISNUMBER(FIND("ALL", A70)), ISNUMBER(FIND("]", A70)))),"",MAX(AJ$3:AJ69)+1)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268"/>
      <c r="AA71" s="264"/>
      <c r="AB71" s="264"/>
      <c r="AC71" s="269"/>
      <c r="AD71" s="264"/>
      <c r="AE71" s="503"/>
      <c r="AF71" s="504"/>
      <c r="AG71" s="504"/>
      <c r="AH71" s="505"/>
      <c r="AJ71" s="229" t="str">
        <f>IF(OR(A71="",AND(ISNUMBER(FIND("[", A71)), ISNUMBER(FIND("ALL", A71)), ISNUMBER(FIND("]", A71)))),"",MAX(AJ$3:AJ70)+1)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268"/>
      <c r="AA72" s="264"/>
      <c r="AB72" s="264"/>
      <c r="AC72" s="269"/>
      <c r="AD72" s="264"/>
      <c r="AE72" s="503"/>
      <c r="AF72" s="504"/>
      <c r="AG72" s="504"/>
      <c r="AH72" s="505"/>
      <c r="AJ72" s="229" t="str">
        <f>IF(OR(A72="",AND(ISNUMBER(FIND("[", A72)), ISNUMBER(FIND("ALL", A72)), ISNUMBER(FIND("]", A72)))),"",MAX(AJ$3:AJ71)+1)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268"/>
      <c r="AA73" s="264"/>
      <c r="AB73" s="264"/>
      <c r="AC73" s="269"/>
      <c r="AD73" s="264"/>
      <c r="AE73" s="503"/>
      <c r="AF73" s="504"/>
      <c r="AG73" s="504"/>
      <c r="AH73" s="505"/>
      <c r="AJ73" s="229" t="str">
        <f>IF(OR(A73="",AND(ISNUMBER(FIND("[", A73)), ISNUMBER(FIND("ALL", A73)), ISNUMBER(FIND("]", A73)))),"",MAX(AJ$3:AJ72)+1)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268"/>
      <c r="AA74" s="264"/>
      <c r="AB74" s="264"/>
      <c r="AC74" s="269"/>
      <c r="AD74" s="264"/>
      <c r="AE74" s="503"/>
      <c r="AF74" s="504"/>
      <c r="AG74" s="504"/>
      <c r="AH74" s="505"/>
      <c r="AJ74" s="229" t="str">
        <f>IF(OR(A74="",AND(ISNUMBER(FIND("[", A74)), ISNUMBER(FIND("ALL", A74)), ISNUMBER(FIND("]", A74)))),"",MAX(AJ$3:AJ73)+1)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268"/>
      <c r="AA75" s="264"/>
      <c r="AB75" s="264"/>
      <c r="AC75" s="269"/>
      <c r="AD75" s="264"/>
      <c r="AE75" s="503"/>
      <c r="AF75" s="504"/>
      <c r="AG75" s="504"/>
      <c r="AH75" s="505"/>
      <c r="AJ75" s="229" t="str">
        <f>IF(OR(A75="",AND(ISNUMBER(FIND("[", A75)), ISNUMBER(FIND("ALL", A75)), ISNUMBER(FIND("]", A75)))),"",MAX(AJ$3:AJ74)+1)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268"/>
      <c r="AA76" s="264"/>
      <c r="AB76" s="264"/>
      <c r="AC76" s="269"/>
      <c r="AD76" s="264"/>
      <c r="AE76" s="503"/>
      <c r="AF76" s="504"/>
      <c r="AG76" s="504"/>
      <c r="AH76" s="505"/>
      <c r="AJ76" s="229" t="str">
        <f>IF(OR(A76="",AND(ISNUMBER(FIND("[", A76)), ISNUMBER(FIND("ALL", A76)), ISNUMBER(FIND("]", A76)))),"",MAX(AJ$3:AJ75)+1)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268"/>
      <c r="AA77" s="264"/>
      <c r="AB77" s="264"/>
      <c r="AC77" s="269"/>
      <c r="AD77" s="264"/>
      <c r="AE77" s="503"/>
      <c r="AF77" s="504"/>
      <c r="AG77" s="504"/>
      <c r="AH77" s="505"/>
      <c r="AJ77" s="229" t="str">
        <f>IF(OR(A77="",AND(ISNUMBER(FIND("[", A77)), ISNUMBER(FIND("ALL", A77)), ISNUMBER(FIND("]", A77)))),"",MAX(AJ$3:AJ76)+1)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268"/>
      <c r="AA78" s="264"/>
      <c r="AB78" s="264"/>
      <c r="AC78" s="269"/>
      <c r="AD78" s="264"/>
      <c r="AE78" s="503"/>
      <c r="AF78" s="504"/>
      <c r="AG78" s="504"/>
      <c r="AH78" s="505"/>
      <c r="AJ78" s="229" t="str">
        <f>IF(OR(A78="",AND(ISNUMBER(FIND("[", A78)), ISNUMBER(FIND("ALL", A78)), ISNUMBER(FIND("]", A78)))),"",MAX(AJ$3:AJ77)+1)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268"/>
      <c r="AA79" s="264"/>
      <c r="AB79" s="264"/>
      <c r="AC79" s="269"/>
      <c r="AD79" s="264"/>
      <c r="AE79" s="503"/>
      <c r="AF79" s="504"/>
      <c r="AG79" s="504"/>
      <c r="AH79" s="505"/>
      <c r="AJ79" s="229" t="str">
        <f>IF(OR(A79="",AND(ISNUMBER(FIND("[", A79)), ISNUMBER(FIND("ALL", A79)), ISNUMBER(FIND("]", A79)))),"",MAX(AJ$3:AJ78)+1)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268"/>
      <c r="AA80" s="264"/>
      <c r="AB80" s="264"/>
      <c r="AC80" s="269"/>
      <c r="AD80" s="264"/>
      <c r="AE80" s="503"/>
      <c r="AF80" s="504"/>
      <c r="AG80" s="504"/>
      <c r="AH80" s="505"/>
      <c r="AJ80" s="229" t="str">
        <f>IF(OR(A80="",AND(ISNUMBER(FIND("[", A80)), ISNUMBER(FIND("ALL", A80)), ISNUMBER(FIND("]", A80)))),"",MAX(AJ$3:AJ79)+1)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268"/>
      <c r="AA81" s="264"/>
      <c r="AB81" s="264"/>
      <c r="AC81" s="269"/>
      <c r="AD81" s="264"/>
      <c r="AE81" s="503"/>
      <c r="AF81" s="504"/>
      <c r="AG81" s="504"/>
      <c r="AH81" s="505"/>
      <c r="AJ81" s="229" t="str">
        <f>IF(OR(A81="",AND(ISNUMBER(FIND("[", A81)), ISNUMBER(FIND("ALL", A81)), ISNUMBER(FIND("]", A81)))),"",MAX(AJ$3:AJ80)+1)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268"/>
      <c r="AA82" s="264"/>
      <c r="AB82" s="264"/>
      <c r="AC82" s="269"/>
      <c r="AD82" s="264"/>
      <c r="AE82" s="503"/>
      <c r="AF82" s="504"/>
      <c r="AG82" s="504"/>
      <c r="AH82" s="505"/>
      <c r="AJ82" s="229" t="str">
        <f>IF(OR(A82="",AND(ISNUMBER(FIND("[", A82)), ISNUMBER(FIND("ALL", A82)), ISNUMBER(FIND("]", A82)))),"",MAX(AJ$3:AJ81)+1)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268"/>
      <c r="AA83" s="264"/>
      <c r="AB83" s="264"/>
      <c r="AC83" s="269"/>
      <c r="AD83" s="264"/>
      <c r="AE83" s="503"/>
      <c r="AF83" s="504"/>
      <c r="AG83" s="504"/>
      <c r="AH83" s="505"/>
      <c r="AJ83" s="229" t="str">
        <f>IF(OR(A83="",AND(ISNUMBER(FIND("[", A83)), ISNUMBER(FIND("ALL", A83)), ISNUMBER(FIND("]", A83)))),"",MAX(AJ$3:AJ82)+1)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268"/>
      <c r="AA84" s="264"/>
      <c r="AB84" s="264"/>
      <c r="AC84" s="269"/>
      <c r="AD84" s="264"/>
      <c r="AE84" s="503"/>
      <c r="AF84" s="504"/>
      <c r="AG84" s="504"/>
      <c r="AH84" s="505"/>
      <c r="AJ84" s="229" t="str">
        <f>IF(OR(A84="",AND(ISNUMBER(FIND("[", A84)), ISNUMBER(FIND("ALL", A84)), ISNUMBER(FIND("]", A84)))),"",MAX(AJ$3:AJ83)+1)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268"/>
      <c r="AA85" s="264"/>
      <c r="AB85" s="264"/>
      <c r="AC85" s="269"/>
      <c r="AD85" s="264"/>
      <c r="AE85" s="503"/>
      <c r="AF85" s="504"/>
      <c r="AG85" s="504"/>
      <c r="AH85" s="505"/>
      <c r="AJ85" s="229" t="str">
        <f>IF(OR(A85="",AND(ISNUMBER(FIND("[", A85)), ISNUMBER(FIND("ALL", A85)), ISNUMBER(FIND("]", A85)))),"",MAX(AJ$3:AJ84)+1)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268"/>
      <c r="AA86" s="264"/>
      <c r="AB86" s="264"/>
      <c r="AC86" s="269"/>
      <c r="AD86" s="264"/>
      <c r="AE86" s="503"/>
      <c r="AF86" s="504"/>
      <c r="AG86" s="504"/>
      <c r="AH86" s="505"/>
      <c r="AJ86" s="229" t="str">
        <f>IF(OR(A86="",AND(ISNUMBER(FIND("[", A86)), ISNUMBER(FIND("ALL", A86)), ISNUMBER(FIND("]", A86)))),"",MAX(AJ$3:AJ85)+1)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268"/>
      <c r="AA87" s="264"/>
      <c r="AB87" s="264"/>
      <c r="AC87" s="269"/>
      <c r="AD87" s="264"/>
      <c r="AE87" s="503"/>
      <c r="AF87" s="504"/>
      <c r="AG87" s="504"/>
      <c r="AH87" s="505"/>
      <c r="AJ87" s="229" t="str">
        <f>IF(OR(A87="",AND(ISNUMBER(FIND("[", A87)), ISNUMBER(FIND("ALL", A87)), ISNUMBER(FIND("]", A87)))),"",MAX(AJ$3:AJ86)+1)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268"/>
      <c r="AA88" s="264"/>
      <c r="AB88" s="264"/>
      <c r="AC88" s="269"/>
      <c r="AD88" s="264"/>
      <c r="AE88" s="503"/>
      <c r="AF88" s="504"/>
      <c r="AG88" s="504"/>
      <c r="AH88" s="505"/>
      <c r="AJ88" s="229" t="str">
        <f>IF(OR(A88="",AND(ISNUMBER(FIND("[", A88)), ISNUMBER(FIND("ALL", A88)), ISNUMBER(FIND("]", A88)))),"",MAX(AJ$3:AJ87)+1)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268"/>
      <c r="AA89" s="264"/>
      <c r="AB89" s="264"/>
      <c r="AC89" s="269"/>
      <c r="AD89" s="264"/>
      <c r="AE89" s="503"/>
      <c r="AF89" s="504"/>
      <c r="AG89" s="504"/>
      <c r="AH89" s="505"/>
      <c r="AJ89" s="229" t="str">
        <f>IF(OR(A89="",AND(ISNUMBER(FIND("[", A89)), ISNUMBER(FIND("ALL", A89)), ISNUMBER(FIND("]", A89)))),"",MAX(AJ$3:AJ88)+1)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268"/>
      <c r="AA90" s="264"/>
      <c r="AB90" s="264"/>
      <c r="AC90" s="269"/>
      <c r="AD90" s="264"/>
      <c r="AE90" s="503"/>
      <c r="AF90" s="504"/>
      <c r="AG90" s="504"/>
      <c r="AH90" s="505"/>
      <c r="AJ90" s="229" t="str">
        <f>IF(OR(A90="",AND(ISNUMBER(FIND("[", A90)), ISNUMBER(FIND("ALL", A90)), ISNUMBER(FIND("]", A90)))),"",MAX(AJ$3:AJ89)+1)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268"/>
      <c r="AA91" s="264"/>
      <c r="AB91" s="264"/>
      <c r="AC91" s="269"/>
      <c r="AD91" s="264"/>
      <c r="AE91" s="503"/>
      <c r="AF91" s="504"/>
      <c r="AG91" s="504"/>
      <c r="AH91" s="505"/>
      <c r="AJ91" s="229" t="str">
        <f>IF(OR(A91="",AND(ISNUMBER(FIND("[", A91)), ISNUMBER(FIND("ALL", A91)), ISNUMBER(FIND("]", A91)))),"",MAX(AJ$3:AJ90)+1)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268"/>
      <c r="AA92" s="264"/>
      <c r="AB92" s="264"/>
      <c r="AC92" s="269"/>
      <c r="AD92" s="264"/>
      <c r="AE92" s="503"/>
      <c r="AF92" s="504"/>
      <c r="AG92" s="504"/>
      <c r="AH92" s="505"/>
      <c r="AJ92" s="229" t="str">
        <f>IF(OR(A92="",AND(ISNUMBER(FIND("[", A92)), ISNUMBER(FIND("ALL", A92)), ISNUMBER(FIND("]", A92)))),"",MAX(AJ$3:AJ91)+1)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268"/>
      <c r="AA93" s="264"/>
      <c r="AB93" s="264"/>
      <c r="AC93" s="269"/>
      <c r="AD93" s="264"/>
      <c r="AE93" s="503"/>
      <c r="AF93" s="504"/>
      <c r="AG93" s="504"/>
      <c r="AH93" s="505"/>
      <c r="AJ93" s="229" t="str">
        <f>IF(OR(A93="",AND(ISNUMBER(FIND("[", A93)), ISNUMBER(FIND("ALL", A93)), ISNUMBER(FIND("]", A93)))),"",MAX(AJ$3:AJ92)+1)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268"/>
      <c r="AA94" s="264"/>
      <c r="AB94" s="264"/>
      <c r="AC94" s="269"/>
      <c r="AD94" s="264"/>
      <c r="AE94" s="503"/>
      <c r="AF94" s="504"/>
      <c r="AG94" s="504"/>
      <c r="AH94" s="505"/>
      <c r="AJ94" s="229" t="str">
        <f>IF(OR(A94="",AND(ISNUMBER(FIND("[", A94)), ISNUMBER(FIND("ALL", A94)), ISNUMBER(FIND("]", A94)))),"",MAX(AJ$3:AJ93)+1)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268"/>
      <c r="AA95" s="264"/>
      <c r="AB95" s="264"/>
      <c r="AC95" s="269"/>
      <c r="AD95" s="264"/>
      <c r="AE95" s="503"/>
      <c r="AF95" s="504"/>
      <c r="AG95" s="504"/>
      <c r="AH95" s="505"/>
      <c r="AJ95" s="229" t="str">
        <f>IF(OR(A95="",AND(ISNUMBER(FIND("[", A95)), ISNUMBER(FIND("ALL", A95)), ISNUMBER(FIND("]", A95)))),"",MAX(AJ$3:AJ94)+1)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268"/>
      <c r="AA96" s="264"/>
      <c r="AB96" s="264"/>
      <c r="AC96" s="269"/>
      <c r="AD96" s="264"/>
      <c r="AE96" s="503"/>
      <c r="AF96" s="504"/>
      <c r="AG96" s="504"/>
      <c r="AH96" s="505"/>
      <c r="AJ96" s="229" t="str">
        <f>IF(OR(A96="",AND(ISNUMBER(FIND("[", A96)), ISNUMBER(FIND("ALL", A96)), ISNUMBER(FIND("]", A96)))),"",MAX(AJ$3:AJ95)+1)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268"/>
      <c r="AA97" s="264"/>
      <c r="AB97" s="264"/>
      <c r="AC97" s="269"/>
      <c r="AD97" s="264"/>
      <c r="AE97" s="503"/>
      <c r="AF97" s="504"/>
      <c r="AG97" s="504"/>
      <c r="AH97" s="505"/>
      <c r="AJ97" s="229" t="str">
        <f>IF(OR(A97="",AND(ISNUMBER(FIND("[", A97)), ISNUMBER(FIND("ALL", A97)), ISNUMBER(FIND("]", A97)))),"",MAX(AJ$3:AJ96)+1)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268"/>
      <c r="AA98" s="264"/>
      <c r="AB98" s="264"/>
      <c r="AC98" s="269"/>
      <c r="AD98" s="264"/>
      <c r="AE98" s="503"/>
      <c r="AF98" s="504"/>
      <c r="AG98" s="504"/>
      <c r="AH98" s="505"/>
      <c r="AJ98" s="229" t="str">
        <f>IF(OR(A98="",AND(ISNUMBER(FIND("[", A98)), ISNUMBER(FIND("ALL", A98)), ISNUMBER(FIND("]", A98)))),"",MAX(AJ$3:AJ97)+1)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268"/>
      <c r="AA99" s="264"/>
      <c r="AB99" s="264"/>
      <c r="AC99" s="269"/>
      <c r="AD99" s="264"/>
      <c r="AE99" s="503"/>
      <c r="AF99" s="504"/>
      <c r="AG99" s="504"/>
      <c r="AH99" s="505"/>
      <c r="AJ99" s="229" t="str">
        <f>IF(OR(A99="",AND(ISNUMBER(FIND("[", A99)), ISNUMBER(FIND("ALL", A99)), ISNUMBER(FIND("]", A99)))),"",MAX(AJ$3:AJ98)+1)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268"/>
      <c r="AA100" s="264"/>
      <c r="AB100" s="264"/>
      <c r="AC100" s="269"/>
      <c r="AD100" s="264"/>
      <c r="AE100" s="503"/>
      <c r="AF100" s="504"/>
      <c r="AG100" s="504"/>
      <c r="AH100" s="505"/>
      <c r="AJ100" s="229" t="str">
        <f>IF(OR(A100="",AND(ISNUMBER(FIND("[", A100)), ISNUMBER(FIND("ALL", A100)), ISNUMBER(FIND("]", A100)))),"",MAX(AJ$3:AJ99)+1)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268"/>
      <c r="AA101" s="264"/>
      <c r="AB101" s="264"/>
      <c r="AC101" s="269"/>
      <c r="AD101" s="264"/>
      <c r="AE101" s="503"/>
      <c r="AF101" s="504"/>
      <c r="AG101" s="504"/>
      <c r="AH101" s="505"/>
      <c r="AJ101" s="229" t="str">
        <f>IF(OR(A101="",AND(ISNUMBER(FIND("[", A101)), ISNUMBER(FIND("ALL", A101)), ISNUMBER(FIND("]", A101)))),"",MAX(AJ$3:AJ100)+1)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268"/>
      <c r="AA102" s="264"/>
      <c r="AB102" s="264"/>
      <c r="AC102" s="269"/>
      <c r="AD102" s="264"/>
      <c r="AE102" s="503"/>
      <c r="AF102" s="504"/>
      <c r="AG102" s="504"/>
      <c r="AH102" s="505"/>
      <c r="AJ102" s="229" t="str">
        <f>IF(OR(A102="",AND(ISNUMBER(FIND("[", A102)), ISNUMBER(FIND("ALL", A102)), ISNUMBER(FIND("]", A102)))),"",MAX(AJ$3:AJ101)+1)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268"/>
      <c r="AA103" s="264"/>
      <c r="AB103" s="264"/>
      <c r="AC103" s="269"/>
      <c r="AD103" s="264"/>
      <c r="AE103" s="503"/>
      <c r="AF103" s="504"/>
      <c r="AG103" s="504"/>
      <c r="AH103" s="505"/>
      <c r="AJ103" s="229" t="str">
        <f>IF(OR(A103="",AND(ISNUMBER(FIND("[", A103)), ISNUMBER(FIND("ALL", A103)), ISNUMBER(FIND("]", A103)))),"",MAX(AJ$3:AJ102)+1)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268"/>
      <c r="AA104" s="264"/>
      <c r="AB104" s="264"/>
      <c r="AC104" s="269"/>
      <c r="AD104" s="264"/>
      <c r="AE104" s="503"/>
      <c r="AF104" s="504"/>
      <c r="AG104" s="504"/>
      <c r="AH104" s="505"/>
      <c r="AJ104" s="229" t="str">
        <f>IF(OR(A104="",AND(ISNUMBER(FIND("[", A104)), ISNUMBER(FIND("ALL", A104)), ISNUMBER(FIND("]", A104)))),"",MAX(AJ$3:AJ103)+1)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268"/>
      <c r="AA105" s="264"/>
      <c r="AB105" s="264"/>
      <c r="AC105" s="269"/>
      <c r="AD105" s="264"/>
      <c r="AE105" s="503"/>
      <c r="AF105" s="504"/>
      <c r="AG105" s="504"/>
      <c r="AH105" s="505"/>
      <c r="AJ105" s="229" t="str">
        <f>IF(OR(A105="",AND(ISNUMBER(FIND("[", A105)), ISNUMBER(FIND("ALL", A105)), ISNUMBER(FIND("]", A105)))),"",MAX(AJ$3:AJ104)+1)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268"/>
      <c r="AA106" s="264"/>
      <c r="AB106" s="264"/>
      <c r="AC106" s="269"/>
      <c r="AD106" s="264"/>
      <c r="AE106" s="503"/>
      <c r="AF106" s="504"/>
      <c r="AG106" s="504"/>
      <c r="AH106" s="505"/>
      <c r="AJ106" s="229" t="str">
        <f>IF(OR(A106="",AND(ISNUMBER(FIND("[", A106)), ISNUMBER(FIND("ALL", A106)), ISNUMBER(FIND("]", A106)))),"",MAX(AJ$3:AJ105)+1)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268"/>
      <c r="AA107" s="264"/>
      <c r="AB107" s="264"/>
      <c r="AC107" s="269"/>
      <c r="AD107" s="264"/>
      <c r="AE107" s="503"/>
      <c r="AF107" s="504"/>
      <c r="AG107" s="504"/>
      <c r="AH107" s="505"/>
      <c r="AJ107" s="229" t="str">
        <f>IF(OR(A107="",AND(ISNUMBER(FIND("[", A107)), ISNUMBER(FIND("ALL", A107)), ISNUMBER(FIND("]", A107)))),"",MAX(AJ$3:AJ106)+1)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268"/>
      <c r="AA108" s="264"/>
      <c r="AB108" s="264"/>
      <c r="AC108" s="269"/>
      <c r="AD108" s="264"/>
      <c r="AE108" s="503"/>
      <c r="AF108" s="504"/>
      <c r="AG108" s="504"/>
      <c r="AH108" s="505"/>
      <c r="AJ108" s="229" t="str">
        <f>IF(OR(A108="",AND(ISNUMBER(FIND("[", A108)), ISNUMBER(FIND("ALL", A108)), ISNUMBER(FIND("]", A108)))),"",MAX(AJ$3:AJ107)+1)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268"/>
      <c r="AA109" s="264"/>
      <c r="AB109" s="264"/>
      <c r="AC109" s="269"/>
      <c r="AD109" s="264"/>
      <c r="AE109" s="503"/>
      <c r="AF109" s="504"/>
      <c r="AG109" s="504"/>
      <c r="AH109" s="505"/>
      <c r="AJ109" s="229" t="str">
        <f>IF(OR(A109="",AND(ISNUMBER(FIND("[", A109)), ISNUMBER(FIND("ALL", A109)), ISNUMBER(FIND("]", A109)))),"",MAX(AJ$3:AJ108)+1)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268"/>
      <c r="AA110" s="264"/>
      <c r="AB110" s="264"/>
      <c r="AC110" s="269"/>
      <c r="AD110" s="264"/>
      <c r="AE110" s="503"/>
      <c r="AF110" s="504"/>
      <c r="AG110" s="504"/>
      <c r="AH110" s="505"/>
      <c r="AJ110" s="229" t="str">
        <f>IF(OR(A110="",AND(ISNUMBER(FIND("[", A110)), ISNUMBER(FIND("ALL", A110)), ISNUMBER(FIND("]", A110)))),"",MAX(AJ$3:AJ109)+1)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268"/>
      <c r="AA111" s="264"/>
      <c r="AB111" s="264"/>
      <c r="AC111" s="269"/>
      <c r="AD111" s="264"/>
      <c r="AE111" s="503"/>
      <c r="AF111" s="504"/>
      <c r="AG111" s="504"/>
      <c r="AH111" s="505"/>
      <c r="AJ111" s="229" t="str">
        <f>IF(OR(A111="",AND(ISNUMBER(FIND("[", A111)), ISNUMBER(FIND("ALL", A111)), ISNUMBER(FIND("]", A111)))),"",MAX(AJ$3:AJ110)+1)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268"/>
      <c r="AA112" s="264"/>
      <c r="AB112" s="264"/>
      <c r="AC112" s="269"/>
      <c r="AD112" s="264"/>
      <c r="AE112" s="503"/>
      <c r="AF112" s="504"/>
      <c r="AG112" s="504"/>
      <c r="AH112" s="505"/>
      <c r="AJ112" s="229" t="str">
        <f>IF(OR(A112="",AND(ISNUMBER(FIND("[", A112)), ISNUMBER(FIND("ALL", A112)), ISNUMBER(FIND("]", A112)))),"",MAX(AJ$3:AJ111)+1)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268"/>
      <c r="AA113" s="264"/>
      <c r="AB113" s="264"/>
      <c r="AC113" s="269"/>
      <c r="AD113" s="264"/>
      <c r="AE113" s="503"/>
      <c r="AF113" s="504"/>
      <c r="AG113" s="504"/>
      <c r="AH113" s="505"/>
      <c r="AJ113" s="229" t="str">
        <f>IF(OR(A113="",AND(ISNUMBER(FIND("[", A113)), ISNUMBER(FIND("ALL", A113)), ISNUMBER(FIND("]", A113)))),"",MAX(AJ$3:AJ112)+1)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268"/>
      <c r="AA114" s="264"/>
      <c r="AB114" s="264"/>
      <c r="AC114" s="269"/>
      <c r="AD114" s="264"/>
      <c r="AE114" s="503"/>
      <c r="AF114" s="504"/>
      <c r="AG114" s="504"/>
      <c r="AH114" s="505"/>
      <c r="AJ114" s="229" t="str">
        <f>IF(OR(A114="",AND(ISNUMBER(FIND("[", A114)), ISNUMBER(FIND("ALL", A114)), ISNUMBER(FIND("]", A114)))),"",MAX(AJ$3:AJ113)+1)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268"/>
      <c r="AA115" s="264"/>
      <c r="AB115" s="264"/>
      <c r="AC115" s="269"/>
      <c r="AD115" s="264"/>
      <c r="AE115" s="503"/>
      <c r="AF115" s="504"/>
      <c r="AG115" s="504"/>
      <c r="AH115" s="505"/>
      <c r="AJ115" s="229" t="str">
        <f>IF(OR(A115="",AND(ISNUMBER(FIND("[", A115)), ISNUMBER(FIND("ALL", A115)), ISNUMBER(FIND("]", A115)))),"",MAX(AJ$3:AJ114)+1)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268"/>
      <c r="AA116" s="264"/>
      <c r="AB116" s="264"/>
      <c r="AC116" s="269"/>
      <c r="AD116" s="264"/>
      <c r="AE116" s="503"/>
      <c r="AF116" s="504"/>
      <c r="AG116" s="504"/>
      <c r="AH116" s="505"/>
      <c r="AJ116" s="229" t="str">
        <f>IF(OR(A116="",AND(ISNUMBER(FIND("[", A116)), ISNUMBER(FIND("ALL", A116)), ISNUMBER(FIND("]", A116)))),"",MAX(AJ$3:AJ115)+1)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268"/>
      <c r="AA117" s="264"/>
      <c r="AB117" s="264"/>
      <c r="AC117" s="269"/>
      <c r="AD117" s="264"/>
      <c r="AE117" s="503"/>
      <c r="AF117" s="504"/>
      <c r="AG117" s="504"/>
      <c r="AH117" s="505"/>
      <c r="AJ117" s="229" t="str">
        <f>IF(OR(A117="",AND(ISNUMBER(FIND("[", A117)), ISNUMBER(FIND("ALL", A117)), ISNUMBER(FIND("]", A117)))),"",MAX(AJ$3:AJ116)+1)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268"/>
      <c r="AA118" s="264"/>
      <c r="AB118" s="264"/>
      <c r="AC118" s="269"/>
      <c r="AD118" s="264"/>
      <c r="AE118" s="503"/>
      <c r="AF118" s="504"/>
      <c r="AG118" s="504"/>
      <c r="AH118" s="505"/>
      <c r="AJ118" s="229" t="str">
        <f>IF(OR(A118="",AND(ISNUMBER(FIND("[", A118)), ISNUMBER(FIND("ALL", A118)), ISNUMBER(FIND("]", A118)))),"",MAX(AJ$3:AJ117)+1)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268"/>
      <c r="AA119" s="264"/>
      <c r="AB119" s="264"/>
      <c r="AC119" s="269"/>
      <c r="AD119" s="264"/>
      <c r="AE119" s="503"/>
      <c r="AF119" s="504"/>
      <c r="AG119" s="504"/>
      <c r="AH119" s="505"/>
      <c r="AJ119" s="229" t="str">
        <f>IF(OR(A119="",AND(ISNUMBER(FIND("[", A119)), ISNUMBER(FIND("ALL", A119)), ISNUMBER(FIND("]", A119)))),"",MAX(AJ$3:AJ118)+1)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268"/>
      <c r="AA120" s="264"/>
      <c r="AB120" s="264"/>
      <c r="AC120" s="269"/>
      <c r="AD120" s="264"/>
      <c r="AE120" s="503"/>
      <c r="AF120" s="504"/>
      <c r="AG120" s="504"/>
      <c r="AH120" s="505"/>
      <c r="AJ120" s="229" t="str">
        <f>IF(OR(A120="",AND(ISNUMBER(FIND("[", A120)), ISNUMBER(FIND("ALL", A120)), ISNUMBER(FIND("]", A120)))),"",MAX(AJ$3:AJ119)+1)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268"/>
      <c r="AA121" s="264"/>
      <c r="AB121" s="264"/>
      <c r="AC121" s="269"/>
      <c r="AD121" s="264"/>
      <c r="AE121" s="503"/>
      <c r="AF121" s="504"/>
      <c r="AG121" s="504"/>
      <c r="AH121" s="505"/>
      <c r="AJ121" s="229" t="str">
        <f>IF(OR(A121="",AND(ISNUMBER(FIND("[", A121)), ISNUMBER(FIND("ALL", A121)), ISNUMBER(FIND("]", A121)))),"",MAX(AJ$3:AJ120)+1)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268"/>
      <c r="AA122" s="264"/>
      <c r="AB122" s="264"/>
      <c r="AC122" s="269"/>
      <c r="AD122" s="264"/>
      <c r="AE122" s="503"/>
      <c r="AF122" s="504"/>
      <c r="AG122" s="504"/>
      <c r="AH122" s="505"/>
      <c r="AJ122" s="229" t="str">
        <f>IF(OR(A122="",AND(ISNUMBER(FIND("[", A122)), ISNUMBER(FIND("ALL", A122)), ISNUMBER(FIND("]", A122)))),"",MAX(AJ$3:AJ121)+1)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268"/>
      <c r="AA123" s="264"/>
      <c r="AB123" s="264"/>
      <c r="AC123" s="269"/>
      <c r="AD123" s="264"/>
      <c r="AE123" s="503"/>
      <c r="AF123" s="504"/>
      <c r="AG123" s="504"/>
      <c r="AH123" s="505"/>
      <c r="AJ123" s="229" t="str">
        <f>IF(OR(A123="",AND(ISNUMBER(FIND("[", A123)), ISNUMBER(FIND("ALL", A123)), ISNUMBER(FIND("]", A123)))),"",MAX(AJ$3:AJ122)+1)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268"/>
      <c r="AA124" s="264"/>
      <c r="AB124" s="264"/>
      <c r="AC124" s="269"/>
      <c r="AD124" s="264"/>
      <c r="AE124" s="503"/>
      <c r="AF124" s="504"/>
      <c r="AG124" s="504"/>
      <c r="AH124" s="505"/>
      <c r="AJ124" s="229" t="str">
        <f>IF(OR(A124="",AND(ISNUMBER(FIND("[", A124)), ISNUMBER(FIND("ALL", A124)), ISNUMBER(FIND("]", A124)))),"",MAX(AJ$3:AJ123)+1)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268"/>
      <c r="AA125" s="264"/>
      <c r="AB125" s="264"/>
      <c r="AC125" s="269"/>
      <c r="AD125" s="264"/>
      <c r="AE125" s="503"/>
      <c r="AF125" s="504"/>
      <c r="AG125" s="504"/>
      <c r="AH125" s="505"/>
      <c r="AJ125" s="229" t="str">
        <f>IF(OR(A125="",AND(ISNUMBER(FIND("[", A125)), ISNUMBER(FIND("ALL", A125)), ISNUMBER(FIND("]", A125)))),"",MAX(AJ$3:AJ124)+1)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268"/>
      <c r="AA126" s="264"/>
      <c r="AB126" s="264"/>
      <c r="AC126" s="269"/>
      <c r="AD126" s="264"/>
      <c r="AE126" s="503"/>
      <c r="AF126" s="504"/>
      <c r="AG126" s="504"/>
      <c r="AH126" s="505"/>
      <c r="AJ126" s="229" t="str">
        <f>IF(OR(A126="",AND(ISNUMBER(FIND("[", A126)), ISNUMBER(FIND("ALL", A126)), ISNUMBER(FIND("]", A126)))),"",MAX(AJ$3:AJ125)+1)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268"/>
      <c r="AA127" s="264"/>
      <c r="AB127" s="264"/>
      <c r="AC127" s="269"/>
      <c r="AD127" s="264"/>
      <c r="AE127" s="503"/>
      <c r="AF127" s="504"/>
      <c r="AG127" s="504"/>
      <c r="AH127" s="505"/>
      <c r="AJ127" s="229" t="str">
        <f>IF(OR(A127="",AND(ISNUMBER(FIND("[", A127)), ISNUMBER(FIND("ALL", A127)), ISNUMBER(FIND("]", A127)))),"",MAX(AJ$3:AJ126)+1)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268"/>
      <c r="AA128" s="264"/>
      <c r="AB128" s="264"/>
      <c r="AC128" s="269"/>
      <c r="AD128" s="264"/>
      <c r="AE128" s="503"/>
      <c r="AF128" s="504"/>
      <c r="AG128" s="504"/>
      <c r="AH128" s="505"/>
      <c r="AJ128" s="229" t="str">
        <f>IF(OR(A128="",AND(ISNUMBER(FIND("[", A128)), ISNUMBER(FIND("ALL", A128)), ISNUMBER(FIND("]", A128)))),"",MAX(AJ$3:AJ127)+1)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268"/>
      <c r="AA129" s="264"/>
      <c r="AB129" s="264"/>
      <c r="AC129" s="269"/>
      <c r="AD129" s="264"/>
      <c r="AE129" s="503"/>
      <c r="AF129" s="504"/>
      <c r="AG129" s="504"/>
      <c r="AH129" s="505"/>
      <c r="AJ129" s="229" t="str">
        <f>IF(OR(A129="",AND(ISNUMBER(FIND("[", A129)), ISNUMBER(FIND("ALL", A129)), ISNUMBER(FIND("]", A129)))),"",MAX(AJ$3:AJ128)+1)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268"/>
      <c r="AA130" s="264"/>
      <c r="AB130" s="264"/>
      <c r="AC130" s="269"/>
      <c r="AD130" s="264"/>
      <c r="AE130" s="503"/>
      <c r="AF130" s="504"/>
      <c r="AG130" s="504"/>
      <c r="AH130" s="505"/>
      <c r="AJ130" s="229" t="str">
        <f>IF(OR(A130="",AND(ISNUMBER(FIND("[", A130)), ISNUMBER(FIND("ALL", A130)), ISNUMBER(FIND("]", A130)))),"",MAX(AJ$3:AJ129)+1)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268"/>
      <c r="AA131" s="264"/>
      <c r="AB131" s="264"/>
      <c r="AC131" s="269"/>
      <c r="AD131" s="264"/>
      <c r="AE131" s="503"/>
      <c r="AF131" s="504"/>
      <c r="AG131" s="504"/>
      <c r="AH131" s="505"/>
      <c r="AJ131" s="229" t="str">
        <f>IF(OR(A131="",AND(ISNUMBER(FIND("[", A131)), ISNUMBER(FIND("ALL", A131)), ISNUMBER(FIND("]", A131)))),"",MAX(AJ$3:AJ130)+1)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268"/>
      <c r="AA132" s="264"/>
      <c r="AB132" s="264"/>
      <c r="AC132" s="269"/>
      <c r="AD132" s="264"/>
      <c r="AE132" s="503"/>
      <c r="AF132" s="504"/>
      <c r="AG132" s="504"/>
      <c r="AH132" s="505"/>
      <c r="AJ132" s="229" t="str">
        <f>IF(OR(A132="",AND(ISNUMBER(FIND("[", A132)), ISNUMBER(FIND("ALL", A132)), ISNUMBER(FIND("]", A132)))),"",MAX(AJ$3:AJ131)+1)</f>
        <v/>
      </c>
      <c r="AK132" s="229" t="str">
        <f t="shared" ref="AK132:AK195" si="2">IFERROR(INDEX($A$4:$A$1000,MATCH(ROW()-ROW($AK$3),$AJ$4:$AJ$1000,0)),"")</f>
        <v/>
      </c>
    </row>
    <row r="133" spans="1:37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268"/>
      <c r="AA133" s="264"/>
      <c r="AB133" s="264"/>
      <c r="AC133" s="269"/>
      <c r="AD133" s="264"/>
      <c r="AE133" s="503"/>
      <c r="AF133" s="504"/>
      <c r="AG133" s="504"/>
      <c r="AH133" s="505"/>
      <c r="AJ133" s="229" t="str">
        <f>IF(OR(A133="",AND(ISNUMBER(FIND("[", A133)), ISNUMBER(FIND("ALL", A133)), ISNUMBER(FIND("]", A133)))),"",MAX(AJ$3:AJ132)+1)</f>
        <v/>
      </c>
      <c r="AK133" s="229" t="str">
        <f t="shared" si="2"/>
        <v/>
      </c>
    </row>
    <row r="134" spans="1:37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268"/>
      <c r="AA134" s="264"/>
      <c r="AB134" s="264"/>
      <c r="AC134" s="269"/>
      <c r="AD134" s="264"/>
      <c r="AE134" s="503"/>
      <c r="AF134" s="504"/>
      <c r="AG134" s="504"/>
      <c r="AH134" s="505"/>
      <c r="AJ134" s="229" t="str">
        <f>IF(OR(A134="",AND(ISNUMBER(FIND("[", A134)), ISNUMBER(FIND("ALL", A134)), ISNUMBER(FIND("]", A134)))),"",MAX(AJ$3:AJ133)+1)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268"/>
      <c r="AA135" s="264"/>
      <c r="AB135" s="264"/>
      <c r="AC135" s="269"/>
      <c r="AD135" s="264"/>
      <c r="AE135" s="503"/>
      <c r="AF135" s="504"/>
      <c r="AG135" s="504"/>
      <c r="AH135" s="505"/>
      <c r="AJ135" s="229" t="str">
        <f>IF(OR(A135="",AND(ISNUMBER(FIND("[", A135)), ISNUMBER(FIND("ALL", A135)), ISNUMBER(FIND("]", A135)))),"",MAX(AJ$3:AJ134)+1)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268"/>
      <c r="AA136" s="264"/>
      <c r="AB136" s="264"/>
      <c r="AC136" s="269"/>
      <c r="AD136" s="264"/>
      <c r="AE136" s="503"/>
      <c r="AF136" s="504"/>
      <c r="AG136" s="504"/>
      <c r="AH136" s="505"/>
      <c r="AJ136" s="229" t="str">
        <f>IF(OR(A136="",AND(ISNUMBER(FIND("[", A136)), ISNUMBER(FIND("ALL", A136)), ISNUMBER(FIND("]", A136)))),"",MAX(AJ$3:AJ135)+1)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268"/>
      <c r="AA137" s="264"/>
      <c r="AB137" s="264"/>
      <c r="AC137" s="269"/>
      <c r="AD137" s="264"/>
      <c r="AE137" s="503"/>
      <c r="AF137" s="504"/>
      <c r="AG137" s="504"/>
      <c r="AH137" s="505"/>
      <c r="AJ137" s="229" t="str">
        <f>IF(OR(A137="",AND(ISNUMBER(FIND("[", A137)), ISNUMBER(FIND("ALL", A137)), ISNUMBER(FIND("]", A137)))),"",MAX(AJ$3:AJ136)+1)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268"/>
      <c r="AA138" s="264"/>
      <c r="AB138" s="264"/>
      <c r="AC138" s="269"/>
      <c r="AD138" s="264"/>
      <c r="AE138" s="503"/>
      <c r="AF138" s="504"/>
      <c r="AG138" s="504"/>
      <c r="AH138" s="505"/>
      <c r="AJ138" s="229" t="str">
        <f>IF(OR(A138="",AND(ISNUMBER(FIND("[", A138)), ISNUMBER(FIND("ALL", A138)), ISNUMBER(FIND("]", A138)))),"",MAX(AJ$3:AJ137)+1)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268"/>
      <c r="AA139" s="264"/>
      <c r="AB139" s="264"/>
      <c r="AC139" s="269"/>
      <c r="AD139" s="264"/>
      <c r="AE139" s="503"/>
      <c r="AF139" s="504"/>
      <c r="AG139" s="504"/>
      <c r="AH139" s="505"/>
      <c r="AJ139" s="229" t="str">
        <f>IF(OR(A139="",AND(ISNUMBER(FIND("[", A139)), ISNUMBER(FIND("ALL", A139)), ISNUMBER(FIND("]", A139)))),"",MAX(AJ$3:AJ138)+1)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268"/>
      <c r="AA140" s="264"/>
      <c r="AB140" s="264"/>
      <c r="AC140" s="269"/>
      <c r="AD140" s="264"/>
      <c r="AE140" s="503"/>
      <c r="AF140" s="504"/>
      <c r="AG140" s="504"/>
      <c r="AH140" s="505"/>
      <c r="AJ140" s="229" t="str">
        <f>IF(OR(A140="",AND(ISNUMBER(FIND("[", A140)), ISNUMBER(FIND("ALL", A140)), ISNUMBER(FIND("]", A140)))),"",MAX(AJ$3:AJ139)+1)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268"/>
      <c r="AA141" s="264"/>
      <c r="AB141" s="264"/>
      <c r="AC141" s="269"/>
      <c r="AD141" s="264"/>
      <c r="AE141" s="503"/>
      <c r="AF141" s="504"/>
      <c r="AG141" s="504"/>
      <c r="AH141" s="505"/>
      <c r="AJ141" s="229" t="str">
        <f>IF(OR(A141="",AND(ISNUMBER(FIND("[", A141)), ISNUMBER(FIND("ALL", A141)), ISNUMBER(FIND("]", A141)))),"",MAX(AJ$3:AJ140)+1)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268"/>
      <c r="AA142" s="264"/>
      <c r="AB142" s="264"/>
      <c r="AC142" s="269"/>
      <c r="AD142" s="264"/>
      <c r="AE142" s="503"/>
      <c r="AF142" s="504"/>
      <c r="AG142" s="504"/>
      <c r="AH142" s="505"/>
      <c r="AJ142" s="229" t="str">
        <f>IF(OR(A142="",AND(ISNUMBER(FIND("[", A142)), ISNUMBER(FIND("ALL", A142)), ISNUMBER(FIND("]", A142)))),"",MAX(AJ$3:AJ141)+1)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268"/>
      <c r="AA143" s="264"/>
      <c r="AB143" s="264"/>
      <c r="AC143" s="269"/>
      <c r="AD143" s="264"/>
      <c r="AE143" s="503"/>
      <c r="AF143" s="504"/>
      <c r="AG143" s="504"/>
      <c r="AH143" s="505"/>
      <c r="AJ143" s="229" t="str">
        <f>IF(OR(A143="",AND(ISNUMBER(FIND("[", A143)), ISNUMBER(FIND("ALL", A143)), ISNUMBER(FIND("]", A143)))),"",MAX(AJ$3:AJ142)+1)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268"/>
      <c r="AA144" s="264"/>
      <c r="AB144" s="264"/>
      <c r="AC144" s="269"/>
      <c r="AD144" s="264"/>
      <c r="AE144" s="503"/>
      <c r="AF144" s="504"/>
      <c r="AG144" s="504"/>
      <c r="AH144" s="505"/>
      <c r="AJ144" s="229" t="str">
        <f>IF(OR(A144="",AND(ISNUMBER(FIND("[", A144)), ISNUMBER(FIND("ALL", A144)), ISNUMBER(FIND("]", A144)))),"",MAX(AJ$3:AJ143)+1)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268"/>
      <c r="AA145" s="264"/>
      <c r="AB145" s="264"/>
      <c r="AC145" s="269"/>
      <c r="AD145" s="264"/>
      <c r="AE145" s="503"/>
      <c r="AF145" s="504"/>
      <c r="AG145" s="504"/>
      <c r="AH145" s="505"/>
      <c r="AJ145" s="229" t="str">
        <f>IF(OR(A145="",AND(ISNUMBER(FIND("[", A145)), ISNUMBER(FIND("ALL", A145)), ISNUMBER(FIND("]", A145)))),"",MAX(AJ$3:AJ144)+1)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268"/>
      <c r="AA146" s="264"/>
      <c r="AB146" s="264"/>
      <c r="AC146" s="269"/>
      <c r="AD146" s="264"/>
      <c r="AE146" s="503"/>
      <c r="AF146" s="504"/>
      <c r="AG146" s="504"/>
      <c r="AH146" s="505"/>
      <c r="AJ146" s="229" t="str">
        <f>IF(OR(A146="",AND(ISNUMBER(FIND("[", A146)), ISNUMBER(FIND("ALL", A146)), ISNUMBER(FIND("]", A146)))),"",MAX(AJ$3:AJ145)+1)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268"/>
      <c r="AA147" s="264"/>
      <c r="AB147" s="264"/>
      <c r="AC147" s="269"/>
      <c r="AD147" s="264"/>
      <c r="AE147" s="503"/>
      <c r="AF147" s="504"/>
      <c r="AG147" s="504"/>
      <c r="AH147" s="505"/>
      <c r="AJ147" s="229" t="str">
        <f>IF(OR(A147="",AND(ISNUMBER(FIND("[", A147)), ISNUMBER(FIND("ALL", A147)), ISNUMBER(FIND("]", A147)))),"",MAX(AJ$3:AJ146)+1)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268"/>
      <c r="AA148" s="264"/>
      <c r="AB148" s="264"/>
      <c r="AC148" s="269"/>
      <c r="AD148" s="264"/>
      <c r="AE148" s="503"/>
      <c r="AF148" s="504"/>
      <c r="AG148" s="504"/>
      <c r="AH148" s="505"/>
      <c r="AJ148" s="229" t="str">
        <f>IF(OR(A148="",AND(ISNUMBER(FIND("[", A148)), ISNUMBER(FIND("ALL", A148)), ISNUMBER(FIND("]", A148)))),"",MAX(AJ$3:AJ147)+1)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268"/>
      <c r="AA149" s="264"/>
      <c r="AB149" s="264"/>
      <c r="AC149" s="269"/>
      <c r="AD149" s="264"/>
      <c r="AE149" s="503"/>
      <c r="AF149" s="504"/>
      <c r="AG149" s="504"/>
      <c r="AH149" s="505"/>
      <c r="AJ149" s="229" t="str">
        <f>IF(OR(A149="",AND(ISNUMBER(FIND("[", A149)), ISNUMBER(FIND("ALL", A149)), ISNUMBER(FIND("]", A149)))),"",MAX(AJ$3:AJ148)+1)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268"/>
      <c r="AA150" s="264"/>
      <c r="AB150" s="264"/>
      <c r="AC150" s="269"/>
      <c r="AD150" s="264"/>
      <c r="AE150" s="503"/>
      <c r="AF150" s="504"/>
      <c r="AG150" s="504"/>
      <c r="AH150" s="505"/>
      <c r="AJ150" s="229" t="str">
        <f>IF(OR(A150="",AND(ISNUMBER(FIND("[", A150)), ISNUMBER(FIND("ALL", A150)), ISNUMBER(FIND("]", A150)))),"",MAX(AJ$3:AJ149)+1)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268"/>
      <c r="AA151" s="264"/>
      <c r="AB151" s="264"/>
      <c r="AC151" s="269"/>
      <c r="AD151" s="264"/>
      <c r="AE151" s="503"/>
      <c r="AF151" s="504"/>
      <c r="AG151" s="504"/>
      <c r="AH151" s="505"/>
      <c r="AJ151" s="229" t="str">
        <f>IF(OR(A151="",AND(ISNUMBER(FIND("[", A151)), ISNUMBER(FIND("ALL", A151)), ISNUMBER(FIND("]", A151)))),"",MAX(AJ$3:AJ150)+1)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268"/>
      <c r="AA152" s="264"/>
      <c r="AB152" s="264"/>
      <c r="AC152" s="269"/>
      <c r="AD152" s="264"/>
      <c r="AE152" s="503"/>
      <c r="AF152" s="504"/>
      <c r="AG152" s="504"/>
      <c r="AH152" s="505"/>
      <c r="AJ152" s="229" t="str">
        <f>IF(OR(A152="",AND(ISNUMBER(FIND("[", A152)), ISNUMBER(FIND("ALL", A152)), ISNUMBER(FIND("]", A152)))),"",MAX(AJ$3:AJ151)+1)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268"/>
      <c r="AA153" s="264"/>
      <c r="AB153" s="264"/>
      <c r="AC153" s="269"/>
      <c r="AD153" s="264"/>
      <c r="AE153" s="503"/>
      <c r="AF153" s="504"/>
      <c r="AG153" s="504"/>
      <c r="AH153" s="505"/>
      <c r="AJ153" s="229" t="str">
        <f>IF(OR(A153="",AND(ISNUMBER(FIND("[", A153)), ISNUMBER(FIND("ALL", A153)), ISNUMBER(FIND("]", A153)))),"",MAX(AJ$3:AJ152)+1)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268"/>
      <c r="AA154" s="264"/>
      <c r="AB154" s="264"/>
      <c r="AC154" s="269"/>
      <c r="AD154" s="264"/>
      <c r="AE154" s="503"/>
      <c r="AF154" s="504"/>
      <c r="AG154" s="504"/>
      <c r="AH154" s="505"/>
      <c r="AJ154" s="229" t="str">
        <f>IF(OR(A154="",AND(ISNUMBER(FIND("[", A154)), ISNUMBER(FIND("ALL", A154)), ISNUMBER(FIND("]", A154)))),"",MAX(AJ$3:AJ153)+1)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268"/>
      <c r="AA155" s="264"/>
      <c r="AB155" s="264"/>
      <c r="AC155" s="269"/>
      <c r="AD155" s="264"/>
      <c r="AE155" s="503"/>
      <c r="AF155" s="504"/>
      <c r="AG155" s="504"/>
      <c r="AH155" s="505"/>
      <c r="AJ155" s="229" t="str">
        <f>IF(OR(A155="",AND(ISNUMBER(FIND("[", A155)), ISNUMBER(FIND("ALL", A155)), ISNUMBER(FIND("]", A155)))),"",MAX(AJ$3:AJ154)+1)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268"/>
      <c r="AA156" s="264"/>
      <c r="AB156" s="264"/>
      <c r="AC156" s="269"/>
      <c r="AD156" s="264"/>
      <c r="AE156" s="503"/>
      <c r="AF156" s="504"/>
      <c r="AG156" s="504"/>
      <c r="AH156" s="505"/>
      <c r="AJ156" s="229" t="str">
        <f>IF(OR(A156="",AND(ISNUMBER(FIND("[", A156)), ISNUMBER(FIND("ALL", A156)), ISNUMBER(FIND("]", A156)))),"",MAX(AJ$3:AJ155)+1)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268"/>
      <c r="AA157" s="264"/>
      <c r="AB157" s="264"/>
      <c r="AC157" s="269"/>
      <c r="AD157" s="264"/>
      <c r="AE157" s="503"/>
      <c r="AF157" s="504"/>
      <c r="AG157" s="504"/>
      <c r="AH157" s="505"/>
      <c r="AJ157" s="229" t="str">
        <f>IF(OR(A157="",AND(ISNUMBER(FIND("[", A157)), ISNUMBER(FIND("ALL", A157)), ISNUMBER(FIND("]", A157)))),"",MAX(AJ$3:AJ156)+1)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268"/>
      <c r="AA158" s="264"/>
      <c r="AB158" s="264"/>
      <c r="AC158" s="269"/>
      <c r="AD158" s="264"/>
      <c r="AE158" s="503"/>
      <c r="AF158" s="504"/>
      <c r="AG158" s="504"/>
      <c r="AH158" s="505"/>
      <c r="AJ158" s="229" t="str">
        <f>IF(OR(A158="",AND(ISNUMBER(FIND("[", A158)), ISNUMBER(FIND("ALL", A158)), ISNUMBER(FIND("]", A158)))),"",MAX(AJ$3:AJ157)+1)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268"/>
      <c r="AA159" s="264"/>
      <c r="AB159" s="264"/>
      <c r="AC159" s="269"/>
      <c r="AD159" s="264"/>
      <c r="AE159" s="503"/>
      <c r="AF159" s="504"/>
      <c r="AG159" s="504"/>
      <c r="AH159" s="505"/>
      <c r="AJ159" s="229" t="str">
        <f>IF(OR(A159="",AND(ISNUMBER(FIND("[", A159)), ISNUMBER(FIND("ALL", A159)), ISNUMBER(FIND("]", A159)))),"",MAX(AJ$3:AJ158)+1)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268"/>
      <c r="AA160" s="264"/>
      <c r="AB160" s="264"/>
      <c r="AC160" s="269"/>
      <c r="AD160" s="264"/>
      <c r="AE160" s="503"/>
      <c r="AF160" s="504"/>
      <c r="AG160" s="504"/>
      <c r="AH160" s="505"/>
      <c r="AJ160" s="229" t="str">
        <f>IF(OR(A160="",AND(ISNUMBER(FIND("[", A160)), ISNUMBER(FIND("ALL", A160)), ISNUMBER(FIND("]", A160)))),"",MAX(AJ$3:AJ159)+1)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268"/>
      <c r="AA161" s="264"/>
      <c r="AB161" s="264"/>
      <c r="AC161" s="269"/>
      <c r="AD161" s="264"/>
      <c r="AE161" s="503"/>
      <c r="AF161" s="504"/>
      <c r="AG161" s="504"/>
      <c r="AH161" s="505"/>
      <c r="AJ161" s="229" t="str">
        <f>IF(OR(A161="",AND(ISNUMBER(FIND("[", A161)), ISNUMBER(FIND("ALL", A161)), ISNUMBER(FIND("]", A161)))),"",MAX(AJ$3:AJ160)+1)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268"/>
      <c r="AA162" s="264"/>
      <c r="AB162" s="264"/>
      <c r="AC162" s="269"/>
      <c r="AD162" s="264"/>
      <c r="AE162" s="503"/>
      <c r="AF162" s="504"/>
      <c r="AG162" s="504"/>
      <c r="AH162" s="505"/>
      <c r="AJ162" s="229" t="str">
        <f>IF(OR(A162="",AND(ISNUMBER(FIND("[", A162)), ISNUMBER(FIND("ALL", A162)), ISNUMBER(FIND("]", A162)))),"",MAX(AJ$3:AJ161)+1)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268"/>
      <c r="AA163" s="264"/>
      <c r="AB163" s="264"/>
      <c r="AC163" s="269"/>
      <c r="AD163" s="264"/>
      <c r="AE163" s="503"/>
      <c r="AF163" s="504"/>
      <c r="AG163" s="504"/>
      <c r="AH163" s="505"/>
      <c r="AJ163" s="229" t="str">
        <f>IF(OR(A163="",AND(ISNUMBER(FIND("[", A163)), ISNUMBER(FIND("ALL", A163)), ISNUMBER(FIND("]", A163)))),"",MAX(AJ$3:AJ162)+1)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268"/>
      <c r="AA164" s="264"/>
      <c r="AB164" s="264"/>
      <c r="AC164" s="269"/>
      <c r="AD164" s="264"/>
      <c r="AE164" s="503"/>
      <c r="AF164" s="504"/>
      <c r="AG164" s="504"/>
      <c r="AH164" s="505"/>
      <c r="AJ164" s="229" t="str">
        <f>IF(OR(A164="",AND(ISNUMBER(FIND("[", A164)), ISNUMBER(FIND("ALL", A164)), ISNUMBER(FIND("]", A164)))),"",MAX(AJ$3:AJ163)+1)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268"/>
      <c r="AA165" s="264"/>
      <c r="AB165" s="264"/>
      <c r="AC165" s="269"/>
      <c r="AD165" s="264"/>
      <c r="AE165" s="503"/>
      <c r="AF165" s="504"/>
      <c r="AG165" s="504"/>
      <c r="AH165" s="505"/>
      <c r="AJ165" s="229" t="str">
        <f>IF(OR(A165="",AND(ISNUMBER(FIND("[", A165)), ISNUMBER(FIND("ALL", A165)), ISNUMBER(FIND("]", A165)))),"",MAX(AJ$3:AJ164)+1)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268"/>
      <c r="AA166" s="264"/>
      <c r="AB166" s="264"/>
      <c r="AC166" s="269"/>
      <c r="AD166" s="264"/>
      <c r="AE166" s="503"/>
      <c r="AF166" s="504"/>
      <c r="AG166" s="504"/>
      <c r="AH166" s="505"/>
      <c r="AJ166" s="229" t="str">
        <f>IF(OR(A166="",AND(ISNUMBER(FIND("[", A166)), ISNUMBER(FIND("ALL", A166)), ISNUMBER(FIND("]", A166)))),"",MAX(AJ$3:AJ165)+1)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268"/>
      <c r="AA167" s="264"/>
      <c r="AB167" s="264"/>
      <c r="AC167" s="269"/>
      <c r="AD167" s="264"/>
      <c r="AE167" s="503"/>
      <c r="AF167" s="504"/>
      <c r="AG167" s="504"/>
      <c r="AH167" s="505"/>
      <c r="AJ167" s="229" t="str">
        <f>IF(OR(A167="",AND(ISNUMBER(FIND("[", A167)), ISNUMBER(FIND("ALL", A167)), ISNUMBER(FIND("]", A167)))),"",MAX(AJ$3:AJ166)+1)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268"/>
      <c r="AA168" s="264"/>
      <c r="AB168" s="264"/>
      <c r="AC168" s="269"/>
      <c r="AD168" s="264"/>
      <c r="AE168" s="503"/>
      <c r="AF168" s="504"/>
      <c r="AG168" s="504"/>
      <c r="AH168" s="505"/>
      <c r="AJ168" s="229" t="str">
        <f>IF(OR(A168="",AND(ISNUMBER(FIND("[", A168)), ISNUMBER(FIND("ALL", A168)), ISNUMBER(FIND("]", A168)))),"",MAX(AJ$3:AJ167)+1)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268"/>
      <c r="AA169" s="264"/>
      <c r="AB169" s="264"/>
      <c r="AC169" s="269"/>
      <c r="AD169" s="264"/>
      <c r="AE169" s="503"/>
      <c r="AF169" s="504"/>
      <c r="AG169" s="504"/>
      <c r="AH169" s="505"/>
      <c r="AJ169" s="229" t="str">
        <f>IF(OR(A169="",AND(ISNUMBER(FIND("[", A169)), ISNUMBER(FIND("ALL", A169)), ISNUMBER(FIND("]", A169)))),"",MAX(AJ$3:AJ168)+1)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268"/>
      <c r="AA170" s="264"/>
      <c r="AB170" s="264"/>
      <c r="AC170" s="269"/>
      <c r="AD170" s="264"/>
      <c r="AE170" s="503"/>
      <c r="AF170" s="504"/>
      <c r="AG170" s="504"/>
      <c r="AH170" s="505"/>
      <c r="AJ170" s="229" t="str">
        <f>IF(OR(A170="",AND(ISNUMBER(FIND("[", A170)), ISNUMBER(FIND("ALL", A170)), ISNUMBER(FIND("]", A170)))),"",MAX(AJ$3:AJ169)+1)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268"/>
      <c r="AA171" s="264"/>
      <c r="AB171" s="264"/>
      <c r="AC171" s="269"/>
      <c r="AD171" s="264"/>
      <c r="AE171" s="503"/>
      <c r="AF171" s="504"/>
      <c r="AG171" s="504"/>
      <c r="AH171" s="505"/>
      <c r="AJ171" s="229" t="str">
        <f>IF(OR(A171="",AND(ISNUMBER(FIND("[", A171)), ISNUMBER(FIND("ALL", A171)), ISNUMBER(FIND("]", A171)))),"",MAX(AJ$3:AJ170)+1)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268"/>
      <c r="AA172" s="264"/>
      <c r="AB172" s="264"/>
      <c r="AC172" s="269"/>
      <c r="AD172" s="264"/>
      <c r="AE172" s="503"/>
      <c r="AF172" s="504"/>
      <c r="AG172" s="504"/>
      <c r="AH172" s="505"/>
      <c r="AJ172" s="229" t="str">
        <f>IF(OR(A172="",AND(ISNUMBER(FIND("[", A172)), ISNUMBER(FIND("ALL", A172)), ISNUMBER(FIND("]", A172)))),"",MAX(AJ$3:AJ171)+1)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268"/>
      <c r="AA173" s="264"/>
      <c r="AB173" s="264"/>
      <c r="AC173" s="269"/>
      <c r="AD173" s="264"/>
      <c r="AE173" s="503"/>
      <c r="AF173" s="504"/>
      <c r="AG173" s="504"/>
      <c r="AH173" s="505"/>
      <c r="AJ173" s="229" t="str">
        <f>IF(OR(A173="",AND(ISNUMBER(FIND("[", A173)), ISNUMBER(FIND("ALL", A173)), ISNUMBER(FIND("]", A173)))),"",MAX(AJ$3:AJ172)+1)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268"/>
      <c r="AA174" s="264"/>
      <c r="AB174" s="264"/>
      <c r="AC174" s="269"/>
      <c r="AD174" s="264"/>
      <c r="AE174" s="503"/>
      <c r="AF174" s="504"/>
      <c r="AG174" s="504"/>
      <c r="AH174" s="505"/>
      <c r="AJ174" s="229" t="str">
        <f>IF(OR(A174="",AND(ISNUMBER(FIND("[", A174)), ISNUMBER(FIND("ALL", A174)), ISNUMBER(FIND("]", A174)))),"",MAX(AJ$3:AJ173)+1)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268"/>
      <c r="AA175" s="264"/>
      <c r="AB175" s="264"/>
      <c r="AC175" s="269"/>
      <c r="AD175" s="264"/>
      <c r="AE175" s="503"/>
      <c r="AF175" s="504"/>
      <c r="AG175" s="504"/>
      <c r="AH175" s="505"/>
      <c r="AJ175" s="229" t="str">
        <f>IF(OR(A175="",AND(ISNUMBER(FIND("[", A175)), ISNUMBER(FIND("ALL", A175)), ISNUMBER(FIND("]", A175)))),"",MAX(AJ$3:AJ174)+1)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268"/>
      <c r="AA176" s="264"/>
      <c r="AB176" s="264"/>
      <c r="AC176" s="269"/>
      <c r="AD176" s="264"/>
      <c r="AE176" s="503"/>
      <c r="AF176" s="504"/>
      <c r="AG176" s="504"/>
      <c r="AH176" s="505"/>
      <c r="AJ176" s="229" t="str">
        <f>IF(OR(A176="",AND(ISNUMBER(FIND("[", A176)), ISNUMBER(FIND("ALL", A176)), ISNUMBER(FIND("]", A176)))),"",MAX(AJ$3:AJ175)+1)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268"/>
      <c r="AA177" s="264"/>
      <c r="AB177" s="264"/>
      <c r="AC177" s="269"/>
      <c r="AD177" s="264"/>
      <c r="AE177" s="503"/>
      <c r="AF177" s="504"/>
      <c r="AG177" s="504"/>
      <c r="AH177" s="505"/>
      <c r="AJ177" s="229" t="str">
        <f>IF(OR(A177="",AND(ISNUMBER(FIND("[", A177)), ISNUMBER(FIND("ALL", A177)), ISNUMBER(FIND("]", A177)))),"",MAX(AJ$3:AJ176)+1)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268"/>
      <c r="AA178" s="264"/>
      <c r="AB178" s="264"/>
      <c r="AC178" s="269"/>
      <c r="AD178" s="264"/>
      <c r="AE178" s="503"/>
      <c r="AF178" s="504"/>
      <c r="AG178" s="504"/>
      <c r="AH178" s="505"/>
      <c r="AJ178" s="229" t="str">
        <f>IF(OR(A178="",AND(ISNUMBER(FIND("[", A178)), ISNUMBER(FIND("ALL", A178)), ISNUMBER(FIND("]", A178)))),"",MAX(AJ$3:AJ177)+1)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268"/>
      <c r="AA179" s="264"/>
      <c r="AB179" s="264"/>
      <c r="AC179" s="269"/>
      <c r="AD179" s="264"/>
      <c r="AE179" s="503"/>
      <c r="AF179" s="504"/>
      <c r="AG179" s="504"/>
      <c r="AH179" s="505"/>
      <c r="AJ179" s="229" t="str">
        <f>IF(OR(A179="",AND(ISNUMBER(FIND("[", A179)), ISNUMBER(FIND("ALL", A179)), ISNUMBER(FIND("]", A179)))),"",MAX(AJ$3:AJ178)+1)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268"/>
      <c r="AA180" s="264"/>
      <c r="AB180" s="264"/>
      <c r="AC180" s="269"/>
      <c r="AD180" s="264"/>
      <c r="AE180" s="503"/>
      <c r="AF180" s="504"/>
      <c r="AG180" s="504"/>
      <c r="AH180" s="505"/>
      <c r="AJ180" s="229" t="str">
        <f>IF(OR(A180="",AND(ISNUMBER(FIND("[", A180)), ISNUMBER(FIND("ALL", A180)), ISNUMBER(FIND("]", A180)))),"",MAX(AJ$3:AJ179)+1)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268"/>
      <c r="AA181" s="264"/>
      <c r="AB181" s="264"/>
      <c r="AC181" s="269"/>
      <c r="AD181" s="264"/>
      <c r="AE181" s="503"/>
      <c r="AF181" s="504"/>
      <c r="AG181" s="504"/>
      <c r="AH181" s="505"/>
      <c r="AJ181" s="229" t="str">
        <f>IF(OR(A181="",AND(ISNUMBER(FIND("[", A181)), ISNUMBER(FIND("ALL", A181)), ISNUMBER(FIND("]", A181)))),"",MAX(AJ$3:AJ180)+1)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268"/>
      <c r="AA182" s="264"/>
      <c r="AB182" s="264"/>
      <c r="AC182" s="269"/>
      <c r="AD182" s="264"/>
      <c r="AE182" s="503"/>
      <c r="AF182" s="504"/>
      <c r="AG182" s="504"/>
      <c r="AH182" s="505"/>
      <c r="AJ182" s="229" t="str">
        <f>IF(OR(A182="",AND(ISNUMBER(FIND("[", A182)), ISNUMBER(FIND("ALL", A182)), ISNUMBER(FIND("]", A182)))),"",MAX(AJ$3:AJ181)+1)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268"/>
      <c r="AA183" s="264"/>
      <c r="AB183" s="264"/>
      <c r="AC183" s="269"/>
      <c r="AD183" s="264"/>
      <c r="AE183" s="503"/>
      <c r="AF183" s="504"/>
      <c r="AG183" s="504"/>
      <c r="AH183" s="505"/>
      <c r="AJ183" s="229" t="str">
        <f>IF(OR(A183="",AND(ISNUMBER(FIND("[", A183)), ISNUMBER(FIND("ALL", A183)), ISNUMBER(FIND("]", A183)))),"",MAX(AJ$3:AJ182)+1)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268"/>
      <c r="AA184" s="264"/>
      <c r="AB184" s="264"/>
      <c r="AC184" s="269"/>
      <c r="AD184" s="264"/>
      <c r="AE184" s="503"/>
      <c r="AF184" s="504"/>
      <c r="AG184" s="504"/>
      <c r="AH184" s="505"/>
      <c r="AJ184" s="229" t="str">
        <f>IF(OR(A184="",AND(ISNUMBER(FIND("[", A184)), ISNUMBER(FIND("ALL", A184)), ISNUMBER(FIND("]", A184)))),"",MAX(AJ$3:AJ183)+1)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268"/>
      <c r="AA185" s="264"/>
      <c r="AB185" s="264"/>
      <c r="AC185" s="269"/>
      <c r="AD185" s="264"/>
      <c r="AE185" s="503"/>
      <c r="AF185" s="504"/>
      <c r="AG185" s="504"/>
      <c r="AH185" s="505"/>
      <c r="AJ185" s="229" t="str">
        <f>IF(OR(A185="",AND(ISNUMBER(FIND("[", A185)), ISNUMBER(FIND("ALL", A185)), ISNUMBER(FIND("]", A185)))),"",MAX(AJ$3:AJ184)+1)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268"/>
      <c r="AA186" s="264"/>
      <c r="AB186" s="264"/>
      <c r="AC186" s="269"/>
      <c r="AD186" s="264"/>
      <c r="AE186" s="503"/>
      <c r="AF186" s="504"/>
      <c r="AG186" s="504"/>
      <c r="AH186" s="505"/>
      <c r="AJ186" s="229" t="str">
        <f>IF(OR(A186="",AND(ISNUMBER(FIND("[", A186)), ISNUMBER(FIND("ALL", A186)), ISNUMBER(FIND("]", A186)))),"",MAX(AJ$3:AJ185)+1)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268"/>
      <c r="AA187" s="264"/>
      <c r="AB187" s="264"/>
      <c r="AC187" s="269"/>
      <c r="AD187" s="264"/>
      <c r="AE187" s="503"/>
      <c r="AF187" s="504"/>
      <c r="AG187" s="504"/>
      <c r="AH187" s="505"/>
      <c r="AJ187" s="229" t="str">
        <f>IF(OR(A187="",AND(ISNUMBER(FIND("[", A187)), ISNUMBER(FIND("ALL", A187)), ISNUMBER(FIND("]", A187)))),"",MAX(AJ$3:AJ186)+1)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268"/>
      <c r="AA188" s="264"/>
      <c r="AB188" s="264"/>
      <c r="AC188" s="269"/>
      <c r="AD188" s="264"/>
      <c r="AE188" s="503"/>
      <c r="AF188" s="504"/>
      <c r="AG188" s="504"/>
      <c r="AH188" s="505"/>
      <c r="AJ188" s="229" t="str">
        <f>IF(OR(A188="",AND(ISNUMBER(FIND("[", A188)), ISNUMBER(FIND("ALL", A188)), ISNUMBER(FIND("]", A188)))),"",MAX(AJ$3:AJ187)+1)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268"/>
      <c r="AA189" s="264"/>
      <c r="AB189" s="264"/>
      <c r="AC189" s="269"/>
      <c r="AD189" s="264"/>
      <c r="AE189" s="503"/>
      <c r="AF189" s="504"/>
      <c r="AG189" s="504"/>
      <c r="AH189" s="505"/>
      <c r="AJ189" s="229" t="str">
        <f>IF(OR(A189="",AND(ISNUMBER(FIND("[", A189)), ISNUMBER(FIND("ALL", A189)), ISNUMBER(FIND("]", A189)))),"",MAX(AJ$3:AJ188)+1)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268"/>
      <c r="AA190" s="264"/>
      <c r="AB190" s="264"/>
      <c r="AC190" s="269"/>
      <c r="AD190" s="264"/>
      <c r="AE190" s="503"/>
      <c r="AF190" s="504"/>
      <c r="AG190" s="504"/>
      <c r="AH190" s="505"/>
      <c r="AJ190" s="229" t="str">
        <f>IF(OR(A190="",AND(ISNUMBER(FIND("[", A190)), ISNUMBER(FIND("ALL", A190)), ISNUMBER(FIND("]", A190)))),"",MAX(AJ$3:AJ189)+1)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268"/>
      <c r="AA191" s="264"/>
      <c r="AB191" s="264"/>
      <c r="AC191" s="269"/>
      <c r="AD191" s="264"/>
      <c r="AE191" s="503"/>
      <c r="AF191" s="504"/>
      <c r="AG191" s="504"/>
      <c r="AH191" s="505"/>
      <c r="AJ191" s="229" t="str">
        <f>IF(OR(A191="",AND(ISNUMBER(FIND("[", A191)), ISNUMBER(FIND("ALL", A191)), ISNUMBER(FIND("]", A191)))),"",MAX(AJ$3:AJ190)+1)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268"/>
      <c r="AA192" s="264"/>
      <c r="AB192" s="264"/>
      <c r="AC192" s="269"/>
      <c r="AD192" s="264"/>
      <c r="AE192" s="503"/>
      <c r="AF192" s="504"/>
      <c r="AG192" s="504"/>
      <c r="AH192" s="505"/>
      <c r="AJ192" s="229" t="str">
        <f>IF(OR(A192="",AND(ISNUMBER(FIND("[", A192)), ISNUMBER(FIND("ALL", A192)), ISNUMBER(FIND("]", A192)))),"",MAX(AJ$3:AJ191)+1)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268"/>
      <c r="AA193" s="264"/>
      <c r="AB193" s="264"/>
      <c r="AC193" s="269"/>
      <c r="AD193" s="264"/>
      <c r="AE193" s="503"/>
      <c r="AF193" s="504"/>
      <c r="AG193" s="504"/>
      <c r="AH193" s="505"/>
      <c r="AJ193" s="229" t="str">
        <f>IF(OR(A193="",AND(ISNUMBER(FIND("[", A193)), ISNUMBER(FIND("ALL", A193)), ISNUMBER(FIND("]", A193)))),"",MAX(AJ$3:AJ192)+1)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268"/>
      <c r="AA194" s="264"/>
      <c r="AB194" s="264"/>
      <c r="AC194" s="269"/>
      <c r="AD194" s="264"/>
      <c r="AE194" s="503"/>
      <c r="AF194" s="504"/>
      <c r="AG194" s="504"/>
      <c r="AH194" s="505"/>
      <c r="AJ194" s="229" t="str">
        <f>IF(OR(A194="",AND(ISNUMBER(FIND("[", A194)), ISNUMBER(FIND("ALL", A194)), ISNUMBER(FIND("]", A194)))),"",MAX(AJ$3:AJ193)+1)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268"/>
      <c r="AA195" s="264"/>
      <c r="AB195" s="264"/>
      <c r="AC195" s="269"/>
      <c r="AD195" s="264"/>
      <c r="AE195" s="503"/>
      <c r="AF195" s="504"/>
      <c r="AG195" s="504"/>
      <c r="AH195" s="505"/>
      <c r="AJ195" s="229" t="str">
        <f>IF(OR(A195="",AND(ISNUMBER(FIND("[", A195)), ISNUMBER(FIND("ALL", A195)), ISNUMBER(FIND("]", A195)))),"",MAX(AJ$3:AJ194)+1)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268"/>
      <c r="AA196" s="264"/>
      <c r="AB196" s="264"/>
      <c r="AC196" s="269"/>
      <c r="AD196" s="264"/>
      <c r="AE196" s="503"/>
      <c r="AF196" s="504"/>
      <c r="AG196" s="504"/>
      <c r="AH196" s="505"/>
      <c r="AJ196" s="229" t="str">
        <f>IF(OR(A196="",AND(ISNUMBER(FIND("[", A196)), ISNUMBER(FIND("ALL", A196)), ISNUMBER(FIND("]", A196)))),"",MAX(AJ$3:AJ195)+1)</f>
        <v/>
      </c>
      <c r="AK196" s="229" t="str">
        <f t="shared" ref="AK196:AK259" si="3">IFERROR(INDEX($A$4:$A$1000,MATCH(ROW()-ROW($AK$3),$AJ$4:$AJ$1000,0)),"")</f>
        <v/>
      </c>
    </row>
    <row r="197" spans="1:37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268"/>
      <c r="AA197" s="264"/>
      <c r="AB197" s="264"/>
      <c r="AC197" s="269"/>
      <c r="AD197" s="264"/>
      <c r="AE197" s="503"/>
      <c r="AF197" s="504"/>
      <c r="AG197" s="504"/>
      <c r="AH197" s="505"/>
      <c r="AJ197" s="229" t="str">
        <f>IF(OR(A197="",AND(ISNUMBER(FIND("[", A197)), ISNUMBER(FIND("ALL", A197)), ISNUMBER(FIND("]", A197)))),"",MAX(AJ$3:AJ196)+1)</f>
        <v/>
      </c>
      <c r="AK197" s="229" t="str">
        <f t="shared" si="3"/>
        <v/>
      </c>
    </row>
    <row r="198" spans="1:37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268"/>
      <c r="AA198" s="264"/>
      <c r="AB198" s="264"/>
      <c r="AC198" s="269"/>
      <c r="AD198" s="264"/>
      <c r="AE198" s="503"/>
      <c r="AF198" s="504"/>
      <c r="AG198" s="504"/>
      <c r="AH198" s="505"/>
      <c r="AJ198" s="229" t="str">
        <f>IF(OR(A198="",AND(ISNUMBER(FIND("[", A198)), ISNUMBER(FIND("ALL", A198)), ISNUMBER(FIND("]", A198)))),"",MAX(AJ$3:AJ197)+1)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268"/>
      <c r="AA199" s="264"/>
      <c r="AB199" s="264"/>
      <c r="AC199" s="269"/>
      <c r="AD199" s="264"/>
      <c r="AE199" s="503"/>
      <c r="AF199" s="504"/>
      <c r="AG199" s="504"/>
      <c r="AH199" s="505"/>
      <c r="AJ199" s="229" t="str">
        <f>IF(OR(A199="",AND(ISNUMBER(FIND("[", A199)), ISNUMBER(FIND("ALL", A199)), ISNUMBER(FIND("]", A199)))),"",MAX(AJ$3:AJ198)+1)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268"/>
      <c r="AA200" s="264"/>
      <c r="AB200" s="264"/>
      <c r="AC200" s="269"/>
      <c r="AD200" s="264"/>
      <c r="AE200" s="503"/>
      <c r="AF200" s="504"/>
      <c r="AG200" s="504"/>
      <c r="AH200" s="505"/>
      <c r="AJ200" s="229" t="str">
        <f>IF(OR(A200="",AND(ISNUMBER(FIND("[", A200)), ISNUMBER(FIND("ALL", A200)), ISNUMBER(FIND("]", A200)))),"",MAX(AJ$3:AJ199)+1)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268"/>
      <c r="AA201" s="264"/>
      <c r="AB201" s="264"/>
      <c r="AC201" s="269"/>
      <c r="AD201" s="264"/>
      <c r="AE201" s="503"/>
      <c r="AF201" s="504"/>
      <c r="AG201" s="504"/>
      <c r="AH201" s="505"/>
      <c r="AJ201" s="229" t="str">
        <f>IF(OR(A201="",AND(ISNUMBER(FIND("[", A201)), ISNUMBER(FIND("ALL", A201)), ISNUMBER(FIND("]", A201)))),"",MAX(AJ$3:AJ200)+1)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268"/>
      <c r="AA202" s="264"/>
      <c r="AB202" s="264"/>
      <c r="AC202" s="269"/>
      <c r="AD202" s="264"/>
      <c r="AE202" s="503"/>
      <c r="AF202" s="504"/>
      <c r="AG202" s="504"/>
      <c r="AH202" s="505"/>
      <c r="AJ202" s="229" t="str">
        <f>IF(OR(A202="",AND(ISNUMBER(FIND("[", A202)), ISNUMBER(FIND("ALL", A202)), ISNUMBER(FIND("]", A202)))),"",MAX(AJ$3:AJ201)+1)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268"/>
      <c r="AA203" s="264"/>
      <c r="AB203" s="264"/>
      <c r="AC203" s="269"/>
      <c r="AD203" s="264"/>
      <c r="AE203" s="503"/>
      <c r="AF203" s="504"/>
      <c r="AG203" s="504"/>
      <c r="AH203" s="505"/>
      <c r="AJ203" s="229" t="str">
        <f>IF(OR(A203="",AND(ISNUMBER(FIND("[", A203)), ISNUMBER(FIND("ALL", A203)), ISNUMBER(FIND("]", A203)))),"",MAX(AJ$3:AJ202)+1)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268"/>
      <c r="AA204" s="264"/>
      <c r="AB204" s="264"/>
      <c r="AC204" s="269"/>
      <c r="AD204" s="264"/>
      <c r="AE204" s="503"/>
      <c r="AF204" s="504"/>
      <c r="AG204" s="504"/>
      <c r="AH204" s="505"/>
      <c r="AJ204" s="229" t="str">
        <f>IF(OR(A204="",AND(ISNUMBER(FIND("[", A204)), ISNUMBER(FIND("ALL", A204)), ISNUMBER(FIND("]", A204)))),"",MAX(AJ$3:AJ203)+1)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268"/>
      <c r="AA205" s="264"/>
      <c r="AB205" s="264"/>
      <c r="AC205" s="269"/>
      <c r="AD205" s="264"/>
      <c r="AE205" s="503"/>
      <c r="AF205" s="504"/>
      <c r="AG205" s="504"/>
      <c r="AH205" s="505"/>
      <c r="AJ205" s="229" t="str">
        <f>IF(OR(A205="",AND(ISNUMBER(FIND("[", A205)), ISNUMBER(FIND("ALL", A205)), ISNUMBER(FIND("]", A205)))),"",MAX(AJ$3:AJ204)+1)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268"/>
      <c r="AA206" s="264"/>
      <c r="AB206" s="264"/>
      <c r="AC206" s="269"/>
      <c r="AD206" s="264"/>
      <c r="AE206" s="503"/>
      <c r="AF206" s="504"/>
      <c r="AG206" s="504"/>
      <c r="AH206" s="505"/>
      <c r="AJ206" s="229" t="str">
        <f>IF(OR(A206="",AND(ISNUMBER(FIND("[", A206)), ISNUMBER(FIND("ALL", A206)), ISNUMBER(FIND("]", A206)))),"",MAX(AJ$3:AJ205)+1)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268"/>
      <c r="AA207" s="264"/>
      <c r="AB207" s="264"/>
      <c r="AC207" s="269"/>
      <c r="AD207" s="264"/>
      <c r="AE207" s="503"/>
      <c r="AF207" s="504"/>
      <c r="AG207" s="504"/>
      <c r="AH207" s="505"/>
      <c r="AJ207" s="229" t="str">
        <f>IF(OR(A207="",AND(ISNUMBER(FIND("[", A207)), ISNUMBER(FIND("ALL", A207)), ISNUMBER(FIND("]", A207)))),"",MAX(AJ$3:AJ206)+1)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268"/>
      <c r="AA208" s="264"/>
      <c r="AB208" s="264"/>
      <c r="AC208" s="269"/>
      <c r="AD208" s="264"/>
      <c r="AE208" s="503"/>
      <c r="AF208" s="504"/>
      <c r="AG208" s="504"/>
      <c r="AH208" s="505"/>
      <c r="AJ208" s="229" t="str">
        <f>IF(OR(A208="",AND(ISNUMBER(FIND("[", A208)), ISNUMBER(FIND("ALL", A208)), ISNUMBER(FIND("]", A208)))),"",MAX(AJ$3:AJ207)+1)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268"/>
      <c r="AA209" s="264"/>
      <c r="AB209" s="264"/>
      <c r="AC209" s="269"/>
      <c r="AD209" s="264"/>
      <c r="AE209" s="503"/>
      <c r="AF209" s="504"/>
      <c r="AG209" s="504"/>
      <c r="AH209" s="505"/>
      <c r="AJ209" s="229" t="str">
        <f>IF(OR(A209="",AND(ISNUMBER(FIND("[", A209)), ISNUMBER(FIND("ALL", A209)), ISNUMBER(FIND("]", A209)))),"",MAX(AJ$3:AJ208)+1)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268"/>
      <c r="AA210" s="264"/>
      <c r="AB210" s="264"/>
      <c r="AC210" s="269"/>
      <c r="AD210" s="264"/>
      <c r="AE210" s="503"/>
      <c r="AF210" s="504"/>
      <c r="AG210" s="504"/>
      <c r="AH210" s="505"/>
      <c r="AJ210" s="229" t="str">
        <f>IF(OR(A210="",AND(ISNUMBER(FIND("[", A210)), ISNUMBER(FIND("ALL", A210)), ISNUMBER(FIND("]", A210)))),"",MAX(AJ$3:AJ209)+1)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268"/>
      <c r="AA211" s="264"/>
      <c r="AB211" s="264"/>
      <c r="AC211" s="269"/>
      <c r="AD211" s="264"/>
      <c r="AE211" s="503"/>
      <c r="AF211" s="504"/>
      <c r="AG211" s="504"/>
      <c r="AH211" s="505"/>
      <c r="AJ211" s="229" t="str">
        <f>IF(OR(A211="",AND(ISNUMBER(FIND("[", A211)), ISNUMBER(FIND("ALL", A211)), ISNUMBER(FIND("]", A211)))),"",MAX(AJ$3:AJ210)+1)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268"/>
      <c r="AA212" s="264"/>
      <c r="AB212" s="264"/>
      <c r="AC212" s="269"/>
      <c r="AD212" s="264"/>
      <c r="AE212" s="503"/>
      <c r="AF212" s="504"/>
      <c r="AG212" s="504"/>
      <c r="AH212" s="505"/>
      <c r="AJ212" s="229" t="str">
        <f>IF(OR(A212="",AND(ISNUMBER(FIND("[", A212)), ISNUMBER(FIND("ALL", A212)), ISNUMBER(FIND("]", A212)))),"",MAX(AJ$3:AJ211)+1)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268"/>
      <c r="AA213" s="264"/>
      <c r="AB213" s="264"/>
      <c r="AC213" s="269"/>
      <c r="AD213" s="264"/>
      <c r="AE213" s="503"/>
      <c r="AF213" s="504"/>
      <c r="AG213" s="504"/>
      <c r="AH213" s="505"/>
      <c r="AJ213" s="229" t="str">
        <f>IF(OR(A213="",AND(ISNUMBER(FIND("[", A213)), ISNUMBER(FIND("ALL", A213)), ISNUMBER(FIND("]", A213)))),"",MAX(AJ$3:AJ212)+1)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268"/>
      <c r="AA214" s="264"/>
      <c r="AB214" s="264"/>
      <c r="AC214" s="269"/>
      <c r="AD214" s="264"/>
      <c r="AE214" s="503"/>
      <c r="AF214" s="504"/>
      <c r="AG214" s="504"/>
      <c r="AH214" s="505"/>
      <c r="AJ214" s="229" t="str">
        <f>IF(OR(A214="",AND(ISNUMBER(FIND("[", A214)), ISNUMBER(FIND("ALL", A214)), ISNUMBER(FIND("]", A214)))),"",MAX(AJ$3:AJ213)+1)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268"/>
      <c r="AA215" s="264"/>
      <c r="AB215" s="264"/>
      <c r="AC215" s="269"/>
      <c r="AD215" s="264"/>
      <c r="AE215" s="503"/>
      <c r="AF215" s="504"/>
      <c r="AG215" s="504"/>
      <c r="AH215" s="505"/>
      <c r="AJ215" s="229" t="str">
        <f>IF(OR(A215="",AND(ISNUMBER(FIND("[", A215)), ISNUMBER(FIND("ALL", A215)), ISNUMBER(FIND("]", A215)))),"",MAX(AJ$3:AJ214)+1)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268"/>
      <c r="AA216" s="264"/>
      <c r="AB216" s="264"/>
      <c r="AC216" s="269"/>
      <c r="AD216" s="264"/>
      <c r="AE216" s="503"/>
      <c r="AF216" s="504"/>
      <c r="AG216" s="504"/>
      <c r="AH216" s="505"/>
      <c r="AJ216" s="229" t="str">
        <f>IF(OR(A216="",AND(ISNUMBER(FIND("[", A216)), ISNUMBER(FIND("ALL", A216)), ISNUMBER(FIND("]", A216)))),"",MAX(AJ$3:AJ215)+1)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268"/>
      <c r="AA217" s="264"/>
      <c r="AB217" s="264"/>
      <c r="AC217" s="269"/>
      <c r="AD217" s="264"/>
      <c r="AE217" s="503"/>
      <c r="AF217" s="504"/>
      <c r="AG217" s="504"/>
      <c r="AH217" s="505"/>
      <c r="AJ217" s="229" t="str">
        <f>IF(OR(A217="",AND(ISNUMBER(FIND("[", A217)), ISNUMBER(FIND("ALL", A217)), ISNUMBER(FIND("]", A217)))),"",MAX(AJ$3:AJ216)+1)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268"/>
      <c r="AA218" s="264"/>
      <c r="AB218" s="264"/>
      <c r="AC218" s="269"/>
      <c r="AD218" s="264"/>
      <c r="AE218" s="503"/>
      <c r="AF218" s="504"/>
      <c r="AG218" s="504"/>
      <c r="AH218" s="505"/>
      <c r="AJ218" s="229" t="str">
        <f>IF(OR(A218="",AND(ISNUMBER(FIND("[", A218)), ISNUMBER(FIND("ALL", A218)), ISNUMBER(FIND("]", A218)))),"",MAX(AJ$3:AJ217)+1)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268"/>
      <c r="AA219" s="264"/>
      <c r="AB219" s="264"/>
      <c r="AC219" s="269"/>
      <c r="AD219" s="264"/>
      <c r="AE219" s="503"/>
      <c r="AF219" s="504"/>
      <c r="AG219" s="504"/>
      <c r="AH219" s="505"/>
      <c r="AJ219" s="229" t="str">
        <f>IF(OR(A219="",AND(ISNUMBER(FIND("[", A219)), ISNUMBER(FIND("ALL", A219)), ISNUMBER(FIND("]", A219)))),"",MAX(AJ$3:AJ218)+1)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268"/>
      <c r="AA220" s="264"/>
      <c r="AB220" s="264"/>
      <c r="AC220" s="269"/>
      <c r="AD220" s="264"/>
      <c r="AE220" s="503"/>
      <c r="AF220" s="504"/>
      <c r="AG220" s="504"/>
      <c r="AH220" s="505"/>
      <c r="AJ220" s="229" t="str">
        <f>IF(OR(A220="",AND(ISNUMBER(FIND("[", A220)), ISNUMBER(FIND("ALL", A220)), ISNUMBER(FIND("]", A220)))),"",MAX(AJ$3:AJ219)+1)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268"/>
      <c r="AA221" s="264"/>
      <c r="AB221" s="264"/>
      <c r="AC221" s="269"/>
      <c r="AD221" s="264"/>
      <c r="AE221" s="503"/>
      <c r="AF221" s="504"/>
      <c r="AG221" s="504"/>
      <c r="AH221" s="505"/>
      <c r="AJ221" s="229" t="str">
        <f>IF(OR(A221="",AND(ISNUMBER(FIND("[", A221)), ISNUMBER(FIND("ALL", A221)), ISNUMBER(FIND("]", A221)))),"",MAX(AJ$3:AJ220)+1)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268"/>
      <c r="AA222" s="264"/>
      <c r="AB222" s="264"/>
      <c r="AC222" s="269"/>
      <c r="AD222" s="264"/>
      <c r="AE222" s="503"/>
      <c r="AF222" s="504"/>
      <c r="AG222" s="504"/>
      <c r="AH222" s="505"/>
      <c r="AJ222" s="229" t="str">
        <f>IF(OR(A222="",AND(ISNUMBER(FIND("[", A222)), ISNUMBER(FIND("ALL", A222)), ISNUMBER(FIND("]", A222)))),"",MAX(AJ$3:AJ221)+1)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268"/>
      <c r="AA223" s="264"/>
      <c r="AB223" s="264"/>
      <c r="AC223" s="269"/>
      <c r="AD223" s="264"/>
      <c r="AE223" s="503"/>
      <c r="AF223" s="504"/>
      <c r="AG223" s="504"/>
      <c r="AH223" s="505"/>
      <c r="AJ223" s="229" t="str">
        <f>IF(OR(A223="",AND(ISNUMBER(FIND("[", A223)), ISNUMBER(FIND("ALL", A223)), ISNUMBER(FIND("]", A223)))),"",MAX(AJ$3:AJ222)+1)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268"/>
      <c r="AA224" s="264"/>
      <c r="AB224" s="264"/>
      <c r="AC224" s="269"/>
      <c r="AD224" s="264"/>
      <c r="AE224" s="503"/>
      <c r="AF224" s="504"/>
      <c r="AG224" s="504"/>
      <c r="AH224" s="505"/>
      <c r="AJ224" s="229" t="str">
        <f>IF(OR(A224="",AND(ISNUMBER(FIND("[", A224)), ISNUMBER(FIND("ALL", A224)), ISNUMBER(FIND("]", A224)))),"",MAX(AJ$3:AJ223)+1)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268"/>
      <c r="AA225" s="264"/>
      <c r="AB225" s="264"/>
      <c r="AC225" s="269"/>
      <c r="AD225" s="264"/>
      <c r="AE225" s="503"/>
      <c r="AF225" s="504"/>
      <c r="AG225" s="504"/>
      <c r="AH225" s="505"/>
      <c r="AJ225" s="229" t="str">
        <f>IF(OR(A225="",AND(ISNUMBER(FIND("[", A225)), ISNUMBER(FIND("ALL", A225)), ISNUMBER(FIND("]", A225)))),"",MAX(AJ$3:AJ224)+1)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268"/>
      <c r="AA226" s="264"/>
      <c r="AB226" s="264"/>
      <c r="AC226" s="269"/>
      <c r="AD226" s="264"/>
      <c r="AE226" s="503"/>
      <c r="AF226" s="504"/>
      <c r="AG226" s="504"/>
      <c r="AH226" s="505"/>
      <c r="AJ226" s="229" t="str">
        <f>IF(OR(A226="",AND(ISNUMBER(FIND("[", A226)), ISNUMBER(FIND("ALL", A226)), ISNUMBER(FIND("]", A226)))),"",MAX(AJ$3:AJ225)+1)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268"/>
      <c r="AA227" s="264"/>
      <c r="AB227" s="264"/>
      <c r="AC227" s="269"/>
      <c r="AD227" s="264"/>
      <c r="AE227" s="503"/>
      <c r="AF227" s="504"/>
      <c r="AG227" s="504"/>
      <c r="AH227" s="505"/>
      <c r="AJ227" s="229" t="str">
        <f>IF(OR(A227="",AND(ISNUMBER(FIND("[", A227)), ISNUMBER(FIND("ALL", A227)), ISNUMBER(FIND("]", A227)))),"",MAX(AJ$3:AJ226)+1)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268"/>
      <c r="AA228" s="264"/>
      <c r="AB228" s="264"/>
      <c r="AC228" s="269"/>
      <c r="AD228" s="264"/>
      <c r="AE228" s="503"/>
      <c r="AF228" s="504"/>
      <c r="AG228" s="504"/>
      <c r="AH228" s="505"/>
      <c r="AJ228" s="229" t="str">
        <f>IF(OR(A228="",AND(ISNUMBER(FIND("[", A228)), ISNUMBER(FIND("ALL", A228)), ISNUMBER(FIND("]", A228)))),"",MAX(AJ$3:AJ227)+1)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268"/>
      <c r="AA229" s="264"/>
      <c r="AB229" s="264"/>
      <c r="AC229" s="269"/>
      <c r="AD229" s="264"/>
      <c r="AE229" s="503"/>
      <c r="AF229" s="504"/>
      <c r="AG229" s="504"/>
      <c r="AH229" s="505"/>
      <c r="AJ229" s="229" t="str">
        <f>IF(OR(A229="",AND(ISNUMBER(FIND("[", A229)), ISNUMBER(FIND("ALL", A229)), ISNUMBER(FIND("]", A229)))),"",MAX(AJ$3:AJ228)+1)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268"/>
      <c r="AA230" s="264"/>
      <c r="AB230" s="264"/>
      <c r="AC230" s="269"/>
      <c r="AD230" s="264"/>
      <c r="AE230" s="503"/>
      <c r="AF230" s="504"/>
      <c r="AG230" s="504"/>
      <c r="AH230" s="505"/>
      <c r="AJ230" s="229" t="str">
        <f>IF(OR(A230="",AND(ISNUMBER(FIND("[", A230)), ISNUMBER(FIND("ALL", A230)), ISNUMBER(FIND("]", A230)))),"",MAX(AJ$3:AJ229)+1)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268"/>
      <c r="AA231" s="264"/>
      <c r="AB231" s="264"/>
      <c r="AC231" s="269"/>
      <c r="AD231" s="264"/>
      <c r="AE231" s="503"/>
      <c r="AF231" s="504"/>
      <c r="AG231" s="504"/>
      <c r="AH231" s="505"/>
      <c r="AJ231" s="229" t="str">
        <f>IF(OR(A231="",AND(ISNUMBER(FIND("[", A231)), ISNUMBER(FIND("ALL", A231)), ISNUMBER(FIND("]", A231)))),"",MAX(AJ$3:AJ230)+1)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268"/>
      <c r="AA232" s="264"/>
      <c r="AB232" s="264"/>
      <c r="AC232" s="269"/>
      <c r="AD232" s="264"/>
      <c r="AE232" s="503"/>
      <c r="AF232" s="504"/>
      <c r="AG232" s="504"/>
      <c r="AH232" s="505"/>
      <c r="AJ232" s="229" t="str">
        <f>IF(OR(A232="",AND(ISNUMBER(FIND("[", A232)), ISNUMBER(FIND("ALL", A232)), ISNUMBER(FIND("]", A232)))),"",MAX(AJ$3:AJ231)+1)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268"/>
      <c r="AA233" s="264"/>
      <c r="AB233" s="264"/>
      <c r="AC233" s="269"/>
      <c r="AD233" s="264"/>
      <c r="AE233" s="503"/>
      <c r="AF233" s="504"/>
      <c r="AG233" s="504"/>
      <c r="AH233" s="505"/>
      <c r="AJ233" s="229" t="str">
        <f>IF(OR(A233="",AND(ISNUMBER(FIND("[", A233)), ISNUMBER(FIND("ALL", A233)), ISNUMBER(FIND("]", A233)))),"",MAX(AJ$3:AJ232)+1)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268"/>
      <c r="AA234" s="264"/>
      <c r="AB234" s="264"/>
      <c r="AC234" s="269"/>
      <c r="AD234" s="264"/>
      <c r="AE234" s="503"/>
      <c r="AF234" s="504"/>
      <c r="AG234" s="504"/>
      <c r="AH234" s="505"/>
      <c r="AJ234" s="229" t="str">
        <f>IF(OR(A234="",AND(ISNUMBER(FIND("[", A234)), ISNUMBER(FIND("ALL", A234)), ISNUMBER(FIND("]", A234)))),"",MAX(AJ$3:AJ233)+1)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268"/>
      <c r="AA235" s="264"/>
      <c r="AB235" s="264"/>
      <c r="AC235" s="269"/>
      <c r="AD235" s="264"/>
      <c r="AE235" s="503"/>
      <c r="AF235" s="504"/>
      <c r="AG235" s="504"/>
      <c r="AH235" s="505"/>
      <c r="AJ235" s="229" t="str">
        <f>IF(OR(A235="",AND(ISNUMBER(FIND("[", A235)), ISNUMBER(FIND("ALL", A235)), ISNUMBER(FIND("]", A235)))),"",MAX(AJ$3:AJ234)+1)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268"/>
      <c r="AA236" s="264"/>
      <c r="AB236" s="264"/>
      <c r="AC236" s="269"/>
      <c r="AD236" s="264"/>
      <c r="AE236" s="503"/>
      <c r="AF236" s="504"/>
      <c r="AG236" s="504"/>
      <c r="AH236" s="505"/>
      <c r="AJ236" s="229" t="str">
        <f>IF(OR(A236="",AND(ISNUMBER(FIND("[", A236)), ISNUMBER(FIND("ALL", A236)), ISNUMBER(FIND("]", A236)))),"",MAX(AJ$3:AJ235)+1)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268"/>
      <c r="AA237" s="264"/>
      <c r="AB237" s="264"/>
      <c r="AC237" s="269"/>
      <c r="AD237" s="264"/>
      <c r="AE237" s="503"/>
      <c r="AF237" s="504"/>
      <c r="AG237" s="504"/>
      <c r="AH237" s="505"/>
      <c r="AJ237" s="229" t="str">
        <f>IF(OR(A237="",AND(ISNUMBER(FIND("[", A237)), ISNUMBER(FIND("ALL", A237)), ISNUMBER(FIND("]", A237)))),"",MAX(AJ$3:AJ236)+1)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268"/>
      <c r="AA238" s="264"/>
      <c r="AB238" s="264"/>
      <c r="AC238" s="269"/>
      <c r="AD238" s="264"/>
      <c r="AE238" s="503"/>
      <c r="AF238" s="504"/>
      <c r="AG238" s="504"/>
      <c r="AH238" s="505"/>
      <c r="AJ238" s="229" t="str">
        <f>IF(OR(A238="",AND(ISNUMBER(FIND("[", A238)), ISNUMBER(FIND("ALL", A238)), ISNUMBER(FIND("]", A238)))),"",MAX(AJ$3:AJ237)+1)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268"/>
      <c r="AA239" s="264"/>
      <c r="AB239" s="264"/>
      <c r="AC239" s="269"/>
      <c r="AD239" s="264"/>
      <c r="AE239" s="503"/>
      <c r="AF239" s="504"/>
      <c r="AG239" s="504"/>
      <c r="AH239" s="505"/>
      <c r="AJ239" s="229" t="str">
        <f>IF(OR(A239="",AND(ISNUMBER(FIND("[", A239)), ISNUMBER(FIND("ALL", A239)), ISNUMBER(FIND("]", A239)))),"",MAX(AJ$3:AJ238)+1)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268"/>
      <c r="AA240" s="264"/>
      <c r="AB240" s="264"/>
      <c r="AC240" s="269"/>
      <c r="AD240" s="264"/>
      <c r="AE240" s="503"/>
      <c r="AF240" s="504"/>
      <c r="AG240" s="504"/>
      <c r="AH240" s="505"/>
      <c r="AJ240" s="229" t="str">
        <f>IF(OR(A240="",AND(ISNUMBER(FIND("[", A240)), ISNUMBER(FIND("ALL", A240)), ISNUMBER(FIND("]", A240)))),"",MAX(AJ$3:AJ239)+1)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268"/>
      <c r="AA241" s="264"/>
      <c r="AB241" s="264"/>
      <c r="AC241" s="269"/>
      <c r="AD241" s="264"/>
      <c r="AE241" s="503"/>
      <c r="AF241" s="504"/>
      <c r="AG241" s="504"/>
      <c r="AH241" s="505"/>
      <c r="AJ241" s="229" t="str">
        <f>IF(OR(A241="",AND(ISNUMBER(FIND("[", A241)), ISNUMBER(FIND("ALL", A241)), ISNUMBER(FIND("]", A241)))),"",MAX(AJ$3:AJ240)+1)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268"/>
      <c r="AA242" s="264"/>
      <c r="AB242" s="264"/>
      <c r="AC242" s="269"/>
      <c r="AD242" s="264"/>
      <c r="AE242" s="503"/>
      <c r="AF242" s="504"/>
      <c r="AG242" s="504"/>
      <c r="AH242" s="505"/>
      <c r="AJ242" s="229" t="str">
        <f>IF(OR(A242="",AND(ISNUMBER(FIND("[", A242)), ISNUMBER(FIND("ALL", A242)), ISNUMBER(FIND("]", A242)))),"",MAX(AJ$3:AJ241)+1)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268"/>
      <c r="AA243" s="264"/>
      <c r="AB243" s="264"/>
      <c r="AC243" s="269"/>
      <c r="AD243" s="264"/>
      <c r="AE243" s="503"/>
      <c r="AF243" s="504"/>
      <c r="AG243" s="504"/>
      <c r="AH243" s="505"/>
      <c r="AJ243" s="229" t="str">
        <f>IF(OR(A243="",AND(ISNUMBER(FIND("[", A243)), ISNUMBER(FIND("ALL", A243)), ISNUMBER(FIND("]", A243)))),"",MAX(AJ$3:AJ242)+1)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268"/>
      <c r="AA244" s="264"/>
      <c r="AB244" s="264"/>
      <c r="AC244" s="269"/>
      <c r="AD244" s="264"/>
      <c r="AE244" s="503"/>
      <c r="AF244" s="504"/>
      <c r="AG244" s="504"/>
      <c r="AH244" s="505"/>
      <c r="AJ244" s="229" t="str">
        <f>IF(OR(A244="",AND(ISNUMBER(FIND("[", A244)), ISNUMBER(FIND("ALL", A244)), ISNUMBER(FIND("]", A244)))),"",MAX(AJ$3:AJ243)+1)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268"/>
      <c r="AA245" s="264"/>
      <c r="AB245" s="264"/>
      <c r="AC245" s="269"/>
      <c r="AD245" s="264"/>
      <c r="AE245" s="503"/>
      <c r="AF245" s="504"/>
      <c r="AG245" s="504"/>
      <c r="AH245" s="505"/>
      <c r="AJ245" s="229" t="str">
        <f>IF(OR(A245="",AND(ISNUMBER(FIND("[", A245)), ISNUMBER(FIND("ALL", A245)), ISNUMBER(FIND("]", A245)))),"",MAX(AJ$3:AJ244)+1)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268"/>
      <c r="AA246" s="264"/>
      <c r="AB246" s="264"/>
      <c r="AC246" s="269"/>
      <c r="AD246" s="264"/>
      <c r="AE246" s="503"/>
      <c r="AF246" s="504"/>
      <c r="AG246" s="504"/>
      <c r="AH246" s="505"/>
      <c r="AJ246" s="229" t="str">
        <f>IF(OR(A246="",AND(ISNUMBER(FIND("[", A246)), ISNUMBER(FIND("ALL", A246)), ISNUMBER(FIND("]", A246)))),"",MAX(AJ$3:AJ245)+1)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268"/>
      <c r="AA247" s="264"/>
      <c r="AB247" s="264"/>
      <c r="AC247" s="269"/>
      <c r="AD247" s="264"/>
      <c r="AE247" s="503"/>
      <c r="AF247" s="504"/>
      <c r="AG247" s="504"/>
      <c r="AH247" s="505"/>
      <c r="AJ247" s="229" t="str">
        <f>IF(OR(A247="",AND(ISNUMBER(FIND("[", A247)), ISNUMBER(FIND("ALL", A247)), ISNUMBER(FIND("]", A247)))),"",MAX(AJ$3:AJ246)+1)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268"/>
      <c r="AA248" s="264"/>
      <c r="AB248" s="264"/>
      <c r="AC248" s="269"/>
      <c r="AD248" s="264"/>
      <c r="AE248" s="503"/>
      <c r="AF248" s="504"/>
      <c r="AG248" s="504"/>
      <c r="AH248" s="505"/>
      <c r="AJ248" s="229" t="str">
        <f>IF(OR(A248="",AND(ISNUMBER(FIND("[", A248)), ISNUMBER(FIND("ALL", A248)), ISNUMBER(FIND("]", A248)))),"",MAX(AJ$3:AJ247)+1)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268"/>
      <c r="AA249" s="264"/>
      <c r="AB249" s="264"/>
      <c r="AC249" s="269"/>
      <c r="AD249" s="264"/>
      <c r="AE249" s="503"/>
      <c r="AF249" s="504"/>
      <c r="AG249" s="504"/>
      <c r="AH249" s="505"/>
      <c r="AJ249" s="229" t="str">
        <f>IF(OR(A249="",AND(ISNUMBER(FIND("[", A249)), ISNUMBER(FIND("ALL", A249)), ISNUMBER(FIND("]", A249)))),"",MAX(AJ$3:AJ248)+1)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268"/>
      <c r="AA250" s="264"/>
      <c r="AB250" s="264"/>
      <c r="AC250" s="269"/>
      <c r="AD250" s="264"/>
      <c r="AE250" s="503"/>
      <c r="AF250" s="504"/>
      <c r="AG250" s="504"/>
      <c r="AH250" s="505"/>
      <c r="AJ250" s="229" t="str">
        <f>IF(OR(A250="",AND(ISNUMBER(FIND("[", A250)), ISNUMBER(FIND("ALL", A250)), ISNUMBER(FIND("]", A250)))),"",MAX(AJ$3:AJ249)+1)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268"/>
      <c r="AA251" s="264"/>
      <c r="AB251" s="264"/>
      <c r="AC251" s="269"/>
      <c r="AD251" s="264"/>
      <c r="AE251" s="503"/>
      <c r="AF251" s="504"/>
      <c r="AG251" s="504"/>
      <c r="AH251" s="505"/>
      <c r="AJ251" s="229" t="str">
        <f>IF(OR(A251="",AND(ISNUMBER(FIND("[", A251)), ISNUMBER(FIND("ALL", A251)), ISNUMBER(FIND("]", A251)))),"",MAX(AJ$3:AJ250)+1)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268"/>
      <c r="AA252" s="264"/>
      <c r="AB252" s="264"/>
      <c r="AC252" s="269"/>
      <c r="AD252" s="264"/>
      <c r="AE252" s="503"/>
      <c r="AF252" s="504"/>
      <c r="AG252" s="504"/>
      <c r="AH252" s="505"/>
      <c r="AJ252" s="229" t="str">
        <f>IF(OR(A252="",AND(ISNUMBER(FIND("[", A252)), ISNUMBER(FIND("ALL", A252)), ISNUMBER(FIND("]", A252)))),"",MAX(AJ$3:AJ251)+1)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268"/>
      <c r="AA253" s="264"/>
      <c r="AB253" s="264"/>
      <c r="AC253" s="269"/>
      <c r="AD253" s="264"/>
      <c r="AE253" s="503"/>
      <c r="AF253" s="504"/>
      <c r="AG253" s="504"/>
      <c r="AH253" s="505"/>
      <c r="AJ253" s="229" t="str">
        <f>IF(OR(A253="",AND(ISNUMBER(FIND("[", A253)), ISNUMBER(FIND("ALL", A253)), ISNUMBER(FIND("]", A253)))),"",MAX(AJ$3:AJ252)+1)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268"/>
      <c r="AA254" s="264"/>
      <c r="AB254" s="264"/>
      <c r="AC254" s="269"/>
      <c r="AD254" s="264"/>
      <c r="AE254" s="503"/>
      <c r="AF254" s="504"/>
      <c r="AG254" s="504"/>
      <c r="AH254" s="505"/>
      <c r="AJ254" s="229" t="str">
        <f>IF(OR(A254="",AND(ISNUMBER(FIND("[", A254)), ISNUMBER(FIND("ALL", A254)), ISNUMBER(FIND("]", A254)))),"",MAX(AJ$3:AJ253)+1)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268"/>
      <c r="AA255" s="264"/>
      <c r="AB255" s="264"/>
      <c r="AC255" s="269"/>
      <c r="AD255" s="264"/>
      <c r="AE255" s="503"/>
      <c r="AF255" s="504"/>
      <c r="AG255" s="504"/>
      <c r="AH255" s="505"/>
      <c r="AJ255" s="229" t="str">
        <f>IF(OR(A255="",AND(ISNUMBER(FIND("[", A255)), ISNUMBER(FIND("ALL", A255)), ISNUMBER(FIND("]", A255)))),"",MAX(AJ$3:AJ254)+1)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268"/>
      <c r="AA256" s="264"/>
      <c r="AB256" s="264"/>
      <c r="AC256" s="269"/>
      <c r="AD256" s="264"/>
      <c r="AE256" s="503"/>
      <c r="AF256" s="504"/>
      <c r="AG256" s="504"/>
      <c r="AH256" s="505"/>
      <c r="AJ256" s="229" t="str">
        <f>IF(OR(A256="",AND(ISNUMBER(FIND("[", A256)), ISNUMBER(FIND("ALL", A256)), ISNUMBER(FIND("]", A256)))),"",MAX(AJ$3:AJ255)+1)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268"/>
      <c r="AA257" s="264"/>
      <c r="AB257" s="264"/>
      <c r="AC257" s="269"/>
      <c r="AD257" s="264"/>
      <c r="AE257" s="503"/>
      <c r="AF257" s="504"/>
      <c r="AG257" s="504"/>
      <c r="AH257" s="505"/>
      <c r="AJ257" s="229" t="str">
        <f>IF(OR(A257="",AND(ISNUMBER(FIND("[", A257)), ISNUMBER(FIND("ALL", A257)), ISNUMBER(FIND("]", A257)))),"",MAX(AJ$3:AJ256)+1)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268"/>
      <c r="AA258" s="264"/>
      <c r="AB258" s="264"/>
      <c r="AC258" s="269"/>
      <c r="AD258" s="264"/>
      <c r="AE258" s="503"/>
      <c r="AF258" s="504"/>
      <c r="AG258" s="504"/>
      <c r="AH258" s="505"/>
      <c r="AJ258" s="229" t="str">
        <f>IF(OR(A258="",AND(ISNUMBER(FIND("[", A258)), ISNUMBER(FIND("ALL", A258)), ISNUMBER(FIND("]", A258)))),"",MAX(AJ$3:AJ257)+1)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268"/>
      <c r="AA259" s="264"/>
      <c r="AB259" s="264"/>
      <c r="AC259" s="269"/>
      <c r="AD259" s="264"/>
      <c r="AE259" s="503"/>
      <c r="AF259" s="504"/>
      <c r="AG259" s="504"/>
      <c r="AH259" s="505"/>
      <c r="AJ259" s="229" t="str">
        <f>IF(OR(A259="",AND(ISNUMBER(FIND("[", A259)), ISNUMBER(FIND("ALL", A259)), ISNUMBER(FIND("]", A259)))),"",MAX(AJ$3:AJ258)+1)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268"/>
      <c r="AA260" s="264"/>
      <c r="AB260" s="264"/>
      <c r="AC260" s="269"/>
      <c r="AD260" s="264"/>
      <c r="AE260" s="503"/>
      <c r="AF260" s="504"/>
      <c r="AG260" s="504"/>
      <c r="AH260" s="505"/>
      <c r="AJ260" s="229" t="str">
        <f>IF(OR(A260="",AND(ISNUMBER(FIND("[", A260)), ISNUMBER(FIND("ALL", A260)), ISNUMBER(FIND("]", A260)))),"",MAX(AJ$3:AJ259)+1)</f>
        <v/>
      </c>
      <c r="AK260" s="229" t="str">
        <f t="shared" ref="AK260:AK323" si="4">IFERROR(INDEX($A$4:$A$1000,MATCH(ROW()-ROW($AK$3),$AJ$4:$AJ$1000,0)),"")</f>
        <v/>
      </c>
    </row>
    <row r="261" spans="1:37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268"/>
      <c r="AA261" s="264"/>
      <c r="AB261" s="264"/>
      <c r="AC261" s="269"/>
      <c r="AD261" s="264"/>
      <c r="AE261" s="503"/>
      <c r="AF261" s="504"/>
      <c r="AG261" s="504"/>
      <c r="AH261" s="505"/>
      <c r="AJ261" s="229" t="str">
        <f>IF(OR(A261="",AND(ISNUMBER(FIND("[", A261)), ISNUMBER(FIND("ALL", A261)), ISNUMBER(FIND("]", A261)))),"",MAX(AJ$3:AJ260)+1)</f>
        <v/>
      </c>
      <c r="AK261" s="229" t="str">
        <f t="shared" si="4"/>
        <v/>
      </c>
    </row>
    <row r="262" spans="1:37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268"/>
      <c r="AA262" s="264"/>
      <c r="AB262" s="264"/>
      <c r="AC262" s="269"/>
      <c r="AD262" s="264"/>
      <c r="AE262" s="503"/>
      <c r="AF262" s="504"/>
      <c r="AG262" s="504"/>
      <c r="AH262" s="505"/>
      <c r="AJ262" s="229" t="str">
        <f>IF(OR(A262="",AND(ISNUMBER(FIND("[", A262)), ISNUMBER(FIND("ALL", A262)), ISNUMBER(FIND("]", A262)))),"",MAX(AJ$3:AJ261)+1)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268"/>
      <c r="AA263" s="264"/>
      <c r="AB263" s="264"/>
      <c r="AC263" s="269"/>
      <c r="AD263" s="264"/>
      <c r="AE263" s="503"/>
      <c r="AF263" s="504"/>
      <c r="AG263" s="504"/>
      <c r="AH263" s="505"/>
      <c r="AJ263" s="229" t="str">
        <f>IF(OR(A263="",AND(ISNUMBER(FIND("[", A263)), ISNUMBER(FIND("ALL", A263)), ISNUMBER(FIND("]", A263)))),"",MAX(AJ$3:AJ262)+1)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268"/>
      <c r="AA264" s="264"/>
      <c r="AB264" s="264"/>
      <c r="AC264" s="269"/>
      <c r="AD264" s="264"/>
      <c r="AE264" s="503"/>
      <c r="AF264" s="504"/>
      <c r="AG264" s="504"/>
      <c r="AH264" s="505"/>
      <c r="AJ264" s="229" t="str">
        <f>IF(OR(A264="",AND(ISNUMBER(FIND("[", A264)), ISNUMBER(FIND("ALL", A264)), ISNUMBER(FIND("]", A264)))),"",MAX(AJ$3:AJ263)+1)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268"/>
      <c r="AA265" s="264"/>
      <c r="AB265" s="264"/>
      <c r="AC265" s="269"/>
      <c r="AD265" s="264"/>
      <c r="AE265" s="503"/>
      <c r="AF265" s="504"/>
      <c r="AG265" s="504"/>
      <c r="AH265" s="505"/>
      <c r="AJ265" s="229" t="str">
        <f>IF(OR(A265="",AND(ISNUMBER(FIND("[", A265)), ISNUMBER(FIND("ALL", A265)), ISNUMBER(FIND("]", A265)))),"",MAX(AJ$3:AJ264)+1)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268"/>
      <c r="AA266" s="264"/>
      <c r="AB266" s="264"/>
      <c r="AC266" s="269"/>
      <c r="AD266" s="264"/>
      <c r="AE266" s="503"/>
      <c r="AF266" s="504"/>
      <c r="AG266" s="504"/>
      <c r="AH266" s="505"/>
      <c r="AJ266" s="229" t="str">
        <f>IF(OR(A266="",AND(ISNUMBER(FIND("[", A266)), ISNUMBER(FIND("ALL", A266)), ISNUMBER(FIND("]", A266)))),"",MAX(AJ$3:AJ265)+1)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268"/>
      <c r="AA267" s="264"/>
      <c r="AB267" s="264"/>
      <c r="AC267" s="269"/>
      <c r="AD267" s="264"/>
      <c r="AE267" s="503"/>
      <c r="AF267" s="504"/>
      <c r="AG267" s="504"/>
      <c r="AH267" s="505"/>
      <c r="AJ267" s="229" t="str">
        <f>IF(OR(A267="",AND(ISNUMBER(FIND("[", A267)), ISNUMBER(FIND("ALL", A267)), ISNUMBER(FIND("]", A267)))),"",MAX(AJ$3:AJ266)+1)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268"/>
      <c r="AA268" s="264"/>
      <c r="AB268" s="264"/>
      <c r="AC268" s="269"/>
      <c r="AD268" s="264"/>
      <c r="AE268" s="503"/>
      <c r="AF268" s="504"/>
      <c r="AG268" s="504"/>
      <c r="AH268" s="505"/>
      <c r="AJ268" s="229" t="str">
        <f>IF(OR(A268="",AND(ISNUMBER(FIND("[", A268)), ISNUMBER(FIND("ALL", A268)), ISNUMBER(FIND("]", A268)))),"",MAX(AJ$3:AJ267)+1)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268"/>
      <c r="AA269" s="264"/>
      <c r="AB269" s="264"/>
      <c r="AC269" s="269"/>
      <c r="AD269" s="264"/>
      <c r="AE269" s="503"/>
      <c r="AF269" s="504"/>
      <c r="AG269" s="504"/>
      <c r="AH269" s="505"/>
      <c r="AJ269" s="229" t="str">
        <f>IF(OR(A269="",AND(ISNUMBER(FIND("[", A269)), ISNUMBER(FIND("ALL", A269)), ISNUMBER(FIND("]", A269)))),"",MAX(AJ$3:AJ268)+1)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268"/>
      <c r="AA270" s="264"/>
      <c r="AB270" s="264"/>
      <c r="AC270" s="269"/>
      <c r="AD270" s="264"/>
      <c r="AE270" s="503"/>
      <c r="AF270" s="504"/>
      <c r="AG270" s="504"/>
      <c r="AH270" s="505"/>
      <c r="AJ270" s="229" t="str">
        <f>IF(OR(A270="",AND(ISNUMBER(FIND("[", A270)), ISNUMBER(FIND("ALL", A270)), ISNUMBER(FIND("]", A270)))),"",MAX(AJ$3:AJ269)+1)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268"/>
      <c r="AA271" s="264"/>
      <c r="AB271" s="264"/>
      <c r="AC271" s="269"/>
      <c r="AD271" s="264"/>
      <c r="AE271" s="503"/>
      <c r="AF271" s="504"/>
      <c r="AG271" s="504"/>
      <c r="AH271" s="505"/>
      <c r="AJ271" s="229" t="str">
        <f>IF(OR(A271="",AND(ISNUMBER(FIND("[", A271)), ISNUMBER(FIND("ALL", A271)), ISNUMBER(FIND("]", A271)))),"",MAX(AJ$3:AJ270)+1)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268"/>
      <c r="AA272" s="264"/>
      <c r="AB272" s="264"/>
      <c r="AC272" s="269"/>
      <c r="AD272" s="264"/>
      <c r="AE272" s="503"/>
      <c r="AF272" s="504"/>
      <c r="AG272" s="504"/>
      <c r="AH272" s="505"/>
      <c r="AJ272" s="229" t="str">
        <f>IF(OR(A272="",AND(ISNUMBER(FIND("[", A272)), ISNUMBER(FIND("ALL", A272)), ISNUMBER(FIND("]", A272)))),"",MAX(AJ$3:AJ271)+1)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268"/>
      <c r="AA273" s="264"/>
      <c r="AB273" s="264"/>
      <c r="AC273" s="269"/>
      <c r="AD273" s="264"/>
      <c r="AE273" s="503"/>
      <c r="AF273" s="504"/>
      <c r="AG273" s="504"/>
      <c r="AH273" s="505"/>
      <c r="AJ273" s="229" t="str">
        <f>IF(OR(A273="",AND(ISNUMBER(FIND("[", A273)), ISNUMBER(FIND("ALL", A273)), ISNUMBER(FIND("]", A273)))),"",MAX(AJ$3:AJ272)+1)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268"/>
      <c r="AA274" s="264"/>
      <c r="AB274" s="264"/>
      <c r="AC274" s="269"/>
      <c r="AD274" s="264"/>
      <c r="AE274" s="503"/>
      <c r="AF274" s="504"/>
      <c r="AG274" s="504"/>
      <c r="AH274" s="505"/>
      <c r="AJ274" s="229" t="str">
        <f>IF(OR(A274="",AND(ISNUMBER(FIND("[", A274)), ISNUMBER(FIND("ALL", A274)), ISNUMBER(FIND("]", A274)))),"",MAX(AJ$3:AJ273)+1)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268"/>
      <c r="AA275" s="264"/>
      <c r="AB275" s="264"/>
      <c r="AC275" s="269"/>
      <c r="AD275" s="264"/>
      <c r="AE275" s="503"/>
      <c r="AF275" s="504"/>
      <c r="AG275" s="504"/>
      <c r="AH275" s="505"/>
      <c r="AJ275" s="229" t="str">
        <f>IF(OR(A275="",AND(ISNUMBER(FIND("[", A275)), ISNUMBER(FIND("ALL", A275)), ISNUMBER(FIND("]", A275)))),"",MAX(AJ$3:AJ274)+1)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268"/>
      <c r="AA276" s="264"/>
      <c r="AB276" s="264"/>
      <c r="AC276" s="269"/>
      <c r="AD276" s="264"/>
      <c r="AE276" s="503"/>
      <c r="AF276" s="504"/>
      <c r="AG276" s="504"/>
      <c r="AH276" s="505"/>
      <c r="AJ276" s="229" t="str">
        <f>IF(OR(A276="",AND(ISNUMBER(FIND("[", A276)), ISNUMBER(FIND("ALL", A276)), ISNUMBER(FIND("]", A276)))),"",MAX(AJ$3:AJ275)+1)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268"/>
      <c r="AA277" s="264"/>
      <c r="AB277" s="264"/>
      <c r="AC277" s="269"/>
      <c r="AD277" s="264"/>
      <c r="AE277" s="503"/>
      <c r="AF277" s="504"/>
      <c r="AG277" s="504"/>
      <c r="AH277" s="505"/>
      <c r="AJ277" s="229" t="str">
        <f>IF(OR(A277="",AND(ISNUMBER(FIND("[", A277)), ISNUMBER(FIND("ALL", A277)), ISNUMBER(FIND("]", A277)))),"",MAX(AJ$3:AJ276)+1)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268"/>
      <c r="AA278" s="264"/>
      <c r="AB278" s="264"/>
      <c r="AC278" s="269"/>
      <c r="AD278" s="264"/>
      <c r="AE278" s="503"/>
      <c r="AF278" s="504"/>
      <c r="AG278" s="504"/>
      <c r="AH278" s="505"/>
      <c r="AJ278" s="229" t="str">
        <f>IF(OR(A278="",AND(ISNUMBER(FIND("[", A278)), ISNUMBER(FIND("ALL", A278)), ISNUMBER(FIND("]", A278)))),"",MAX(AJ$3:AJ277)+1)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268"/>
      <c r="AA279" s="264"/>
      <c r="AB279" s="264"/>
      <c r="AC279" s="269"/>
      <c r="AD279" s="264"/>
      <c r="AE279" s="503"/>
      <c r="AF279" s="504"/>
      <c r="AG279" s="504"/>
      <c r="AH279" s="505"/>
      <c r="AJ279" s="229" t="str">
        <f>IF(OR(A279="",AND(ISNUMBER(FIND("[", A279)), ISNUMBER(FIND("ALL", A279)), ISNUMBER(FIND("]", A279)))),"",MAX(AJ$3:AJ278)+1)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268"/>
      <c r="AA280" s="264"/>
      <c r="AB280" s="264"/>
      <c r="AC280" s="269"/>
      <c r="AD280" s="264"/>
      <c r="AE280" s="503"/>
      <c r="AF280" s="504"/>
      <c r="AG280" s="504"/>
      <c r="AH280" s="505"/>
      <c r="AJ280" s="229" t="str">
        <f>IF(OR(A280="",AND(ISNUMBER(FIND("[", A280)), ISNUMBER(FIND("ALL", A280)), ISNUMBER(FIND("]", A280)))),"",MAX(AJ$3:AJ279)+1)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268"/>
      <c r="AA281" s="264"/>
      <c r="AB281" s="264"/>
      <c r="AC281" s="269"/>
      <c r="AD281" s="264"/>
      <c r="AE281" s="503"/>
      <c r="AF281" s="504"/>
      <c r="AG281" s="504"/>
      <c r="AH281" s="505"/>
      <c r="AJ281" s="229" t="str">
        <f>IF(OR(A281="",AND(ISNUMBER(FIND("[", A281)), ISNUMBER(FIND("ALL", A281)), ISNUMBER(FIND("]", A281)))),"",MAX(AJ$3:AJ280)+1)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268"/>
      <c r="AA282" s="264"/>
      <c r="AB282" s="264"/>
      <c r="AC282" s="269"/>
      <c r="AD282" s="264"/>
      <c r="AE282" s="503"/>
      <c r="AF282" s="504"/>
      <c r="AG282" s="504"/>
      <c r="AH282" s="505"/>
      <c r="AJ282" s="229" t="str">
        <f>IF(OR(A282="",AND(ISNUMBER(FIND("[", A282)), ISNUMBER(FIND("ALL", A282)), ISNUMBER(FIND("]", A282)))),"",MAX(AJ$3:AJ281)+1)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268"/>
      <c r="AA283" s="264"/>
      <c r="AB283" s="264"/>
      <c r="AC283" s="269"/>
      <c r="AD283" s="264"/>
      <c r="AE283" s="503"/>
      <c r="AF283" s="504"/>
      <c r="AG283" s="504"/>
      <c r="AH283" s="505"/>
      <c r="AJ283" s="229" t="str">
        <f>IF(OR(A283="",AND(ISNUMBER(FIND("[", A283)), ISNUMBER(FIND("ALL", A283)), ISNUMBER(FIND("]", A283)))),"",MAX(AJ$3:AJ282)+1)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268"/>
      <c r="AA284" s="264"/>
      <c r="AB284" s="264"/>
      <c r="AC284" s="269"/>
      <c r="AD284" s="264"/>
      <c r="AE284" s="503"/>
      <c r="AF284" s="504"/>
      <c r="AG284" s="504"/>
      <c r="AH284" s="505"/>
      <c r="AJ284" s="229" t="str">
        <f>IF(OR(A284="",AND(ISNUMBER(FIND("[", A284)), ISNUMBER(FIND("ALL", A284)), ISNUMBER(FIND("]", A284)))),"",MAX(AJ$3:AJ283)+1)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268"/>
      <c r="AA285" s="264"/>
      <c r="AB285" s="264"/>
      <c r="AC285" s="269"/>
      <c r="AD285" s="264"/>
      <c r="AE285" s="503"/>
      <c r="AF285" s="504"/>
      <c r="AG285" s="504"/>
      <c r="AH285" s="505"/>
      <c r="AJ285" s="229" t="str">
        <f>IF(OR(A285="",AND(ISNUMBER(FIND("[", A285)), ISNUMBER(FIND("ALL", A285)), ISNUMBER(FIND("]", A285)))),"",MAX(AJ$3:AJ284)+1)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268"/>
      <c r="AA286" s="264"/>
      <c r="AB286" s="264"/>
      <c r="AC286" s="269"/>
      <c r="AD286" s="264"/>
      <c r="AE286" s="503"/>
      <c r="AF286" s="504"/>
      <c r="AG286" s="504"/>
      <c r="AH286" s="505"/>
      <c r="AJ286" s="229" t="str">
        <f>IF(OR(A286="",AND(ISNUMBER(FIND("[", A286)), ISNUMBER(FIND("ALL", A286)), ISNUMBER(FIND("]", A286)))),"",MAX(AJ$3:AJ285)+1)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268"/>
      <c r="AA287" s="264"/>
      <c r="AB287" s="264"/>
      <c r="AC287" s="269"/>
      <c r="AD287" s="264"/>
      <c r="AE287" s="503"/>
      <c r="AF287" s="504"/>
      <c r="AG287" s="504"/>
      <c r="AH287" s="505"/>
      <c r="AJ287" s="229" t="str">
        <f>IF(OR(A287="",AND(ISNUMBER(FIND("[", A287)), ISNUMBER(FIND("ALL", A287)), ISNUMBER(FIND("]", A287)))),"",MAX(AJ$3:AJ286)+1)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268"/>
      <c r="AA288" s="264"/>
      <c r="AB288" s="264"/>
      <c r="AC288" s="269"/>
      <c r="AD288" s="264"/>
      <c r="AE288" s="503"/>
      <c r="AF288" s="504"/>
      <c r="AG288" s="504"/>
      <c r="AH288" s="505"/>
      <c r="AJ288" s="229" t="str">
        <f>IF(OR(A288="",AND(ISNUMBER(FIND("[", A288)), ISNUMBER(FIND("ALL", A288)), ISNUMBER(FIND("]", A288)))),"",MAX(AJ$3:AJ287)+1)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268"/>
      <c r="AA289" s="264"/>
      <c r="AB289" s="264"/>
      <c r="AC289" s="269"/>
      <c r="AD289" s="264"/>
      <c r="AE289" s="503"/>
      <c r="AF289" s="504"/>
      <c r="AG289" s="504"/>
      <c r="AH289" s="505"/>
      <c r="AJ289" s="229" t="str">
        <f>IF(OR(A289="",AND(ISNUMBER(FIND("[", A289)), ISNUMBER(FIND("ALL", A289)), ISNUMBER(FIND("]", A289)))),"",MAX(AJ$3:AJ288)+1)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268"/>
      <c r="AA290" s="264"/>
      <c r="AB290" s="264"/>
      <c r="AC290" s="269"/>
      <c r="AD290" s="264"/>
      <c r="AE290" s="503"/>
      <c r="AF290" s="504"/>
      <c r="AG290" s="504"/>
      <c r="AH290" s="505"/>
      <c r="AJ290" s="229" t="str">
        <f>IF(OR(A290="",AND(ISNUMBER(FIND("[", A290)), ISNUMBER(FIND("ALL", A290)), ISNUMBER(FIND("]", A290)))),"",MAX(AJ$3:AJ289)+1)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268"/>
      <c r="AA291" s="264"/>
      <c r="AB291" s="264"/>
      <c r="AC291" s="269"/>
      <c r="AD291" s="264"/>
      <c r="AE291" s="503"/>
      <c r="AF291" s="504"/>
      <c r="AG291" s="504"/>
      <c r="AH291" s="505"/>
      <c r="AJ291" s="229" t="str">
        <f>IF(OR(A291="",AND(ISNUMBER(FIND("[", A291)), ISNUMBER(FIND("ALL", A291)), ISNUMBER(FIND("]", A291)))),"",MAX(AJ$3:AJ290)+1)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268"/>
      <c r="AA292" s="264"/>
      <c r="AB292" s="264"/>
      <c r="AC292" s="269"/>
      <c r="AD292" s="264"/>
      <c r="AE292" s="503"/>
      <c r="AF292" s="504"/>
      <c r="AG292" s="504"/>
      <c r="AH292" s="505"/>
      <c r="AJ292" s="229" t="str">
        <f>IF(OR(A292="",AND(ISNUMBER(FIND("[", A292)), ISNUMBER(FIND("ALL", A292)), ISNUMBER(FIND("]", A292)))),"",MAX(AJ$3:AJ291)+1)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268"/>
      <c r="AA293" s="264"/>
      <c r="AB293" s="264"/>
      <c r="AC293" s="269"/>
      <c r="AD293" s="264"/>
      <c r="AE293" s="503"/>
      <c r="AF293" s="504"/>
      <c r="AG293" s="504"/>
      <c r="AH293" s="505"/>
      <c r="AJ293" s="229" t="str">
        <f>IF(OR(A293="",AND(ISNUMBER(FIND("[", A293)), ISNUMBER(FIND("ALL", A293)), ISNUMBER(FIND("]", A293)))),"",MAX(AJ$3:AJ292)+1)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268"/>
      <c r="AA294" s="264"/>
      <c r="AB294" s="264"/>
      <c r="AC294" s="269"/>
      <c r="AD294" s="264"/>
      <c r="AE294" s="503"/>
      <c r="AF294" s="504"/>
      <c r="AG294" s="504"/>
      <c r="AH294" s="505"/>
      <c r="AJ294" s="229" t="str">
        <f>IF(OR(A294="",AND(ISNUMBER(FIND("[", A294)), ISNUMBER(FIND("ALL", A294)), ISNUMBER(FIND("]", A294)))),"",MAX(AJ$3:AJ293)+1)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268"/>
      <c r="AA295" s="264"/>
      <c r="AB295" s="264"/>
      <c r="AC295" s="269"/>
      <c r="AD295" s="264"/>
      <c r="AE295" s="503"/>
      <c r="AF295" s="504"/>
      <c r="AG295" s="504"/>
      <c r="AH295" s="505"/>
      <c r="AJ295" s="229" t="str">
        <f>IF(OR(A295="",AND(ISNUMBER(FIND("[", A295)), ISNUMBER(FIND("ALL", A295)), ISNUMBER(FIND("]", A295)))),"",MAX(AJ$3:AJ294)+1)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268"/>
      <c r="AA296" s="264"/>
      <c r="AB296" s="264"/>
      <c r="AC296" s="269"/>
      <c r="AD296" s="264"/>
      <c r="AE296" s="503"/>
      <c r="AF296" s="504"/>
      <c r="AG296" s="504"/>
      <c r="AH296" s="505"/>
      <c r="AJ296" s="229" t="str">
        <f>IF(OR(A296="",AND(ISNUMBER(FIND("[", A296)), ISNUMBER(FIND("ALL", A296)), ISNUMBER(FIND("]", A296)))),"",MAX(AJ$3:AJ295)+1)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268"/>
      <c r="AA297" s="264"/>
      <c r="AB297" s="264"/>
      <c r="AC297" s="269"/>
      <c r="AD297" s="264"/>
      <c r="AE297" s="503"/>
      <c r="AF297" s="504"/>
      <c r="AG297" s="504"/>
      <c r="AH297" s="505"/>
      <c r="AJ297" s="229" t="str">
        <f>IF(OR(A297="",AND(ISNUMBER(FIND("[", A297)), ISNUMBER(FIND("ALL", A297)), ISNUMBER(FIND("]", A297)))),"",MAX(AJ$3:AJ296)+1)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268"/>
      <c r="AA298" s="264"/>
      <c r="AB298" s="264"/>
      <c r="AC298" s="269"/>
      <c r="AD298" s="264"/>
      <c r="AE298" s="503"/>
      <c r="AF298" s="504"/>
      <c r="AG298" s="504"/>
      <c r="AH298" s="505"/>
      <c r="AJ298" s="229" t="str">
        <f>IF(OR(A298="",AND(ISNUMBER(FIND("[", A298)), ISNUMBER(FIND("ALL", A298)), ISNUMBER(FIND("]", A298)))),"",MAX(AJ$3:AJ297)+1)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268"/>
      <c r="AA299" s="264"/>
      <c r="AB299" s="264"/>
      <c r="AC299" s="269"/>
      <c r="AD299" s="264"/>
      <c r="AE299" s="503"/>
      <c r="AF299" s="504"/>
      <c r="AG299" s="504"/>
      <c r="AH299" s="505"/>
      <c r="AJ299" s="229" t="str">
        <f>IF(OR(A299="",AND(ISNUMBER(FIND("[", A299)), ISNUMBER(FIND("ALL", A299)), ISNUMBER(FIND("]", A299)))),"",MAX(AJ$3:AJ298)+1)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268"/>
      <c r="AA300" s="264"/>
      <c r="AB300" s="264"/>
      <c r="AC300" s="269"/>
      <c r="AD300" s="264"/>
      <c r="AE300" s="503"/>
      <c r="AF300" s="504"/>
      <c r="AG300" s="504"/>
      <c r="AH300" s="505"/>
      <c r="AJ300" s="229" t="str">
        <f>IF(OR(A300="",AND(ISNUMBER(FIND("[", A300)), ISNUMBER(FIND("ALL", A300)), ISNUMBER(FIND("]", A300)))),"",MAX(AJ$3:AJ299)+1)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268"/>
      <c r="AA301" s="264"/>
      <c r="AB301" s="264"/>
      <c r="AC301" s="269"/>
      <c r="AD301" s="264"/>
      <c r="AE301" s="503"/>
      <c r="AF301" s="504"/>
      <c r="AG301" s="504"/>
      <c r="AH301" s="505"/>
      <c r="AJ301" s="229" t="str">
        <f>IF(OR(A301="",AND(ISNUMBER(FIND("[", A301)), ISNUMBER(FIND("ALL", A301)), ISNUMBER(FIND("]", A301)))),"",MAX(AJ$3:AJ300)+1)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268"/>
      <c r="AA302" s="264"/>
      <c r="AB302" s="264"/>
      <c r="AC302" s="269"/>
      <c r="AD302" s="264"/>
      <c r="AE302" s="503"/>
      <c r="AF302" s="504"/>
      <c r="AG302" s="504"/>
      <c r="AH302" s="505"/>
      <c r="AJ302" s="229" t="str">
        <f>IF(OR(A302="",AND(ISNUMBER(FIND("[", A302)), ISNUMBER(FIND("ALL", A302)), ISNUMBER(FIND("]", A302)))),"",MAX(AJ$3:AJ301)+1)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268"/>
      <c r="AA303" s="264"/>
      <c r="AB303" s="264"/>
      <c r="AC303" s="269"/>
      <c r="AD303" s="264"/>
      <c r="AE303" s="503"/>
      <c r="AF303" s="504"/>
      <c r="AG303" s="504"/>
      <c r="AH303" s="505"/>
      <c r="AJ303" s="229" t="str">
        <f>IF(OR(A303="",AND(ISNUMBER(FIND("[", A303)), ISNUMBER(FIND("ALL", A303)), ISNUMBER(FIND("]", A303)))),"",MAX(AJ$3:AJ302)+1)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268"/>
      <c r="AA304" s="264"/>
      <c r="AB304" s="264"/>
      <c r="AC304" s="269"/>
      <c r="AD304" s="264"/>
      <c r="AE304" s="503"/>
      <c r="AF304" s="504"/>
      <c r="AG304" s="504"/>
      <c r="AH304" s="505"/>
      <c r="AJ304" s="229" t="str">
        <f>IF(OR(A304="",AND(ISNUMBER(FIND("[", A304)), ISNUMBER(FIND("ALL", A304)), ISNUMBER(FIND("]", A304)))),"",MAX(AJ$3:AJ303)+1)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268"/>
      <c r="AA305" s="264"/>
      <c r="AB305" s="264"/>
      <c r="AC305" s="269"/>
      <c r="AD305" s="264"/>
      <c r="AE305" s="503"/>
      <c r="AF305" s="504"/>
      <c r="AG305" s="504"/>
      <c r="AH305" s="505"/>
      <c r="AJ305" s="229" t="str">
        <f>IF(OR(A305="",AND(ISNUMBER(FIND("[", A305)), ISNUMBER(FIND("ALL", A305)), ISNUMBER(FIND("]", A305)))),"",MAX(AJ$3:AJ304)+1)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268"/>
      <c r="AA306" s="264"/>
      <c r="AB306" s="264"/>
      <c r="AC306" s="269"/>
      <c r="AD306" s="264"/>
      <c r="AE306" s="503"/>
      <c r="AF306" s="504"/>
      <c r="AG306" s="504"/>
      <c r="AH306" s="505"/>
      <c r="AJ306" s="229" t="str">
        <f>IF(OR(A306="",AND(ISNUMBER(FIND("[", A306)), ISNUMBER(FIND("ALL", A306)), ISNUMBER(FIND("]", A306)))),"",MAX(AJ$3:AJ305)+1)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268"/>
      <c r="AA307" s="264"/>
      <c r="AB307" s="264"/>
      <c r="AC307" s="269"/>
      <c r="AD307" s="264"/>
      <c r="AE307" s="503"/>
      <c r="AF307" s="504"/>
      <c r="AG307" s="504"/>
      <c r="AH307" s="505"/>
      <c r="AJ307" s="229" t="str">
        <f>IF(OR(A307="",AND(ISNUMBER(FIND("[", A307)), ISNUMBER(FIND("ALL", A307)), ISNUMBER(FIND("]", A307)))),"",MAX(AJ$3:AJ306)+1)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268"/>
      <c r="AA308" s="264"/>
      <c r="AB308" s="264"/>
      <c r="AC308" s="269"/>
      <c r="AD308" s="264"/>
      <c r="AE308" s="503"/>
      <c r="AF308" s="504"/>
      <c r="AG308" s="504"/>
      <c r="AH308" s="505"/>
      <c r="AJ308" s="229" t="str">
        <f>IF(OR(A308="",AND(ISNUMBER(FIND("[", A308)), ISNUMBER(FIND("ALL", A308)), ISNUMBER(FIND("]", A308)))),"",MAX(AJ$3:AJ307)+1)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268"/>
      <c r="AA309" s="264"/>
      <c r="AB309" s="264"/>
      <c r="AC309" s="269"/>
      <c r="AD309" s="264"/>
      <c r="AE309" s="503"/>
      <c r="AF309" s="504"/>
      <c r="AG309" s="504"/>
      <c r="AH309" s="505"/>
      <c r="AJ309" s="229" t="str">
        <f>IF(OR(A309="",AND(ISNUMBER(FIND("[", A309)), ISNUMBER(FIND("ALL", A309)), ISNUMBER(FIND("]", A309)))),"",MAX(AJ$3:AJ308)+1)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268"/>
      <c r="AA310" s="264"/>
      <c r="AB310" s="264"/>
      <c r="AC310" s="269"/>
      <c r="AD310" s="264"/>
      <c r="AE310" s="503"/>
      <c r="AF310" s="504"/>
      <c r="AG310" s="504"/>
      <c r="AH310" s="505"/>
      <c r="AJ310" s="229" t="str">
        <f>IF(OR(A310="",AND(ISNUMBER(FIND("[", A310)), ISNUMBER(FIND("ALL", A310)), ISNUMBER(FIND("]", A310)))),"",MAX(AJ$3:AJ309)+1)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268"/>
      <c r="AA311" s="264"/>
      <c r="AB311" s="264"/>
      <c r="AC311" s="269"/>
      <c r="AD311" s="264"/>
      <c r="AE311" s="503"/>
      <c r="AF311" s="504"/>
      <c r="AG311" s="504"/>
      <c r="AH311" s="505"/>
      <c r="AJ311" s="229" t="str">
        <f>IF(OR(A311="",AND(ISNUMBER(FIND("[", A311)), ISNUMBER(FIND("ALL", A311)), ISNUMBER(FIND("]", A311)))),"",MAX(AJ$3:AJ310)+1)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268"/>
      <c r="AA312" s="264"/>
      <c r="AB312" s="264"/>
      <c r="AC312" s="269"/>
      <c r="AD312" s="264"/>
      <c r="AE312" s="503"/>
      <c r="AF312" s="504"/>
      <c r="AG312" s="504"/>
      <c r="AH312" s="505"/>
      <c r="AJ312" s="229" t="str">
        <f>IF(OR(A312="",AND(ISNUMBER(FIND("[", A312)), ISNUMBER(FIND("ALL", A312)), ISNUMBER(FIND("]", A312)))),"",MAX(AJ$3:AJ311)+1)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268"/>
      <c r="AA313" s="264"/>
      <c r="AB313" s="264"/>
      <c r="AC313" s="269"/>
      <c r="AD313" s="264"/>
      <c r="AE313" s="503"/>
      <c r="AF313" s="504"/>
      <c r="AG313" s="504"/>
      <c r="AH313" s="505"/>
      <c r="AJ313" s="229" t="str">
        <f>IF(OR(A313="",AND(ISNUMBER(FIND("[", A313)), ISNUMBER(FIND("ALL", A313)), ISNUMBER(FIND("]", A313)))),"",MAX(AJ$3:AJ312)+1)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268"/>
      <c r="AA314" s="264"/>
      <c r="AB314" s="264"/>
      <c r="AC314" s="269"/>
      <c r="AD314" s="264"/>
      <c r="AE314" s="503"/>
      <c r="AF314" s="504"/>
      <c r="AG314" s="504"/>
      <c r="AH314" s="505"/>
      <c r="AJ314" s="229" t="str">
        <f>IF(OR(A314="",AND(ISNUMBER(FIND("[", A314)), ISNUMBER(FIND("ALL", A314)), ISNUMBER(FIND("]", A314)))),"",MAX(AJ$3:AJ313)+1)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268"/>
      <c r="AA315" s="264"/>
      <c r="AB315" s="264"/>
      <c r="AC315" s="269"/>
      <c r="AD315" s="264"/>
      <c r="AE315" s="503"/>
      <c r="AF315" s="504"/>
      <c r="AG315" s="504"/>
      <c r="AH315" s="505"/>
      <c r="AJ315" s="229" t="str">
        <f>IF(OR(A315="",AND(ISNUMBER(FIND("[", A315)), ISNUMBER(FIND("ALL", A315)), ISNUMBER(FIND("]", A315)))),"",MAX(AJ$3:AJ314)+1)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268"/>
      <c r="AA316" s="264"/>
      <c r="AB316" s="264"/>
      <c r="AC316" s="269"/>
      <c r="AD316" s="264"/>
      <c r="AE316" s="503"/>
      <c r="AF316" s="504"/>
      <c r="AG316" s="504"/>
      <c r="AH316" s="505"/>
      <c r="AJ316" s="229" t="str">
        <f>IF(OR(A316="",AND(ISNUMBER(FIND("[", A316)), ISNUMBER(FIND("ALL", A316)), ISNUMBER(FIND("]", A316)))),"",MAX(AJ$3:AJ315)+1)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268"/>
      <c r="AA317" s="264"/>
      <c r="AB317" s="264"/>
      <c r="AC317" s="269"/>
      <c r="AD317" s="264"/>
      <c r="AE317" s="503"/>
      <c r="AF317" s="504"/>
      <c r="AG317" s="504"/>
      <c r="AH317" s="505"/>
      <c r="AJ317" s="229" t="str">
        <f>IF(OR(A317="",AND(ISNUMBER(FIND("[", A317)), ISNUMBER(FIND("ALL", A317)), ISNUMBER(FIND("]", A317)))),"",MAX(AJ$3:AJ316)+1)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268"/>
      <c r="AA318" s="264"/>
      <c r="AB318" s="264"/>
      <c r="AC318" s="269"/>
      <c r="AD318" s="264"/>
      <c r="AE318" s="503"/>
      <c r="AF318" s="504"/>
      <c r="AG318" s="504"/>
      <c r="AH318" s="505"/>
      <c r="AJ318" s="229" t="str">
        <f>IF(OR(A318="",AND(ISNUMBER(FIND("[", A318)), ISNUMBER(FIND("ALL", A318)), ISNUMBER(FIND("]", A318)))),"",MAX(AJ$3:AJ317)+1)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268"/>
      <c r="AA319" s="264"/>
      <c r="AB319" s="264"/>
      <c r="AC319" s="269"/>
      <c r="AD319" s="264"/>
      <c r="AE319" s="503"/>
      <c r="AF319" s="504"/>
      <c r="AG319" s="504"/>
      <c r="AH319" s="505"/>
      <c r="AJ319" s="229" t="str">
        <f>IF(OR(A319="",AND(ISNUMBER(FIND("[", A319)), ISNUMBER(FIND("ALL", A319)), ISNUMBER(FIND("]", A319)))),"",MAX(AJ$3:AJ318)+1)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268"/>
      <c r="AA320" s="264"/>
      <c r="AB320" s="264"/>
      <c r="AC320" s="269"/>
      <c r="AD320" s="264"/>
      <c r="AE320" s="503"/>
      <c r="AF320" s="504"/>
      <c r="AG320" s="504"/>
      <c r="AH320" s="505"/>
      <c r="AJ320" s="229" t="str">
        <f>IF(OR(A320="",AND(ISNUMBER(FIND("[", A320)), ISNUMBER(FIND("ALL", A320)), ISNUMBER(FIND("]", A320)))),"",MAX(AJ$3:AJ319)+1)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268"/>
      <c r="AA321" s="264"/>
      <c r="AB321" s="264"/>
      <c r="AC321" s="269"/>
      <c r="AD321" s="264"/>
      <c r="AE321" s="503"/>
      <c r="AF321" s="504"/>
      <c r="AG321" s="504"/>
      <c r="AH321" s="505"/>
      <c r="AJ321" s="229" t="str">
        <f>IF(OR(A321="",AND(ISNUMBER(FIND("[", A321)), ISNUMBER(FIND("ALL", A321)), ISNUMBER(FIND("]", A321)))),"",MAX(AJ$3:AJ320)+1)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268"/>
      <c r="AA322" s="264"/>
      <c r="AB322" s="264"/>
      <c r="AC322" s="269"/>
      <c r="AD322" s="264"/>
      <c r="AE322" s="503"/>
      <c r="AF322" s="504"/>
      <c r="AG322" s="504"/>
      <c r="AH322" s="505"/>
      <c r="AJ322" s="229" t="str">
        <f>IF(OR(A322="",AND(ISNUMBER(FIND("[", A322)), ISNUMBER(FIND("ALL", A322)), ISNUMBER(FIND("]", A322)))),"",MAX(AJ$3:AJ321)+1)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268"/>
      <c r="AA323" s="264"/>
      <c r="AB323" s="264"/>
      <c r="AC323" s="269"/>
      <c r="AD323" s="264"/>
      <c r="AE323" s="503"/>
      <c r="AF323" s="504"/>
      <c r="AG323" s="504"/>
      <c r="AH323" s="505"/>
      <c r="AJ323" s="229" t="str">
        <f>IF(OR(A323="",AND(ISNUMBER(FIND("[", A323)), ISNUMBER(FIND("ALL", A323)), ISNUMBER(FIND("]", A323)))),"",MAX(AJ$3:AJ322)+1)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268"/>
      <c r="AA324" s="264"/>
      <c r="AB324" s="264"/>
      <c r="AC324" s="269"/>
      <c r="AD324" s="264"/>
      <c r="AE324" s="503"/>
      <c r="AF324" s="504"/>
      <c r="AG324" s="504"/>
      <c r="AH324" s="505"/>
      <c r="AJ324" s="229" t="str">
        <f>IF(OR(A324="",AND(ISNUMBER(FIND("[", A324)), ISNUMBER(FIND("ALL", A324)), ISNUMBER(FIND("]", A324)))),"",MAX(AJ$3:AJ323)+1)</f>
        <v/>
      </c>
      <c r="AK324" s="229" t="str">
        <f t="shared" ref="AK324:AK387" si="5">IFERROR(INDEX($A$4:$A$1000,MATCH(ROW()-ROW($AK$3),$AJ$4:$AJ$1000,0)),"")</f>
        <v/>
      </c>
    </row>
    <row r="325" spans="1:37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268"/>
      <c r="AA325" s="264"/>
      <c r="AB325" s="264"/>
      <c r="AC325" s="269"/>
      <c r="AD325" s="264"/>
      <c r="AE325" s="503"/>
      <c r="AF325" s="504"/>
      <c r="AG325" s="504"/>
      <c r="AH325" s="505"/>
      <c r="AJ325" s="229" t="str">
        <f>IF(OR(A325="",AND(ISNUMBER(FIND("[", A325)), ISNUMBER(FIND("ALL", A325)), ISNUMBER(FIND("]", A325)))),"",MAX(AJ$3:AJ324)+1)</f>
        <v/>
      </c>
      <c r="AK325" s="229" t="str">
        <f t="shared" si="5"/>
        <v/>
      </c>
    </row>
    <row r="326" spans="1:37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268"/>
      <c r="AA326" s="264"/>
      <c r="AB326" s="264"/>
      <c r="AC326" s="269"/>
      <c r="AD326" s="264"/>
      <c r="AE326" s="503"/>
      <c r="AF326" s="504"/>
      <c r="AG326" s="504"/>
      <c r="AH326" s="505"/>
      <c r="AJ326" s="229" t="str">
        <f>IF(OR(A326="",AND(ISNUMBER(FIND("[", A326)), ISNUMBER(FIND("ALL", A326)), ISNUMBER(FIND("]", A326)))),"",MAX(AJ$3:AJ325)+1)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268"/>
      <c r="AA327" s="264"/>
      <c r="AB327" s="264"/>
      <c r="AC327" s="269"/>
      <c r="AD327" s="264"/>
      <c r="AE327" s="503"/>
      <c r="AF327" s="504"/>
      <c r="AG327" s="504"/>
      <c r="AH327" s="505"/>
      <c r="AJ327" s="229" t="str">
        <f>IF(OR(A327="",AND(ISNUMBER(FIND("[", A327)), ISNUMBER(FIND("ALL", A327)), ISNUMBER(FIND("]", A327)))),"",MAX(AJ$3:AJ326)+1)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268"/>
      <c r="AA328" s="264"/>
      <c r="AB328" s="264"/>
      <c r="AC328" s="269"/>
      <c r="AD328" s="264"/>
      <c r="AE328" s="503"/>
      <c r="AF328" s="504"/>
      <c r="AG328" s="504"/>
      <c r="AH328" s="505"/>
      <c r="AJ328" s="229" t="str">
        <f>IF(OR(A328="",AND(ISNUMBER(FIND("[", A328)), ISNUMBER(FIND("ALL", A328)), ISNUMBER(FIND("]", A328)))),"",MAX(AJ$3:AJ327)+1)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268"/>
      <c r="AA329" s="264"/>
      <c r="AB329" s="264"/>
      <c r="AC329" s="269"/>
      <c r="AD329" s="264"/>
      <c r="AE329" s="503"/>
      <c r="AF329" s="504"/>
      <c r="AG329" s="504"/>
      <c r="AH329" s="505"/>
      <c r="AJ329" s="229" t="str">
        <f>IF(OR(A329="",AND(ISNUMBER(FIND("[", A329)), ISNUMBER(FIND("ALL", A329)), ISNUMBER(FIND("]", A329)))),"",MAX(AJ$3:AJ328)+1)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268"/>
      <c r="AA330" s="264"/>
      <c r="AB330" s="264"/>
      <c r="AC330" s="269"/>
      <c r="AD330" s="264"/>
      <c r="AE330" s="503"/>
      <c r="AF330" s="504"/>
      <c r="AG330" s="504"/>
      <c r="AH330" s="505"/>
      <c r="AJ330" s="229" t="str">
        <f>IF(OR(A330="",AND(ISNUMBER(FIND("[", A330)), ISNUMBER(FIND("ALL", A330)), ISNUMBER(FIND("]", A330)))),"",MAX(AJ$3:AJ329)+1)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268"/>
      <c r="AA331" s="264"/>
      <c r="AB331" s="264"/>
      <c r="AC331" s="269"/>
      <c r="AD331" s="264"/>
      <c r="AE331" s="503"/>
      <c r="AF331" s="504"/>
      <c r="AG331" s="504"/>
      <c r="AH331" s="505"/>
      <c r="AJ331" s="229" t="str">
        <f>IF(OR(A331="",AND(ISNUMBER(FIND("[", A331)), ISNUMBER(FIND("ALL", A331)), ISNUMBER(FIND("]", A331)))),"",MAX(AJ$3:AJ330)+1)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268"/>
      <c r="AA332" s="264"/>
      <c r="AB332" s="264"/>
      <c r="AC332" s="269"/>
      <c r="AD332" s="264"/>
      <c r="AE332" s="503"/>
      <c r="AF332" s="504"/>
      <c r="AG332" s="504"/>
      <c r="AH332" s="505"/>
      <c r="AJ332" s="229" t="str">
        <f>IF(OR(A332="",AND(ISNUMBER(FIND("[", A332)), ISNUMBER(FIND("ALL", A332)), ISNUMBER(FIND("]", A332)))),"",MAX(AJ$3:AJ331)+1)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268"/>
      <c r="AA333" s="264"/>
      <c r="AB333" s="264"/>
      <c r="AC333" s="269"/>
      <c r="AD333" s="264"/>
      <c r="AE333" s="503"/>
      <c r="AF333" s="504"/>
      <c r="AG333" s="504"/>
      <c r="AH333" s="505"/>
      <c r="AJ333" s="229" t="str">
        <f>IF(OR(A333="",AND(ISNUMBER(FIND("[", A333)), ISNUMBER(FIND("ALL", A333)), ISNUMBER(FIND("]", A333)))),"",MAX(AJ$3:AJ332)+1)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268"/>
      <c r="AA334" s="264"/>
      <c r="AB334" s="264"/>
      <c r="AC334" s="269"/>
      <c r="AD334" s="264"/>
      <c r="AE334" s="503"/>
      <c r="AF334" s="504"/>
      <c r="AG334" s="504"/>
      <c r="AH334" s="505"/>
      <c r="AJ334" s="229" t="str">
        <f>IF(OR(A334="",AND(ISNUMBER(FIND("[", A334)), ISNUMBER(FIND("ALL", A334)), ISNUMBER(FIND("]", A334)))),"",MAX(AJ$3:AJ333)+1)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268"/>
      <c r="AA335" s="264"/>
      <c r="AB335" s="264"/>
      <c r="AC335" s="269"/>
      <c r="AD335" s="264"/>
      <c r="AE335" s="503"/>
      <c r="AF335" s="504"/>
      <c r="AG335" s="504"/>
      <c r="AH335" s="505"/>
      <c r="AJ335" s="229" t="str">
        <f>IF(OR(A335="",AND(ISNUMBER(FIND("[", A335)), ISNUMBER(FIND("ALL", A335)), ISNUMBER(FIND("]", A335)))),"",MAX(AJ$3:AJ334)+1)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268"/>
      <c r="AA336" s="264"/>
      <c r="AB336" s="264"/>
      <c r="AC336" s="269"/>
      <c r="AD336" s="264"/>
      <c r="AE336" s="503"/>
      <c r="AF336" s="504"/>
      <c r="AG336" s="504"/>
      <c r="AH336" s="505"/>
      <c r="AJ336" s="229" t="str">
        <f>IF(OR(A336="",AND(ISNUMBER(FIND("[", A336)), ISNUMBER(FIND("ALL", A336)), ISNUMBER(FIND("]", A336)))),"",MAX(AJ$3:AJ335)+1)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268"/>
      <c r="AA337" s="264"/>
      <c r="AB337" s="264"/>
      <c r="AC337" s="269"/>
      <c r="AD337" s="264"/>
      <c r="AE337" s="503"/>
      <c r="AF337" s="504"/>
      <c r="AG337" s="504"/>
      <c r="AH337" s="505"/>
      <c r="AJ337" s="229" t="str">
        <f>IF(OR(A337="",AND(ISNUMBER(FIND("[", A337)), ISNUMBER(FIND("ALL", A337)), ISNUMBER(FIND("]", A337)))),"",MAX(AJ$3:AJ336)+1)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268"/>
      <c r="AA338" s="264"/>
      <c r="AB338" s="264"/>
      <c r="AC338" s="269"/>
      <c r="AD338" s="264"/>
      <c r="AE338" s="503"/>
      <c r="AF338" s="504"/>
      <c r="AG338" s="504"/>
      <c r="AH338" s="505"/>
      <c r="AJ338" s="229" t="str">
        <f>IF(OR(A338="",AND(ISNUMBER(FIND("[", A338)), ISNUMBER(FIND("ALL", A338)), ISNUMBER(FIND("]", A338)))),"",MAX(AJ$3:AJ337)+1)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268"/>
      <c r="AA339" s="264"/>
      <c r="AB339" s="264"/>
      <c r="AC339" s="269"/>
      <c r="AD339" s="264"/>
      <c r="AE339" s="503"/>
      <c r="AF339" s="504"/>
      <c r="AG339" s="504"/>
      <c r="AH339" s="505"/>
      <c r="AJ339" s="229" t="str">
        <f>IF(OR(A339="",AND(ISNUMBER(FIND("[", A339)), ISNUMBER(FIND("ALL", A339)), ISNUMBER(FIND("]", A339)))),"",MAX(AJ$3:AJ338)+1)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268"/>
      <c r="AA340" s="264"/>
      <c r="AB340" s="264"/>
      <c r="AC340" s="269"/>
      <c r="AD340" s="264"/>
      <c r="AE340" s="503"/>
      <c r="AF340" s="504"/>
      <c r="AG340" s="504"/>
      <c r="AH340" s="505"/>
      <c r="AJ340" s="229" t="str">
        <f>IF(OR(A340="",AND(ISNUMBER(FIND("[", A340)), ISNUMBER(FIND("ALL", A340)), ISNUMBER(FIND("]", A340)))),"",MAX(AJ$3:AJ339)+1)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268"/>
      <c r="AA341" s="264"/>
      <c r="AB341" s="264"/>
      <c r="AC341" s="269"/>
      <c r="AD341" s="264"/>
      <c r="AE341" s="503"/>
      <c r="AF341" s="504"/>
      <c r="AG341" s="504"/>
      <c r="AH341" s="505"/>
      <c r="AJ341" s="229" t="str">
        <f>IF(OR(A341="",AND(ISNUMBER(FIND("[", A341)), ISNUMBER(FIND("ALL", A341)), ISNUMBER(FIND("]", A341)))),"",MAX(AJ$3:AJ340)+1)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268"/>
      <c r="AA342" s="264"/>
      <c r="AB342" s="264"/>
      <c r="AC342" s="269"/>
      <c r="AD342" s="264"/>
      <c r="AE342" s="503"/>
      <c r="AF342" s="504"/>
      <c r="AG342" s="504"/>
      <c r="AH342" s="505"/>
      <c r="AJ342" s="229" t="str">
        <f>IF(OR(A342="",AND(ISNUMBER(FIND("[", A342)), ISNUMBER(FIND("ALL", A342)), ISNUMBER(FIND("]", A342)))),"",MAX(AJ$3:AJ341)+1)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268"/>
      <c r="AA343" s="264"/>
      <c r="AB343" s="264"/>
      <c r="AC343" s="269"/>
      <c r="AD343" s="264"/>
      <c r="AE343" s="503"/>
      <c r="AF343" s="504"/>
      <c r="AG343" s="504"/>
      <c r="AH343" s="505"/>
      <c r="AJ343" s="229" t="str">
        <f>IF(OR(A343="",AND(ISNUMBER(FIND("[", A343)), ISNUMBER(FIND("ALL", A343)), ISNUMBER(FIND("]", A343)))),"",MAX(AJ$3:AJ342)+1)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268"/>
      <c r="AA344" s="264"/>
      <c r="AB344" s="264"/>
      <c r="AC344" s="269"/>
      <c r="AD344" s="264"/>
      <c r="AE344" s="503"/>
      <c r="AF344" s="504"/>
      <c r="AG344" s="504"/>
      <c r="AH344" s="505"/>
      <c r="AJ344" s="229" t="str">
        <f>IF(OR(A344="",AND(ISNUMBER(FIND("[", A344)), ISNUMBER(FIND("ALL", A344)), ISNUMBER(FIND("]", A344)))),"",MAX(AJ$3:AJ343)+1)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268"/>
      <c r="AA345" s="264"/>
      <c r="AB345" s="264"/>
      <c r="AC345" s="269"/>
      <c r="AD345" s="264"/>
      <c r="AE345" s="503"/>
      <c r="AF345" s="504"/>
      <c r="AG345" s="504"/>
      <c r="AH345" s="505"/>
      <c r="AJ345" s="229" t="str">
        <f>IF(OR(A345="",AND(ISNUMBER(FIND("[", A345)), ISNUMBER(FIND("ALL", A345)), ISNUMBER(FIND("]", A345)))),"",MAX(AJ$3:AJ344)+1)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268"/>
      <c r="AA346" s="264"/>
      <c r="AB346" s="264"/>
      <c r="AC346" s="269"/>
      <c r="AD346" s="264"/>
      <c r="AE346" s="503"/>
      <c r="AF346" s="504"/>
      <c r="AG346" s="504"/>
      <c r="AH346" s="505"/>
      <c r="AJ346" s="229" t="str">
        <f>IF(OR(A346="",AND(ISNUMBER(FIND("[", A346)), ISNUMBER(FIND("ALL", A346)), ISNUMBER(FIND("]", A346)))),"",MAX(AJ$3:AJ345)+1)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268"/>
      <c r="AA347" s="264"/>
      <c r="AB347" s="264"/>
      <c r="AC347" s="269"/>
      <c r="AD347" s="264"/>
      <c r="AE347" s="503"/>
      <c r="AF347" s="504"/>
      <c r="AG347" s="504"/>
      <c r="AH347" s="505"/>
      <c r="AJ347" s="229" t="str">
        <f>IF(OR(A347="",AND(ISNUMBER(FIND("[", A347)), ISNUMBER(FIND("ALL", A347)), ISNUMBER(FIND("]", A347)))),"",MAX(AJ$3:AJ346)+1)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268"/>
      <c r="AA348" s="264"/>
      <c r="AB348" s="264"/>
      <c r="AC348" s="269"/>
      <c r="AD348" s="264"/>
      <c r="AE348" s="503"/>
      <c r="AF348" s="504"/>
      <c r="AG348" s="504"/>
      <c r="AH348" s="505"/>
      <c r="AJ348" s="229" t="str">
        <f>IF(OR(A348="",AND(ISNUMBER(FIND("[", A348)), ISNUMBER(FIND("ALL", A348)), ISNUMBER(FIND("]", A348)))),"",MAX(AJ$3:AJ347)+1)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268"/>
      <c r="AA349" s="264"/>
      <c r="AB349" s="264"/>
      <c r="AC349" s="269"/>
      <c r="AD349" s="264"/>
      <c r="AE349" s="503"/>
      <c r="AF349" s="504"/>
      <c r="AG349" s="504"/>
      <c r="AH349" s="505"/>
      <c r="AJ349" s="229" t="str">
        <f>IF(OR(A349="",AND(ISNUMBER(FIND("[", A349)), ISNUMBER(FIND("ALL", A349)), ISNUMBER(FIND("]", A349)))),"",MAX(AJ$3:AJ348)+1)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268"/>
      <c r="AA350" s="264"/>
      <c r="AB350" s="264"/>
      <c r="AC350" s="269"/>
      <c r="AD350" s="264"/>
      <c r="AE350" s="503"/>
      <c r="AF350" s="504"/>
      <c r="AG350" s="504"/>
      <c r="AH350" s="505"/>
      <c r="AJ350" s="229" t="str">
        <f>IF(OR(A350="",AND(ISNUMBER(FIND("[", A350)), ISNUMBER(FIND("ALL", A350)), ISNUMBER(FIND("]", A350)))),"",MAX(AJ$3:AJ349)+1)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268"/>
      <c r="AA351" s="264"/>
      <c r="AB351" s="264"/>
      <c r="AC351" s="269"/>
      <c r="AD351" s="264"/>
      <c r="AE351" s="503"/>
      <c r="AF351" s="504"/>
      <c r="AG351" s="504"/>
      <c r="AH351" s="505"/>
      <c r="AJ351" s="229" t="str">
        <f>IF(OR(A351="",AND(ISNUMBER(FIND("[", A351)), ISNUMBER(FIND("ALL", A351)), ISNUMBER(FIND("]", A351)))),"",MAX(AJ$3:AJ350)+1)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268"/>
      <c r="AA352" s="264"/>
      <c r="AB352" s="264"/>
      <c r="AC352" s="269"/>
      <c r="AD352" s="264"/>
      <c r="AE352" s="503"/>
      <c r="AF352" s="504"/>
      <c r="AG352" s="504"/>
      <c r="AH352" s="505"/>
      <c r="AJ352" s="229" t="str">
        <f>IF(OR(A352="",AND(ISNUMBER(FIND("[", A352)), ISNUMBER(FIND("ALL", A352)), ISNUMBER(FIND("]", A352)))),"",MAX(AJ$3:AJ351)+1)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268"/>
      <c r="AA353" s="264"/>
      <c r="AB353" s="264"/>
      <c r="AC353" s="269"/>
      <c r="AD353" s="264"/>
      <c r="AE353" s="503"/>
      <c r="AF353" s="504"/>
      <c r="AG353" s="504"/>
      <c r="AH353" s="505"/>
      <c r="AJ353" s="229" t="str">
        <f>IF(OR(A353="",AND(ISNUMBER(FIND("[", A353)), ISNUMBER(FIND("ALL", A353)), ISNUMBER(FIND("]", A353)))),"",MAX(AJ$3:AJ352)+1)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268"/>
      <c r="AA354" s="264"/>
      <c r="AB354" s="264"/>
      <c r="AC354" s="269"/>
      <c r="AD354" s="264"/>
      <c r="AE354" s="503"/>
      <c r="AF354" s="504"/>
      <c r="AG354" s="504"/>
      <c r="AH354" s="505"/>
      <c r="AJ354" s="229" t="str">
        <f>IF(OR(A354="",AND(ISNUMBER(FIND("[", A354)), ISNUMBER(FIND("ALL", A354)), ISNUMBER(FIND("]", A354)))),"",MAX(AJ$3:AJ353)+1)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268"/>
      <c r="AA355" s="264"/>
      <c r="AB355" s="264"/>
      <c r="AC355" s="269"/>
      <c r="AD355" s="264"/>
      <c r="AE355" s="503"/>
      <c r="AF355" s="504"/>
      <c r="AG355" s="504"/>
      <c r="AH355" s="505"/>
      <c r="AJ355" s="229" t="str">
        <f>IF(OR(A355="",AND(ISNUMBER(FIND("[", A355)), ISNUMBER(FIND("ALL", A355)), ISNUMBER(FIND("]", A355)))),"",MAX(AJ$3:AJ354)+1)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268"/>
      <c r="AA356" s="264"/>
      <c r="AB356" s="264"/>
      <c r="AC356" s="269"/>
      <c r="AD356" s="264"/>
      <c r="AE356" s="503"/>
      <c r="AF356" s="504"/>
      <c r="AG356" s="504"/>
      <c r="AH356" s="505"/>
      <c r="AJ356" s="229" t="str">
        <f>IF(OR(A356="",AND(ISNUMBER(FIND("[", A356)), ISNUMBER(FIND("ALL", A356)), ISNUMBER(FIND("]", A356)))),"",MAX(AJ$3:AJ355)+1)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268"/>
      <c r="AA357" s="264"/>
      <c r="AB357" s="264"/>
      <c r="AC357" s="269"/>
      <c r="AD357" s="264"/>
      <c r="AE357" s="503"/>
      <c r="AF357" s="504"/>
      <c r="AG357" s="504"/>
      <c r="AH357" s="505"/>
      <c r="AJ357" s="229" t="str">
        <f>IF(OR(A357="",AND(ISNUMBER(FIND("[", A357)), ISNUMBER(FIND("ALL", A357)), ISNUMBER(FIND("]", A357)))),"",MAX(AJ$3:AJ356)+1)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268"/>
      <c r="AA358" s="264"/>
      <c r="AB358" s="264"/>
      <c r="AC358" s="269"/>
      <c r="AD358" s="264"/>
      <c r="AE358" s="503"/>
      <c r="AF358" s="504"/>
      <c r="AG358" s="504"/>
      <c r="AH358" s="505"/>
      <c r="AJ358" s="229" t="str">
        <f>IF(OR(A358="",AND(ISNUMBER(FIND("[", A358)), ISNUMBER(FIND("ALL", A358)), ISNUMBER(FIND("]", A358)))),"",MAX(AJ$3:AJ357)+1)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268"/>
      <c r="AA359" s="264"/>
      <c r="AB359" s="264"/>
      <c r="AC359" s="269"/>
      <c r="AD359" s="264"/>
      <c r="AE359" s="503"/>
      <c r="AF359" s="504"/>
      <c r="AG359" s="504"/>
      <c r="AH359" s="505"/>
      <c r="AJ359" s="229" t="str">
        <f>IF(OR(A359="",AND(ISNUMBER(FIND("[", A359)), ISNUMBER(FIND("ALL", A359)), ISNUMBER(FIND("]", A359)))),"",MAX(AJ$3:AJ358)+1)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268"/>
      <c r="AA360" s="264"/>
      <c r="AB360" s="264"/>
      <c r="AC360" s="269"/>
      <c r="AD360" s="264"/>
      <c r="AE360" s="503"/>
      <c r="AF360" s="504"/>
      <c r="AG360" s="504"/>
      <c r="AH360" s="505"/>
      <c r="AJ360" s="229" t="str">
        <f>IF(OR(A360="",AND(ISNUMBER(FIND("[", A360)), ISNUMBER(FIND("ALL", A360)), ISNUMBER(FIND("]", A360)))),"",MAX(AJ$3:AJ359)+1)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268"/>
      <c r="AA361" s="264"/>
      <c r="AB361" s="264"/>
      <c r="AC361" s="269"/>
      <c r="AD361" s="264"/>
      <c r="AE361" s="503"/>
      <c r="AF361" s="504"/>
      <c r="AG361" s="504"/>
      <c r="AH361" s="505"/>
      <c r="AJ361" s="229" t="str">
        <f>IF(OR(A361="",AND(ISNUMBER(FIND("[", A361)), ISNUMBER(FIND("ALL", A361)), ISNUMBER(FIND("]", A361)))),"",MAX(AJ$3:AJ360)+1)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268"/>
      <c r="AA362" s="264"/>
      <c r="AB362" s="264"/>
      <c r="AC362" s="269"/>
      <c r="AD362" s="264"/>
      <c r="AE362" s="503"/>
      <c r="AF362" s="504"/>
      <c r="AG362" s="504"/>
      <c r="AH362" s="505"/>
      <c r="AJ362" s="229" t="str">
        <f>IF(OR(A362="",AND(ISNUMBER(FIND("[", A362)), ISNUMBER(FIND("ALL", A362)), ISNUMBER(FIND("]", A362)))),"",MAX(AJ$3:AJ361)+1)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268"/>
      <c r="AA363" s="264"/>
      <c r="AB363" s="264"/>
      <c r="AC363" s="269"/>
      <c r="AD363" s="264"/>
      <c r="AE363" s="503"/>
      <c r="AF363" s="504"/>
      <c r="AG363" s="504"/>
      <c r="AH363" s="505"/>
      <c r="AJ363" s="229" t="str">
        <f>IF(OR(A363="",AND(ISNUMBER(FIND("[", A363)), ISNUMBER(FIND("ALL", A363)), ISNUMBER(FIND("]", A363)))),"",MAX(AJ$3:AJ362)+1)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268"/>
      <c r="AA364" s="264"/>
      <c r="AB364" s="264"/>
      <c r="AC364" s="269"/>
      <c r="AD364" s="264"/>
      <c r="AE364" s="503"/>
      <c r="AF364" s="504"/>
      <c r="AG364" s="504"/>
      <c r="AH364" s="505"/>
      <c r="AJ364" s="229" t="str">
        <f>IF(OR(A364="",AND(ISNUMBER(FIND("[", A364)), ISNUMBER(FIND("ALL", A364)), ISNUMBER(FIND("]", A364)))),"",MAX(AJ$3:AJ363)+1)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268"/>
      <c r="AA365" s="264"/>
      <c r="AB365" s="264"/>
      <c r="AC365" s="269"/>
      <c r="AD365" s="264"/>
      <c r="AE365" s="503"/>
      <c r="AF365" s="504"/>
      <c r="AG365" s="504"/>
      <c r="AH365" s="505"/>
      <c r="AJ365" s="229" t="str">
        <f>IF(OR(A365="",AND(ISNUMBER(FIND("[", A365)), ISNUMBER(FIND("ALL", A365)), ISNUMBER(FIND("]", A365)))),"",MAX(AJ$3:AJ364)+1)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268"/>
      <c r="AA366" s="264"/>
      <c r="AB366" s="264"/>
      <c r="AC366" s="269"/>
      <c r="AD366" s="264"/>
      <c r="AE366" s="503"/>
      <c r="AF366" s="504"/>
      <c r="AG366" s="504"/>
      <c r="AH366" s="505"/>
      <c r="AJ366" s="229" t="str">
        <f>IF(OR(A366="",AND(ISNUMBER(FIND("[", A366)), ISNUMBER(FIND("ALL", A366)), ISNUMBER(FIND("]", A366)))),"",MAX(AJ$3:AJ365)+1)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268"/>
      <c r="AA367" s="264"/>
      <c r="AB367" s="264"/>
      <c r="AC367" s="269"/>
      <c r="AD367" s="264"/>
      <c r="AE367" s="503"/>
      <c r="AF367" s="504"/>
      <c r="AG367" s="504"/>
      <c r="AH367" s="505"/>
      <c r="AJ367" s="229" t="str">
        <f>IF(OR(A367="",AND(ISNUMBER(FIND("[", A367)), ISNUMBER(FIND("ALL", A367)), ISNUMBER(FIND("]", A367)))),"",MAX(AJ$3:AJ366)+1)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268"/>
      <c r="AA368" s="264"/>
      <c r="AB368" s="264"/>
      <c r="AC368" s="269"/>
      <c r="AD368" s="264"/>
      <c r="AE368" s="503"/>
      <c r="AF368" s="504"/>
      <c r="AG368" s="504"/>
      <c r="AH368" s="505"/>
      <c r="AJ368" s="229" t="str">
        <f>IF(OR(A368="",AND(ISNUMBER(FIND("[", A368)), ISNUMBER(FIND("ALL", A368)), ISNUMBER(FIND("]", A368)))),"",MAX(AJ$3:AJ367)+1)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268"/>
      <c r="AA369" s="264"/>
      <c r="AB369" s="264"/>
      <c r="AC369" s="269"/>
      <c r="AD369" s="264"/>
      <c r="AE369" s="503"/>
      <c r="AF369" s="504"/>
      <c r="AG369" s="504"/>
      <c r="AH369" s="505"/>
      <c r="AJ369" s="229" t="str">
        <f>IF(OR(A369="",AND(ISNUMBER(FIND("[", A369)), ISNUMBER(FIND("ALL", A369)), ISNUMBER(FIND("]", A369)))),"",MAX(AJ$3:AJ368)+1)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268"/>
      <c r="AA370" s="264"/>
      <c r="AB370" s="264"/>
      <c r="AC370" s="269"/>
      <c r="AD370" s="264"/>
      <c r="AE370" s="503"/>
      <c r="AF370" s="504"/>
      <c r="AG370" s="504"/>
      <c r="AH370" s="505"/>
      <c r="AJ370" s="229" t="str">
        <f>IF(OR(A370="",AND(ISNUMBER(FIND("[", A370)), ISNUMBER(FIND("ALL", A370)), ISNUMBER(FIND("]", A370)))),"",MAX(AJ$3:AJ369)+1)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268"/>
      <c r="AA371" s="264"/>
      <c r="AB371" s="264"/>
      <c r="AC371" s="269"/>
      <c r="AD371" s="264"/>
      <c r="AE371" s="503"/>
      <c r="AF371" s="504"/>
      <c r="AG371" s="504"/>
      <c r="AH371" s="505"/>
      <c r="AJ371" s="229" t="str">
        <f>IF(OR(A371="",AND(ISNUMBER(FIND("[", A371)), ISNUMBER(FIND("ALL", A371)), ISNUMBER(FIND("]", A371)))),"",MAX(AJ$3:AJ370)+1)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268"/>
      <c r="AA372" s="264"/>
      <c r="AB372" s="264"/>
      <c r="AC372" s="269"/>
      <c r="AD372" s="264"/>
      <c r="AE372" s="503"/>
      <c r="AF372" s="504"/>
      <c r="AG372" s="504"/>
      <c r="AH372" s="505"/>
      <c r="AJ372" s="229" t="str">
        <f>IF(OR(A372="",AND(ISNUMBER(FIND("[", A372)), ISNUMBER(FIND("ALL", A372)), ISNUMBER(FIND("]", A372)))),"",MAX(AJ$3:AJ371)+1)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268"/>
      <c r="AA373" s="264"/>
      <c r="AB373" s="264"/>
      <c r="AC373" s="269"/>
      <c r="AD373" s="264"/>
      <c r="AE373" s="503"/>
      <c r="AF373" s="504"/>
      <c r="AG373" s="504"/>
      <c r="AH373" s="505"/>
      <c r="AJ373" s="229" t="str">
        <f>IF(OR(A373="",AND(ISNUMBER(FIND("[", A373)), ISNUMBER(FIND("ALL", A373)), ISNUMBER(FIND("]", A373)))),"",MAX(AJ$3:AJ372)+1)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268"/>
      <c r="AA374" s="264"/>
      <c r="AB374" s="264"/>
      <c r="AC374" s="269"/>
      <c r="AD374" s="264"/>
      <c r="AE374" s="503"/>
      <c r="AF374" s="504"/>
      <c r="AG374" s="504"/>
      <c r="AH374" s="505"/>
      <c r="AJ374" s="229" t="str">
        <f>IF(OR(A374="",AND(ISNUMBER(FIND("[", A374)), ISNUMBER(FIND("ALL", A374)), ISNUMBER(FIND("]", A374)))),"",MAX(AJ$3:AJ373)+1)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268"/>
      <c r="AA375" s="264"/>
      <c r="AB375" s="264"/>
      <c r="AC375" s="269"/>
      <c r="AD375" s="264"/>
      <c r="AE375" s="503"/>
      <c r="AF375" s="504"/>
      <c r="AG375" s="504"/>
      <c r="AH375" s="505"/>
      <c r="AJ375" s="229" t="str">
        <f>IF(OR(A375="",AND(ISNUMBER(FIND("[", A375)), ISNUMBER(FIND("ALL", A375)), ISNUMBER(FIND("]", A375)))),"",MAX(AJ$3:AJ374)+1)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268"/>
      <c r="AA376" s="264"/>
      <c r="AB376" s="264"/>
      <c r="AC376" s="269"/>
      <c r="AD376" s="264"/>
      <c r="AE376" s="503"/>
      <c r="AF376" s="504"/>
      <c r="AG376" s="504"/>
      <c r="AH376" s="505"/>
      <c r="AJ376" s="229" t="str">
        <f>IF(OR(A376="",AND(ISNUMBER(FIND("[", A376)), ISNUMBER(FIND("ALL", A376)), ISNUMBER(FIND("]", A376)))),"",MAX(AJ$3:AJ375)+1)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268"/>
      <c r="AA377" s="264"/>
      <c r="AB377" s="264"/>
      <c r="AC377" s="269"/>
      <c r="AD377" s="264"/>
      <c r="AE377" s="503"/>
      <c r="AF377" s="504"/>
      <c r="AG377" s="504"/>
      <c r="AH377" s="505"/>
      <c r="AJ377" s="229" t="str">
        <f>IF(OR(A377="",AND(ISNUMBER(FIND("[", A377)), ISNUMBER(FIND("ALL", A377)), ISNUMBER(FIND("]", A377)))),"",MAX(AJ$3:AJ376)+1)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268"/>
      <c r="AA378" s="264"/>
      <c r="AB378" s="264"/>
      <c r="AC378" s="269"/>
      <c r="AD378" s="264"/>
      <c r="AE378" s="503"/>
      <c r="AF378" s="504"/>
      <c r="AG378" s="504"/>
      <c r="AH378" s="505"/>
      <c r="AJ378" s="229" t="str">
        <f>IF(OR(A378="",AND(ISNUMBER(FIND("[", A378)), ISNUMBER(FIND("ALL", A378)), ISNUMBER(FIND("]", A378)))),"",MAX(AJ$3:AJ377)+1)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268"/>
      <c r="AA379" s="264"/>
      <c r="AB379" s="264"/>
      <c r="AC379" s="269"/>
      <c r="AD379" s="264"/>
      <c r="AE379" s="503"/>
      <c r="AF379" s="504"/>
      <c r="AG379" s="504"/>
      <c r="AH379" s="505"/>
      <c r="AJ379" s="229" t="str">
        <f>IF(OR(A379="",AND(ISNUMBER(FIND("[", A379)), ISNUMBER(FIND("ALL", A379)), ISNUMBER(FIND("]", A379)))),"",MAX(AJ$3:AJ378)+1)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268"/>
      <c r="AA380" s="264"/>
      <c r="AB380" s="264"/>
      <c r="AC380" s="269"/>
      <c r="AD380" s="264"/>
      <c r="AE380" s="503"/>
      <c r="AF380" s="504"/>
      <c r="AG380" s="504"/>
      <c r="AH380" s="505"/>
      <c r="AJ380" s="229" t="str">
        <f>IF(OR(A380="",AND(ISNUMBER(FIND("[", A380)), ISNUMBER(FIND("ALL", A380)), ISNUMBER(FIND("]", A380)))),"",MAX(AJ$3:AJ379)+1)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268"/>
      <c r="AA381" s="264"/>
      <c r="AB381" s="264"/>
      <c r="AC381" s="269"/>
      <c r="AD381" s="264"/>
      <c r="AE381" s="503"/>
      <c r="AF381" s="504"/>
      <c r="AG381" s="504"/>
      <c r="AH381" s="505"/>
      <c r="AJ381" s="229" t="str">
        <f>IF(OR(A381="",AND(ISNUMBER(FIND("[", A381)), ISNUMBER(FIND("ALL", A381)), ISNUMBER(FIND("]", A381)))),"",MAX(AJ$3:AJ380)+1)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268"/>
      <c r="AA382" s="264"/>
      <c r="AB382" s="264"/>
      <c r="AC382" s="269"/>
      <c r="AD382" s="264"/>
      <c r="AE382" s="503"/>
      <c r="AF382" s="504"/>
      <c r="AG382" s="504"/>
      <c r="AH382" s="505"/>
      <c r="AJ382" s="229" t="str">
        <f>IF(OR(A382="",AND(ISNUMBER(FIND("[", A382)), ISNUMBER(FIND("ALL", A382)), ISNUMBER(FIND("]", A382)))),"",MAX(AJ$3:AJ381)+1)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268"/>
      <c r="AA383" s="264"/>
      <c r="AB383" s="264"/>
      <c r="AC383" s="269"/>
      <c r="AD383" s="264"/>
      <c r="AE383" s="503"/>
      <c r="AF383" s="504"/>
      <c r="AG383" s="504"/>
      <c r="AH383" s="505"/>
      <c r="AJ383" s="229" t="str">
        <f>IF(OR(A383="",AND(ISNUMBER(FIND("[", A383)), ISNUMBER(FIND("ALL", A383)), ISNUMBER(FIND("]", A383)))),"",MAX(AJ$3:AJ382)+1)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268"/>
      <c r="AA384" s="264"/>
      <c r="AB384" s="264"/>
      <c r="AC384" s="269"/>
      <c r="AD384" s="264"/>
      <c r="AE384" s="503"/>
      <c r="AF384" s="504"/>
      <c r="AG384" s="504"/>
      <c r="AH384" s="505"/>
      <c r="AJ384" s="229" t="str">
        <f>IF(OR(A384="",AND(ISNUMBER(FIND("[", A384)), ISNUMBER(FIND("ALL", A384)), ISNUMBER(FIND("]", A384)))),"",MAX(AJ$3:AJ383)+1)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268"/>
      <c r="AA385" s="264"/>
      <c r="AB385" s="264"/>
      <c r="AC385" s="269"/>
      <c r="AD385" s="264"/>
      <c r="AE385" s="503"/>
      <c r="AF385" s="504"/>
      <c r="AG385" s="504"/>
      <c r="AH385" s="505"/>
      <c r="AJ385" s="229" t="str">
        <f>IF(OR(A385="",AND(ISNUMBER(FIND("[", A385)), ISNUMBER(FIND("ALL", A385)), ISNUMBER(FIND("]", A385)))),"",MAX(AJ$3:AJ384)+1)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268"/>
      <c r="AA386" s="264"/>
      <c r="AB386" s="264"/>
      <c r="AC386" s="269"/>
      <c r="AD386" s="264"/>
      <c r="AE386" s="503"/>
      <c r="AF386" s="504"/>
      <c r="AG386" s="504"/>
      <c r="AH386" s="505"/>
      <c r="AJ386" s="229" t="str">
        <f>IF(OR(A386="",AND(ISNUMBER(FIND("[", A386)), ISNUMBER(FIND("ALL", A386)), ISNUMBER(FIND("]", A386)))),"",MAX(AJ$3:AJ385)+1)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268"/>
      <c r="AA387" s="264"/>
      <c r="AB387" s="264"/>
      <c r="AC387" s="269"/>
      <c r="AD387" s="264"/>
      <c r="AE387" s="503"/>
      <c r="AF387" s="504"/>
      <c r="AG387" s="504"/>
      <c r="AH387" s="505"/>
      <c r="AJ387" s="229" t="str">
        <f>IF(OR(A387="",AND(ISNUMBER(FIND("[", A387)), ISNUMBER(FIND("ALL", A387)), ISNUMBER(FIND("]", A387)))),"",MAX(AJ$3:AJ386)+1)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268"/>
      <c r="AA388" s="264"/>
      <c r="AB388" s="264"/>
      <c r="AC388" s="269"/>
      <c r="AD388" s="264"/>
      <c r="AE388" s="503"/>
      <c r="AF388" s="504"/>
      <c r="AG388" s="504"/>
      <c r="AH388" s="505"/>
      <c r="AJ388" s="229" t="str">
        <f>IF(OR(A388="",AND(ISNUMBER(FIND("[", A388)), ISNUMBER(FIND("ALL", A388)), ISNUMBER(FIND("]", A388)))),"",MAX(AJ$3:AJ387)+1)</f>
        <v/>
      </c>
      <c r="AK388" s="229" t="str">
        <f t="shared" ref="AK388:AK451" si="6">IFERROR(INDEX($A$4:$A$1000,MATCH(ROW()-ROW($AK$3),$AJ$4:$AJ$1000,0)),"")</f>
        <v/>
      </c>
    </row>
    <row r="389" spans="1:37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268"/>
      <c r="AA389" s="264"/>
      <c r="AB389" s="264"/>
      <c r="AC389" s="269"/>
      <c r="AD389" s="264"/>
      <c r="AE389" s="503"/>
      <c r="AF389" s="504"/>
      <c r="AG389" s="504"/>
      <c r="AH389" s="505"/>
      <c r="AJ389" s="229" t="str">
        <f>IF(OR(A389="",AND(ISNUMBER(FIND("[", A389)), ISNUMBER(FIND("ALL", A389)), ISNUMBER(FIND("]", A389)))),"",MAX(AJ$3:AJ388)+1)</f>
        <v/>
      </c>
      <c r="AK389" s="229" t="str">
        <f t="shared" si="6"/>
        <v/>
      </c>
    </row>
    <row r="390" spans="1:37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268"/>
      <c r="AA390" s="264"/>
      <c r="AB390" s="264"/>
      <c r="AC390" s="269"/>
      <c r="AD390" s="264"/>
      <c r="AE390" s="503"/>
      <c r="AF390" s="504"/>
      <c r="AG390" s="504"/>
      <c r="AH390" s="505"/>
      <c r="AJ390" s="229" t="str">
        <f>IF(OR(A390="",AND(ISNUMBER(FIND("[", A390)), ISNUMBER(FIND("ALL", A390)), ISNUMBER(FIND("]", A390)))),"",MAX(AJ$3:AJ389)+1)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268"/>
      <c r="AA391" s="264"/>
      <c r="AB391" s="264"/>
      <c r="AC391" s="269"/>
      <c r="AD391" s="264"/>
      <c r="AE391" s="503"/>
      <c r="AF391" s="504"/>
      <c r="AG391" s="504"/>
      <c r="AH391" s="505"/>
      <c r="AJ391" s="229" t="str">
        <f>IF(OR(A391="",AND(ISNUMBER(FIND("[", A391)), ISNUMBER(FIND("ALL", A391)), ISNUMBER(FIND("]", A391)))),"",MAX(AJ$3:AJ390)+1)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268"/>
      <c r="AA392" s="264"/>
      <c r="AB392" s="264"/>
      <c r="AC392" s="269"/>
      <c r="AD392" s="264"/>
      <c r="AE392" s="503"/>
      <c r="AF392" s="504"/>
      <c r="AG392" s="504"/>
      <c r="AH392" s="505"/>
      <c r="AJ392" s="229" t="str">
        <f>IF(OR(A392="",AND(ISNUMBER(FIND("[", A392)), ISNUMBER(FIND("ALL", A392)), ISNUMBER(FIND("]", A392)))),"",MAX(AJ$3:AJ391)+1)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268"/>
      <c r="AA393" s="264"/>
      <c r="AB393" s="264"/>
      <c r="AC393" s="269"/>
      <c r="AD393" s="264"/>
      <c r="AE393" s="503"/>
      <c r="AF393" s="504"/>
      <c r="AG393" s="504"/>
      <c r="AH393" s="505"/>
      <c r="AJ393" s="229" t="str">
        <f>IF(OR(A393="",AND(ISNUMBER(FIND("[", A393)), ISNUMBER(FIND("ALL", A393)), ISNUMBER(FIND("]", A393)))),"",MAX(AJ$3:AJ392)+1)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268"/>
      <c r="AA394" s="264"/>
      <c r="AB394" s="264"/>
      <c r="AC394" s="269"/>
      <c r="AD394" s="264"/>
      <c r="AE394" s="503"/>
      <c r="AF394" s="504"/>
      <c r="AG394" s="504"/>
      <c r="AH394" s="505"/>
      <c r="AJ394" s="229" t="str">
        <f>IF(OR(A394="",AND(ISNUMBER(FIND("[", A394)), ISNUMBER(FIND("ALL", A394)), ISNUMBER(FIND("]", A394)))),"",MAX(AJ$3:AJ393)+1)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268"/>
      <c r="AA395" s="264"/>
      <c r="AB395" s="264"/>
      <c r="AC395" s="269"/>
      <c r="AD395" s="264"/>
      <c r="AE395" s="503"/>
      <c r="AF395" s="504"/>
      <c r="AG395" s="504"/>
      <c r="AH395" s="505"/>
      <c r="AJ395" s="229" t="str">
        <f>IF(OR(A395="",AND(ISNUMBER(FIND("[", A395)), ISNUMBER(FIND("ALL", A395)), ISNUMBER(FIND("]", A395)))),"",MAX(AJ$3:AJ394)+1)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268"/>
      <c r="AA396" s="264"/>
      <c r="AB396" s="264"/>
      <c r="AC396" s="269"/>
      <c r="AD396" s="264"/>
      <c r="AE396" s="503"/>
      <c r="AF396" s="504"/>
      <c r="AG396" s="504"/>
      <c r="AH396" s="505"/>
      <c r="AJ396" s="229" t="str">
        <f>IF(OR(A396="",AND(ISNUMBER(FIND("[", A396)), ISNUMBER(FIND("ALL", A396)), ISNUMBER(FIND("]", A396)))),"",MAX(AJ$3:AJ395)+1)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268"/>
      <c r="AA397" s="264"/>
      <c r="AB397" s="264"/>
      <c r="AC397" s="269"/>
      <c r="AD397" s="264"/>
      <c r="AE397" s="503"/>
      <c r="AF397" s="504"/>
      <c r="AG397" s="504"/>
      <c r="AH397" s="505"/>
      <c r="AJ397" s="229" t="str">
        <f>IF(OR(A397="",AND(ISNUMBER(FIND("[", A397)), ISNUMBER(FIND("ALL", A397)), ISNUMBER(FIND("]", A397)))),"",MAX(AJ$3:AJ396)+1)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268"/>
      <c r="AA398" s="264"/>
      <c r="AB398" s="264"/>
      <c r="AC398" s="269"/>
      <c r="AD398" s="264"/>
      <c r="AE398" s="503"/>
      <c r="AF398" s="504"/>
      <c r="AG398" s="504"/>
      <c r="AH398" s="505"/>
      <c r="AJ398" s="229" t="str">
        <f>IF(OR(A398="",AND(ISNUMBER(FIND("[", A398)), ISNUMBER(FIND("ALL", A398)), ISNUMBER(FIND("]", A398)))),"",MAX(AJ$3:AJ397)+1)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268"/>
      <c r="AA399" s="264"/>
      <c r="AB399" s="264"/>
      <c r="AC399" s="269"/>
      <c r="AD399" s="264"/>
      <c r="AE399" s="503"/>
      <c r="AF399" s="504"/>
      <c r="AG399" s="504"/>
      <c r="AH399" s="505"/>
      <c r="AJ399" s="229" t="str">
        <f>IF(OR(A399="",AND(ISNUMBER(FIND("[", A399)), ISNUMBER(FIND("ALL", A399)), ISNUMBER(FIND("]", A399)))),"",MAX(AJ$3:AJ398)+1)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268"/>
      <c r="AA400" s="264"/>
      <c r="AB400" s="264"/>
      <c r="AC400" s="269"/>
      <c r="AD400" s="264"/>
      <c r="AE400" s="503"/>
      <c r="AF400" s="504"/>
      <c r="AG400" s="504"/>
      <c r="AH400" s="505"/>
      <c r="AJ400" s="229" t="str">
        <f>IF(OR(A400="",AND(ISNUMBER(FIND("[", A400)), ISNUMBER(FIND("ALL", A400)), ISNUMBER(FIND("]", A400)))),"",MAX(AJ$3:AJ399)+1)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268"/>
      <c r="AA401" s="264"/>
      <c r="AB401" s="264"/>
      <c r="AC401" s="269"/>
      <c r="AD401" s="264"/>
      <c r="AE401" s="503"/>
      <c r="AF401" s="504"/>
      <c r="AG401" s="504"/>
      <c r="AH401" s="505"/>
      <c r="AJ401" s="229" t="str">
        <f>IF(OR(A401="",AND(ISNUMBER(FIND("[", A401)), ISNUMBER(FIND("ALL", A401)), ISNUMBER(FIND("]", A401)))),"",MAX(AJ$3:AJ400)+1)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268"/>
      <c r="AA402" s="264"/>
      <c r="AB402" s="264"/>
      <c r="AC402" s="269"/>
      <c r="AD402" s="264"/>
      <c r="AE402" s="503"/>
      <c r="AF402" s="504"/>
      <c r="AG402" s="504"/>
      <c r="AH402" s="505"/>
      <c r="AJ402" s="229" t="str">
        <f>IF(OR(A402="",AND(ISNUMBER(FIND("[", A402)), ISNUMBER(FIND("ALL", A402)), ISNUMBER(FIND("]", A402)))),"",MAX(AJ$3:AJ401)+1)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268"/>
      <c r="AA403" s="264"/>
      <c r="AB403" s="264"/>
      <c r="AC403" s="269"/>
      <c r="AD403" s="264"/>
      <c r="AE403" s="503"/>
      <c r="AF403" s="504"/>
      <c r="AG403" s="504"/>
      <c r="AH403" s="505"/>
      <c r="AJ403" s="229" t="str">
        <f>IF(OR(A403="",AND(ISNUMBER(FIND("[", A403)), ISNUMBER(FIND("ALL", A403)), ISNUMBER(FIND("]", A403)))),"",MAX(AJ$3:AJ402)+1)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268"/>
      <c r="AA404" s="264"/>
      <c r="AB404" s="264"/>
      <c r="AC404" s="269"/>
      <c r="AD404" s="264"/>
      <c r="AE404" s="503"/>
      <c r="AF404" s="504"/>
      <c r="AG404" s="504"/>
      <c r="AH404" s="505"/>
      <c r="AJ404" s="229" t="str">
        <f>IF(OR(A404="",AND(ISNUMBER(FIND("[", A404)), ISNUMBER(FIND("ALL", A404)), ISNUMBER(FIND("]", A404)))),"",MAX(AJ$3:AJ403)+1)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268"/>
      <c r="AA405" s="264"/>
      <c r="AB405" s="264"/>
      <c r="AC405" s="269"/>
      <c r="AD405" s="264"/>
      <c r="AE405" s="503"/>
      <c r="AF405" s="504"/>
      <c r="AG405" s="504"/>
      <c r="AH405" s="505"/>
      <c r="AJ405" s="229" t="str">
        <f>IF(OR(A405="",AND(ISNUMBER(FIND("[", A405)), ISNUMBER(FIND("ALL", A405)), ISNUMBER(FIND("]", A405)))),"",MAX(AJ$3:AJ404)+1)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268"/>
      <c r="AA406" s="264"/>
      <c r="AB406" s="264"/>
      <c r="AC406" s="269"/>
      <c r="AD406" s="264"/>
      <c r="AE406" s="503"/>
      <c r="AF406" s="504"/>
      <c r="AG406" s="504"/>
      <c r="AH406" s="505"/>
      <c r="AJ406" s="229" t="str">
        <f>IF(OR(A406="",AND(ISNUMBER(FIND("[", A406)), ISNUMBER(FIND("ALL", A406)), ISNUMBER(FIND("]", A406)))),"",MAX(AJ$3:AJ405)+1)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268"/>
      <c r="AA407" s="264"/>
      <c r="AB407" s="264"/>
      <c r="AC407" s="269"/>
      <c r="AD407" s="264"/>
      <c r="AE407" s="503"/>
      <c r="AF407" s="504"/>
      <c r="AG407" s="504"/>
      <c r="AH407" s="505"/>
      <c r="AJ407" s="229" t="str">
        <f>IF(OR(A407="",AND(ISNUMBER(FIND("[", A407)), ISNUMBER(FIND("ALL", A407)), ISNUMBER(FIND("]", A407)))),"",MAX(AJ$3:AJ406)+1)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268"/>
      <c r="AA408" s="264"/>
      <c r="AB408" s="264"/>
      <c r="AC408" s="269"/>
      <c r="AD408" s="264"/>
      <c r="AE408" s="503"/>
      <c r="AF408" s="504"/>
      <c r="AG408" s="504"/>
      <c r="AH408" s="505"/>
      <c r="AJ408" s="229" t="str">
        <f>IF(OR(A408="",AND(ISNUMBER(FIND("[", A408)), ISNUMBER(FIND("ALL", A408)), ISNUMBER(FIND("]", A408)))),"",MAX(AJ$3:AJ407)+1)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268"/>
      <c r="AA409" s="264"/>
      <c r="AB409" s="264"/>
      <c r="AC409" s="269"/>
      <c r="AD409" s="264"/>
      <c r="AE409" s="503"/>
      <c r="AF409" s="504"/>
      <c r="AG409" s="504"/>
      <c r="AH409" s="505"/>
      <c r="AJ409" s="229" t="str">
        <f>IF(OR(A409="",AND(ISNUMBER(FIND("[", A409)), ISNUMBER(FIND("ALL", A409)), ISNUMBER(FIND("]", A409)))),"",MAX(AJ$3:AJ408)+1)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268"/>
      <c r="AA410" s="264"/>
      <c r="AB410" s="264"/>
      <c r="AC410" s="269"/>
      <c r="AD410" s="264"/>
      <c r="AE410" s="503"/>
      <c r="AF410" s="504"/>
      <c r="AG410" s="504"/>
      <c r="AH410" s="505"/>
      <c r="AJ410" s="229" t="str">
        <f>IF(OR(A410="",AND(ISNUMBER(FIND("[", A410)), ISNUMBER(FIND("ALL", A410)), ISNUMBER(FIND("]", A410)))),"",MAX(AJ$3:AJ409)+1)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268"/>
      <c r="AA411" s="264"/>
      <c r="AB411" s="264"/>
      <c r="AC411" s="269"/>
      <c r="AD411" s="264"/>
      <c r="AE411" s="503"/>
      <c r="AF411" s="504"/>
      <c r="AG411" s="504"/>
      <c r="AH411" s="505"/>
      <c r="AJ411" s="229" t="str">
        <f>IF(OR(A411="",AND(ISNUMBER(FIND("[", A411)), ISNUMBER(FIND("ALL", A411)), ISNUMBER(FIND("]", A411)))),"",MAX(AJ$3:AJ410)+1)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268"/>
      <c r="AA412" s="264"/>
      <c r="AB412" s="264"/>
      <c r="AC412" s="269"/>
      <c r="AD412" s="264"/>
      <c r="AE412" s="503"/>
      <c r="AF412" s="504"/>
      <c r="AG412" s="504"/>
      <c r="AH412" s="505"/>
      <c r="AJ412" s="229" t="str">
        <f>IF(OR(A412="",AND(ISNUMBER(FIND("[", A412)), ISNUMBER(FIND("ALL", A412)), ISNUMBER(FIND("]", A412)))),"",MAX(AJ$3:AJ411)+1)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268"/>
      <c r="AA413" s="264"/>
      <c r="AB413" s="264"/>
      <c r="AC413" s="269"/>
      <c r="AD413" s="264"/>
      <c r="AE413" s="503"/>
      <c r="AF413" s="504"/>
      <c r="AG413" s="504"/>
      <c r="AH413" s="505"/>
      <c r="AJ413" s="229" t="str">
        <f>IF(OR(A413="",AND(ISNUMBER(FIND("[", A413)), ISNUMBER(FIND("ALL", A413)), ISNUMBER(FIND("]", A413)))),"",MAX(AJ$3:AJ412)+1)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268"/>
      <c r="AA414" s="264"/>
      <c r="AB414" s="264"/>
      <c r="AC414" s="269"/>
      <c r="AD414" s="264"/>
      <c r="AE414" s="503"/>
      <c r="AF414" s="504"/>
      <c r="AG414" s="504"/>
      <c r="AH414" s="505"/>
      <c r="AJ414" s="229" t="str">
        <f>IF(OR(A414="",AND(ISNUMBER(FIND("[", A414)), ISNUMBER(FIND("ALL", A414)), ISNUMBER(FIND("]", A414)))),"",MAX(AJ$3:AJ413)+1)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268"/>
      <c r="AA415" s="264"/>
      <c r="AB415" s="264"/>
      <c r="AC415" s="269"/>
      <c r="AD415" s="264"/>
      <c r="AE415" s="503"/>
      <c r="AF415" s="504"/>
      <c r="AG415" s="504"/>
      <c r="AH415" s="505"/>
      <c r="AJ415" s="229" t="str">
        <f>IF(OR(A415="",AND(ISNUMBER(FIND("[", A415)), ISNUMBER(FIND("ALL", A415)), ISNUMBER(FIND("]", A415)))),"",MAX(AJ$3:AJ414)+1)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268"/>
      <c r="AA416" s="264"/>
      <c r="AB416" s="264"/>
      <c r="AC416" s="269"/>
      <c r="AD416" s="264"/>
      <c r="AE416" s="503"/>
      <c r="AF416" s="504"/>
      <c r="AG416" s="504"/>
      <c r="AH416" s="505"/>
      <c r="AJ416" s="229" t="str">
        <f>IF(OR(A416="",AND(ISNUMBER(FIND("[", A416)), ISNUMBER(FIND("ALL", A416)), ISNUMBER(FIND("]", A416)))),"",MAX(AJ$3:AJ415)+1)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268"/>
      <c r="AA417" s="264"/>
      <c r="AB417" s="264"/>
      <c r="AC417" s="269"/>
      <c r="AD417" s="264"/>
      <c r="AE417" s="503"/>
      <c r="AF417" s="504"/>
      <c r="AG417" s="504"/>
      <c r="AH417" s="505"/>
      <c r="AJ417" s="229" t="str">
        <f>IF(OR(A417="",AND(ISNUMBER(FIND("[", A417)), ISNUMBER(FIND("ALL", A417)), ISNUMBER(FIND("]", A417)))),"",MAX(AJ$3:AJ416)+1)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268"/>
      <c r="AA418" s="264"/>
      <c r="AB418" s="264"/>
      <c r="AC418" s="269"/>
      <c r="AD418" s="264"/>
      <c r="AE418" s="503"/>
      <c r="AF418" s="504"/>
      <c r="AG418" s="504"/>
      <c r="AH418" s="505"/>
      <c r="AJ418" s="229" t="str">
        <f>IF(OR(A418="",AND(ISNUMBER(FIND("[", A418)), ISNUMBER(FIND("ALL", A418)), ISNUMBER(FIND("]", A418)))),"",MAX(AJ$3:AJ417)+1)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268"/>
      <c r="AA419" s="264"/>
      <c r="AB419" s="264"/>
      <c r="AC419" s="269"/>
      <c r="AD419" s="264"/>
      <c r="AE419" s="503"/>
      <c r="AF419" s="504"/>
      <c r="AG419" s="504"/>
      <c r="AH419" s="505"/>
      <c r="AJ419" s="229" t="str">
        <f>IF(OR(A419="",AND(ISNUMBER(FIND("[", A419)), ISNUMBER(FIND("ALL", A419)), ISNUMBER(FIND("]", A419)))),"",MAX(AJ$3:AJ418)+1)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268"/>
      <c r="AA420" s="264"/>
      <c r="AB420" s="264"/>
      <c r="AC420" s="269"/>
      <c r="AD420" s="264"/>
      <c r="AE420" s="503"/>
      <c r="AF420" s="504"/>
      <c r="AG420" s="504"/>
      <c r="AH420" s="505"/>
      <c r="AJ420" s="229" t="str">
        <f>IF(OR(A420="",AND(ISNUMBER(FIND("[", A420)), ISNUMBER(FIND("ALL", A420)), ISNUMBER(FIND("]", A420)))),"",MAX(AJ$3:AJ419)+1)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268"/>
      <c r="AA421" s="264"/>
      <c r="AB421" s="264"/>
      <c r="AC421" s="269"/>
      <c r="AD421" s="264"/>
      <c r="AE421" s="503"/>
      <c r="AF421" s="504"/>
      <c r="AG421" s="504"/>
      <c r="AH421" s="505"/>
      <c r="AJ421" s="229" t="str">
        <f>IF(OR(A421="",AND(ISNUMBER(FIND("[", A421)), ISNUMBER(FIND("ALL", A421)), ISNUMBER(FIND("]", A421)))),"",MAX(AJ$3:AJ420)+1)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268"/>
      <c r="AA422" s="264"/>
      <c r="AB422" s="264"/>
      <c r="AC422" s="269"/>
      <c r="AD422" s="264"/>
      <c r="AE422" s="503"/>
      <c r="AF422" s="504"/>
      <c r="AG422" s="504"/>
      <c r="AH422" s="505"/>
      <c r="AJ422" s="229" t="str">
        <f>IF(OR(A422="",AND(ISNUMBER(FIND("[", A422)), ISNUMBER(FIND("ALL", A422)), ISNUMBER(FIND("]", A422)))),"",MAX(AJ$3:AJ421)+1)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268"/>
      <c r="AA423" s="264"/>
      <c r="AB423" s="264"/>
      <c r="AC423" s="269"/>
      <c r="AD423" s="264"/>
      <c r="AE423" s="503"/>
      <c r="AF423" s="504"/>
      <c r="AG423" s="504"/>
      <c r="AH423" s="505"/>
      <c r="AJ423" s="229" t="str">
        <f>IF(OR(A423="",AND(ISNUMBER(FIND("[", A423)), ISNUMBER(FIND("ALL", A423)), ISNUMBER(FIND("]", A423)))),"",MAX(AJ$3:AJ422)+1)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268"/>
      <c r="AA424" s="264"/>
      <c r="AB424" s="264"/>
      <c r="AC424" s="269"/>
      <c r="AD424" s="264"/>
      <c r="AE424" s="503"/>
      <c r="AF424" s="504"/>
      <c r="AG424" s="504"/>
      <c r="AH424" s="505"/>
      <c r="AJ424" s="229" t="str">
        <f>IF(OR(A424="",AND(ISNUMBER(FIND("[", A424)), ISNUMBER(FIND("ALL", A424)), ISNUMBER(FIND("]", A424)))),"",MAX(AJ$3:AJ423)+1)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268"/>
      <c r="AA425" s="264"/>
      <c r="AB425" s="264"/>
      <c r="AC425" s="269"/>
      <c r="AD425" s="264"/>
      <c r="AE425" s="503"/>
      <c r="AF425" s="504"/>
      <c r="AG425" s="504"/>
      <c r="AH425" s="505"/>
      <c r="AJ425" s="229" t="str">
        <f>IF(OR(A425="",AND(ISNUMBER(FIND("[", A425)), ISNUMBER(FIND("ALL", A425)), ISNUMBER(FIND("]", A425)))),"",MAX(AJ$3:AJ424)+1)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268"/>
      <c r="AA426" s="264"/>
      <c r="AB426" s="264"/>
      <c r="AC426" s="269"/>
      <c r="AD426" s="264"/>
      <c r="AE426" s="503"/>
      <c r="AF426" s="504"/>
      <c r="AG426" s="504"/>
      <c r="AH426" s="505"/>
      <c r="AJ426" s="229" t="str">
        <f>IF(OR(A426="",AND(ISNUMBER(FIND("[", A426)), ISNUMBER(FIND("ALL", A426)), ISNUMBER(FIND("]", A426)))),"",MAX(AJ$3:AJ425)+1)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268"/>
      <c r="AA427" s="264"/>
      <c r="AB427" s="264"/>
      <c r="AC427" s="269"/>
      <c r="AD427" s="264"/>
      <c r="AE427" s="503"/>
      <c r="AF427" s="504"/>
      <c r="AG427" s="504"/>
      <c r="AH427" s="505"/>
      <c r="AJ427" s="229" t="str">
        <f>IF(OR(A427="",AND(ISNUMBER(FIND("[", A427)), ISNUMBER(FIND("ALL", A427)), ISNUMBER(FIND("]", A427)))),"",MAX(AJ$3:AJ426)+1)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268"/>
      <c r="AA428" s="264"/>
      <c r="AB428" s="264"/>
      <c r="AC428" s="269"/>
      <c r="AD428" s="264"/>
      <c r="AE428" s="503"/>
      <c r="AF428" s="504"/>
      <c r="AG428" s="504"/>
      <c r="AH428" s="505"/>
      <c r="AJ428" s="229" t="str">
        <f>IF(OR(A428="",AND(ISNUMBER(FIND("[", A428)), ISNUMBER(FIND("ALL", A428)), ISNUMBER(FIND("]", A428)))),"",MAX(AJ$3:AJ427)+1)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268"/>
      <c r="AA429" s="264"/>
      <c r="AB429" s="264"/>
      <c r="AC429" s="269"/>
      <c r="AD429" s="264"/>
      <c r="AE429" s="503"/>
      <c r="AF429" s="504"/>
      <c r="AG429" s="504"/>
      <c r="AH429" s="505"/>
      <c r="AJ429" s="229" t="str">
        <f>IF(OR(A429="",AND(ISNUMBER(FIND("[", A429)), ISNUMBER(FIND("ALL", A429)), ISNUMBER(FIND("]", A429)))),"",MAX(AJ$3:AJ428)+1)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268"/>
      <c r="AA430" s="264"/>
      <c r="AB430" s="264"/>
      <c r="AC430" s="269"/>
      <c r="AD430" s="264"/>
      <c r="AE430" s="503"/>
      <c r="AF430" s="504"/>
      <c r="AG430" s="504"/>
      <c r="AH430" s="505"/>
      <c r="AJ430" s="229" t="str">
        <f>IF(OR(A430="",AND(ISNUMBER(FIND("[", A430)), ISNUMBER(FIND("ALL", A430)), ISNUMBER(FIND("]", A430)))),"",MAX(AJ$3:AJ429)+1)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268"/>
      <c r="AA431" s="264"/>
      <c r="AB431" s="264"/>
      <c r="AC431" s="269"/>
      <c r="AD431" s="264"/>
      <c r="AE431" s="503"/>
      <c r="AF431" s="504"/>
      <c r="AG431" s="504"/>
      <c r="AH431" s="505"/>
      <c r="AJ431" s="229" t="str">
        <f>IF(OR(A431="",AND(ISNUMBER(FIND("[", A431)), ISNUMBER(FIND("ALL", A431)), ISNUMBER(FIND("]", A431)))),"",MAX(AJ$3:AJ430)+1)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268"/>
      <c r="AA432" s="264"/>
      <c r="AB432" s="264"/>
      <c r="AC432" s="269"/>
      <c r="AD432" s="264"/>
      <c r="AE432" s="503"/>
      <c r="AF432" s="504"/>
      <c r="AG432" s="504"/>
      <c r="AH432" s="505"/>
      <c r="AJ432" s="229" t="str">
        <f>IF(OR(A432="",AND(ISNUMBER(FIND("[", A432)), ISNUMBER(FIND("ALL", A432)), ISNUMBER(FIND("]", A432)))),"",MAX(AJ$3:AJ431)+1)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268"/>
      <c r="AA433" s="264"/>
      <c r="AB433" s="264"/>
      <c r="AC433" s="269"/>
      <c r="AD433" s="264"/>
      <c r="AE433" s="503"/>
      <c r="AF433" s="504"/>
      <c r="AG433" s="504"/>
      <c r="AH433" s="505"/>
      <c r="AJ433" s="229" t="str">
        <f>IF(OR(A433="",AND(ISNUMBER(FIND("[", A433)), ISNUMBER(FIND("ALL", A433)), ISNUMBER(FIND("]", A433)))),"",MAX(AJ$3:AJ432)+1)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268"/>
      <c r="AA434" s="264"/>
      <c r="AB434" s="264"/>
      <c r="AC434" s="269"/>
      <c r="AD434" s="264"/>
      <c r="AE434" s="503"/>
      <c r="AF434" s="504"/>
      <c r="AG434" s="504"/>
      <c r="AH434" s="505"/>
      <c r="AJ434" s="229" t="str">
        <f>IF(OR(A434="",AND(ISNUMBER(FIND("[", A434)), ISNUMBER(FIND("ALL", A434)), ISNUMBER(FIND("]", A434)))),"",MAX(AJ$3:AJ433)+1)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268"/>
      <c r="AA435" s="264"/>
      <c r="AB435" s="264"/>
      <c r="AC435" s="269"/>
      <c r="AD435" s="264"/>
      <c r="AE435" s="503"/>
      <c r="AF435" s="504"/>
      <c r="AG435" s="504"/>
      <c r="AH435" s="505"/>
      <c r="AJ435" s="229" t="str">
        <f>IF(OR(A435="",AND(ISNUMBER(FIND("[", A435)), ISNUMBER(FIND("ALL", A435)), ISNUMBER(FIND("]", A435)))),"",MAX(AJ$3:AJ434)+1)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268"/>
      <c r="AA436" s="264"/>
      <c r="AB436" s="264"/>
      <c r="AC436" s="269"/>
      <c r="AD436" s="264"/>
      <c r="AE436" s="503"/>
      <c r="AF436" s="504"/>
      <c r="AG436" s="504"/>
      <c r="AH436" s="505"/>
      <c r="AJ436" s="229" t="str">
        <f>IF(OR(A436="",AND(ISNUMBER(FIND("[", A436)), ISNUMBER(FIND("ALL", A436)), ISNUMBER(FIND("]", A436)))),"",MAX(AJ$3:AJ435)+1)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268"/>
      <c r="AA437" s="264"/>
      <c r="AB437" s="264"/>
      <c r="AC437" s="269"/>
      <c r="AD437" s="264"/>
      <c r="AE437" s="503"/>
      <c r="AF437" s="504"/>
      <c r="AG437" s="504"/>
      <c r="AH437" s="505"/>
      <c r="AJ437" s="229" t="str">
        <f>IF(OR(A437="",AND(ISNUMBER(FIND("[", A437)), ISNUMBER(FIND("ALL", A437)), ISNUMBER(FIND("]", A437)))),"",MAX(AJ$3:AJ436)+1)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268"/>
      <c r="AA438" s="264"/>
      <c r="AB438" s="264"/>
      <c r="AC438" s="269"/>
      <c r="AD438" s="264"/>
      <c r="AE438" s="503"/>
      <c r="AF438" s="504"/>
      <c r="AG438" s="504"/>
      <c r="AH438" s="505"/>
      <c r="AJ438" s="229" t="str">
        <f>IF(OR(A438="",AND(ISNUMBER(FIND("[", A438)), ISNUMBER(FIND("ALL", A438)), ISNUMBER(FIND("]", A438)))),"",MAX(AJ$3:AJ437)+1)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268"/>
      <c r="AA439" s="264"/>
      <c r="AB439" s="264"/>
      <c r="AC439" s="269"/>
      <c r="AD439" s="264"/>
      <c r="AE439" s="503"/>
      <c r="AF439" s="504"/>
      <c r="AG439" s="504"/>
      <c r="AH439" s="505"/>
      <c r="AJ439" s="229" t="str">
        <f>IF(OR(A439="",AND(ISNUMBER(FIND("[", A439)), ISNUMBER(FIND("ALL", A439)), ISNUMBER(FIND("]", A439)))),"",MAX(AJ$3:AJ438)+1)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268"/>
      <c r="AA440" s="264"/>
      <c r="AB440" s="264"/>
      <c r="AC440" s="269"/>
      <c r="AD440" s="264"/>
      <c r="AE440" s="503"/>
      <c r="AF440" s="504"/>
      <c r="AG440" s="504"/>
      <c r="AH440" s="505"/>
      <c r="AJ440" s="229" t="str">
        <f>IF(OR(A440="",AND(ISNUMBER(FIND("[", A440)), ISNUMBER(FIND("ALL", A440)), ISNUMBER(FIND("]", A440)))),"",MAX(AJ$3:AJ439)+1)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268"/>
      <c r="AA441" s="264"/>
      <c r="AB441" s="264"/>
      <c r="AC441" s="269"/>
      <c r="AD441" s="264"/>
      <c r="AE441" s="503"/>
      <c r="AF441" s="504"/>
      <c r="AG441" s="504"/>
      <c r="AH441" s="505"/>
      <c r="AJ441" s="229" t="str">
        <f>IF(OR(A441="",AND(ISNUMBER(FIND("[", A441)), ISNUMBER(FIND("ALL", A441)), ISNUMBER(FIND("]", A441)))),"",MAX(AJ$3:AJ440)+1)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268"/>
      <c r="AA442" s="264"/>
      <c r="AB442" s="264"/>
      <c r="AC442" s="269"/>
      <c r="AD442" s="264"/>
      <c r="AE442" s="503"/>
      <c r="AF442" s="504"/>
      <c r="AG442" s="504"/>
      <c r="AH442" s="505"/>
      <c r="AJ442" s="229" t="str">
        <f>IF(OR(A442="",AND(ISNUMBER(FIND("[", A442)), ISNUMBER(FIND("ALL", A442)), ISNUMBER(FIND("]", A442)))),"",MAX(AJ$3:AJ441)+1)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268"/>
      <c r="AA443" s="264"/>
      <c r="AB443" s="264"/>
      <c r="AC443" s="269"/>
      <c r="AD443" s="264"/>
      <c r="AE443" s="503"/>
      <c r="AF443" s="504"/>
      <c r="AG443" s="504"/>
      <c r="AH443" s="505"/>
      <c r="AJ443" s="229" t="str">
        <f>IF(OR(A443="",AND(ISNUMBER(FIND("[", A443)), ISNUMBER(FIND("ALL", A443)), ISNUMBER(FIND("]", A443)))),"",MAX(AJ$3:AJ442)+1)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268"/>
      <c r="AA444" s="264"/>
      <c r="AB444" s="264"/>
      <c r="AC444" s="269"/>
      <c r="AD444" s="264"/>
      <c r="AE444" s="503"/>
      <c r="AF444" s="504"/>
      <c r="AG444" s="504"/>
      <c r="AH444" s="505"/>
      <c r="AJ444" s="229" t="str">
        <f>IF(OR(A444="",AND(ISNUMBER(FIND("[", A444)), ISNUMBER(FIND("ALL", A444)), ISNUMBER(FIND("]", A444)))),"",MAX(AJ$3:AJ443)+1)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268"/>
      <c r="AA445" s="264"/>
      <c r="AB445" s="264"/>
      <c r="AC445" s="269"/>
      <c r="AD445" s="264"/>
      <c r="AE445" s="503"/>
      <c r="AF445" s="504"/>
      <c r="AG445" s="504"/>
      <c r="AH445" s="505"/>
      <c r="AJ445" s="229" t="str">
        <f>IF(OR(A445="",AND(ISNUMBER(FIND("[", A445)), ISNUMBER(FIND("ALL", A445)), ISNUMBER(FIND("]", A445)))),"",MAX(AJ$3:AJ444)+1)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268"/>
      <c r="AA446" s="264"/>
      <c r="AB446" s="264"/>
      <c r="AC446" s="269"/>
      <c r="AD446" s="264"/>
      <c r="AE446" s="503"/>
      <c r="AF446" s="504"/>
      <c r="AG446" s="504"/>
      <c r="AH446" s="505"/>
      <c r="AJ446" s="229" t="str">
        <f>IF(OR(A446="",AND(ISNUMBER(FIND("[", A446)), ISNUMBER(FIND("ALL", A446)), ISNUMBER(FIND("]", A446)))),"",MAX(AJ$3:AJ445)+1)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268"/>
      <c r="AA447" s="264"/>
      <c r="AB447" s="264"/>
      <c r="AC447" s="269"/>
      <c r="AD447" s="264"/>
      <c r="AE447" s="503"/>
      <c r="AF447" s="504"/>
      <c r="AG447" s="504"/>
      <c r="AH447" s="505"/>
      <c r="AJ447" s="229" t="str">
        <f>IF(OR(A447="",AND(ISNUMBER(FIND("[", A447)), ISNUMBER(FIND("ALL", A447)), ISNUMBER(FIND("]", A447)))),"",MAX(AJ$3:AJ446)+1)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268"/>
      <c r="AA448" s="264"/>
      <c r="AB448" s="264"/>
      <c r="AC448" s="269"/>
      <c r="AD448" s="264"/>
      <c r="AE448" s="503"/>
      <c r="AF448" s="504"/>
      <c r="AG448" s="504"/>
      <c r="AH448" s="505"/>
      <c r="AJ448" s="229" t="str">
        <f>IF(OR(A448="",AND(ISNUMBER(FIND("[", A448)), ISNUMBER(FIND("ALL", A448)), ISNUMBER(FIND("]", A448)))),"",MAX(AJ$3:AJ447)+1)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268"/>
      <c r="AA449" s="264"/>
      <c r="AB449" s="264"/>
      <c r="AC449" s="269"/>
      <c r="AD449" s="264"/>
      <c r="AE449" s="503"/>
      <c r="AF449" s="504"/>
      <c r="AG449" s="504"/>
      <c r="AH449" s="505"/>
      <c r="AJ449" s="229" t="str">
        <f>IF(OR(A449="",AND(ISNUMBER(FIND("[", A449)), ISNUMBER(FIND("ALL", A449)), ISNUMBER(FIND("]", A449)))),"",MAX(AJ$3:AJ448)+1)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268"/>
      <c r="AA450" s="264"/>
      <c r="AB450" s="264"/>
      <c r="AC450" s="269"/>
      <c r="AD450" s="264"/>
      <c r="AE450" s="503"/>
      <c r="AF450" s="504"/>
      <c r="AG450" s="504"/>
      <c r="AH450" s="505"/>
      <c r="AJ450" s="229" t="str">
        <f>IF(OR(A450="",AND(ISNUMBER(FIND("[", A450)), ISNUMBER(FIND("ALL", A450)), ISNUMBER(FIND("]", A450)))),"",MAX(AJ$3:AJ449)+1)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268"/>
      <c r="AA451" s="264"/>
      <c r="AB451" s="264"/>
      <c r="AC451" s="269"/>
      <c r="AD451" s="264"/>
      <c r="AE451" s="503"/>
      <c r="AF451" s="504"/>
      <c r="AG451" s="504"/>
      <c r="AH451" s="505"/>
      <c r="AJ451" s="229" t="str">
        <f>IF(OR(A451="",AND(ISNUMBER(FIND("[", A451)), ISNUMBER(FIND("ALL", A451)), ISNUMBER(FIND("]", A451)))),"",MAX(AJ$3:AJ450)+1)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268"/>
      <c r="AA452" s="264"/>
      <c r="AB452" s="264"/>
      <c r="AC452" s="269"/>
      <c r="AD452" s="264"/>
      <c r="AE452" s="503"/>
      <c r="AF452" s="504"/>
      <c r="AG452" s="504"/>
      <c r="AH452" s="505"/>
      <c r="AJ452" s="229" t="str">
        <f>IF(OR(A452="",AND(ISNUMBER(FIND("[", A452)), ISNUMBER(FIND("ALL", A452)), ISNUMBER(FIND("]", A452)))),"",MAX(AJ$3:AJ451)+1)</f>
        <v/>
      </c>
      <c r="AK452" s="229" t="str">
        <f t="shared" ref="AK452:AK515" si="7">IFERROR(INDEX($A$4:$A$1000,MATCH(ROW()-ROW($AK$3),$AJ$4:$AJ$1000,0)),"")</f>
        <v/>
      </c>
    </row>
    <row r="453" spans="1:37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268"/>
      <c r="AA453" s="264"/>
      <c r="AB453" s="264"/>
      <c r="AC453" s="269"/>
      <c r="AD453" s="264"/>
      <c r="AE453" s="503"/>
      <c r="AF453" s="504"/>
      <c r="AG453" s="504"/>
      <c r="AH453" s="505"/>
      <c r="AJ453" s="229" t="str">
        <f>IF(OR(A453="",AND(ISNUMBER(FIND("[", A453)), ISNUMBER(FIND("ALL", A453)), ISNUMBER(FIND("]", A453)))),"",MAX(AJ$3:AJ452)+1)</f>
        <v/>
      </c>
      <c r="AK453" s="229" t="str">
        <f t="shared" si="7"/>
        <v/>
      </c>
    </row>
    <row r="454" spans="1:37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268"/>
      <c r="AA454" s="264"/>
      <c r="AB454" s="264"/>
      <c r="AC454" s="269"/>
      <c r="AD454" s="264"/>
      <c r="AE454" s="503"/>
      <c r="AF454" s="504"/>
      <c r="AG454" s="504"/>
      <c r="AH454" s="505"/>
      <c r="AJ454" s="229" t="str">
        <f>IF(OR(A454="",AND(ISNUMBER(FIND("[", A454)), ISNUMBER(FIND("ALL", A454)), ISNUMBER(FIND("]", A454)))),"",MAX(AJ$3:AJ453)+1)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268"/>
      <c r="AA455" s="264"/>
      <c r="AB455" s="264"/>
      <c r="AC455" s="269"/>
      <c r="AD455" s="264"/>
      <c r="AE455" s="503"/>
      <c r="AF455" s="504"/>
      <c r="AG455" s="504"/>
      <c r="AH455" s="505"/>
      <c r="AJ455" s="229" t="str">
        <f>IF(OR(A455="",AND(ISNUMBER(FIND("[", A455)), ISNUMBER(FIND("ALL", A455)), ISNUMBER(FIND("]", A455)))),"",MAX(AJ$3:AJ454)+1)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268"/>
      <c r="AA456" s="264"/>
      <c r="AB456" s="264"/>
      <c r="AC456" s="269"/>
      <c r="AD456" s="264"/>
      <c r="AE456" s="503"/>
      <c r="AF456" s="504"/>
      <c r="AG456" s="504"/>
      <c r="AH456" s="505"/>
      <c r="AJ456" s="229" t="str">
        <f>IF(OR(A456="",AND(ISNUMBER(FIND("[", A456)), ISNUMBER(FIND("ALL", A456)), ISNUMBER(FIND("]", A456)))),"",MAX(AJ$3:AJ455)+1)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268"/>
      <c r="AA457" s="264"/>
      <c r="AB457" s="264"/>
      <c r="AC457" s="269"/>
      <c r="AD457" s="264"/>
      <c r="AE457" s="503"/>
      <c r="AF457" s="504"/>
      <c r="AG457" s="504"/>
      <c r="AH457" s="505"/>
      <c r="AJ457" s="229" t="str">
        <f>IF(OR(A457="",AND(ISNUMBER(FIND("[", A457)), ISNUMBER(FIND("ALL", A457)), ISNUMBER(FIND("]", A457)))),"",MAX(AJ$3:AJ456)+1)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268"/>
      <c r="AA458" s="264"/>
      <c r="AB458" s="264"/>
      <c r="AC458" s="269"/>
      <c r="AD458" s="264"/>
      <c r="AE458" s="503"/>
      <c r="AF458" s="504"/>
      <c r="AG458" s="504"/>
      <c r="AH458" s="505"/>
      <c r="AJ458" s="229" t="str">
        <f>IF(OR(A458="",AND(ISNUMBER(FIND("[", A458)), ISNUMBER(FIND("ALL", A458)), ISNUMBER(FIND("]", A458)))),"",MAX(AJ$3:AJ457)+1)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268"/>
      <c r="AA459" s="264"/>
      <c r="AB459" s="264"/>
      <c r="AC459" s="269"/>
      <c r="AD459" s="264"/>
      <c r="AE459" s="503"/>
      <c r="AF459" s="504"/>
      <c r="AG459" s="504"/>
      <c r="AH459" s="505"/>
      <c r="AJ459" s="229" t="str">
        <f>IF(OR(A459="",AND(ISNUMBER(FIND("[", A459)), ISNUMBER(FIND("ALL", A459)), ISNUMBER(FIND("]", A459)))),"",MAX(AJ$3:AJ458)+1)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268"/>
      <c r="AA460" s="264"/>
      <c r="AB460" s="264"/>
      <c r="AC460" s="269"/>
      <c r="AD460" s="264"/>
      <c r="AE460" s="503"/>
      <c r="AF460" s="504"/>
      <c r="AG460" s="504"/>
      <c r="AH460" s="505"/>
      <c r="AJ460" s="229" t="str">
        <f>IF(OR(A460="",AND(ISNUMBER(FIND("[", A460)), ISNUMBER(FIND("ALL", A460)), ISNUMBER(FIND("]", A460)))),"",MAX(AJ$3:AJ459)+1)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268"/>
      <c r="AA461" s="264"/>
      <c r="AB461" s="264"/>
      <c r="AC461" s="269"/>
      <c r="AD461" s="264"/>
      <c r="AE461" s="503"/>
      <c r="AF461" s="504"/>
      <c r="AG461" s="504"/>
      <c r="AH461" s="505"/>
      <c r="AJ461" s="229" t="str">
        <f>IF(OR(A461="",AND(ISNUMBER(FIND("[", A461)), ISNUMBER(FIND("ALL", A461)), ISNUMBER(FIND("]", A461)))),"",MAX(AJ$3:AJ460)+1)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268"/>
      <c r="AA462" s="264"/>
      <c r="AB462" s="264"/>
      <c r="AC462" s="269"/>
      <c r="AD462" s="264"/>
      <c r="AE462" s="503"/>
      <c r="AF462" s="504"/>
      <c r="AG462" s="504"/>
      <c r="AH462" s="505"/>
      <c r="AJ462" s="229" t="str">
        <f>IF(OR(A462="",AND(ISNUMBER(FIND("[", A462)), ISNUMBER(FIND("ALL", A462)), ISNUMBER(FIND("]", A462)))),"",MAX(AJ$3:AJ461)+1)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268"/>
      <c r="AA463" s="264"/>
      <c r="AB463" s="264"/>
      <c r="AC463" s="269"/>
      <c r="AD463" s="264"/>
      <c r="AE463" s="503"/>
      <c r="AF463" s="504"/>
      <c r="AG463" s="504"/>
      <c r="AH463" s="505"/>
      <c r="AJ463" s="229" t="str">
        <f>IF(OR(A463="",AND(ISNUMBER(FIND("[", A463)), ISNUMBER(FIND("ALL", A463)), ISNUMBER(FIND("]", A463)))),"",MAX(AJ$3:AJ462)+1)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268"/>
      <c r="AA464" s="264"/>
      <c r="AB464" s="264"/>
      <c r="AC464" s="269"/>
      <c r="AD464" s="264"/>
      <c r="AE464" s="503"/>
      <c r="AF464" s="504"/>
      <c r="AG464" s="504"/>
      <c r="AH464" s="505"/>
      <c r="AJ464" s="229" t="str">
        <f>IF(OR(A464="",AND(ISNUMBER(FIND("[", A464)), ISNUMBER(FIND("ALL", A464)), ISNUMBER(FIND("]", A464)))),"",MAX(AJ$3:AJ463)+1)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268"/>
      <c r="AA465" s="264"/>
      <c r="AB465" s="264"/>
      <c r="AC465" s="269"/>
      <c r="AD465" s="264"/>
      <c r="AE465" s="503"/>
      <c r="AF465" s="504"/>
      <c r="AG465" s="504"/>
      <c r="AH465" s="505"/>
      <c r="AJ465" s="229" t="str">
        <f>IF(OR(A465="",AND(ISNUMBER(FIND("[", A465)), ISNUMBER(FIND("ALL", A465)), ISNUMBER(FIND("]", A465)))),"",MAX(AJ$3:AJ464)+1)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268"/>
      <c r="AA466" s="264"/>
      <c r="AB466" s="264"/>
      <c r="AC466" s="269"/>
      <c r="AD466" s="264"/>
      <c r="AE466" s="503"/>
      <c r="AF466" s="504"/>
      <c r="AG466" s="504"/>
      <c r="AH466" s="505"/>
      <c r="AJ466" s="229" t="str">
        <f>IF(OR(A466="",AND(ISNUMBER(FIND("[", A466)), ISNUMBER(FIND("ALL", A466)), ISNUMBER(FIND("]", A466)))),"",MAX(AJ$3:AJ465)+1)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268"/>
      <c r="AA467" s="264"/>
      <c r="AB467" s="264"/>
      <c r="AC467" s="269"/>
      <c r="AD467" s="264"/>
      <c r="AE467" s="503"/>
      <c r="AF467" s="504"/>
      <c r="AG467" s="504"/>
      <c r="AH467" s="505"/>
      <c r="AJ467" s="229" t="str">
        <f>IF(OR(A467="",AND(ISNUMBER(FIND("[", A467)), ISNUMBER(FIND("ALL", A467)), ISNUMBER(FIND("]", A467)))),"",MAX(AJ$3:AJ466)+1)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268"/>
      <c r="AA468" s="264"/>
      <c r="AB468" s="264"/>
      <c r="AC468" s="269"/>
      <c r="AD468" s="264"/>
      <c r="AE468" s="503"/>
      <c r="AF468" s="504"/>
      <c r="AG468" s="504"/>
      <c r="AH468" s="505"/>
      <c r="AJ468" s="229" t="str">
        <f>IF(OR(A468="",AND(ISNUMBER(FIND("[", A468)), ISNUMBER(FIND("ALL", A468)), ISNUMBER(FIND("]", A468)))),"",MAX(AJ$3:AJ467)+1)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268"/>
      <c r="AA469" s="264"/>
      <c r="AB469" s="264"/>
      <c r="AC469" s="269"/>
      <c r="AD469" s="264"/>
      <c r="AE469" s="503"/>
      <c r="AF469" s="504"/>
      <c r="AG469" s="504"/>
      <c r="AH469" s="505"/>
      <c r="AJ469" s="229" t="str">
        <f>IF(OR(A469="",AND(ISNUMBER(FIND("[", A469)), ISNUMBER(FIND("ALL", A469)), ISNUMBER(FIND("]", A469)))),"",MAX(AJ$3:AJ468)+1)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268"/>
      <c r="AA470" s="264"/>
      <c r="AB470" s="264"/>
      <c r="AC470" s="269"/>
      <c r="AD470" s="264"/>
      <c r="AE470" s="503"/>
      <c r="AF470" s="504"/>
      <c r="AG470" s="504"/>
      <c r="AH470" s="505"/>
      <c r="AJ470" s="229" t="str">
        <f>IF(OR(A470="",AND(ISNUMBER(FIND("[", A470)), ISNUMBER(FIND("ALL", A470)), ISNUMBER(FIND("]", A470)))),"",MAX(AJ$3:AJ469)+1)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268"/>
      <c r="AA471" s="264"/>
      <c r="AB471" s="264"/>
      <c r="AC471" s="269"/>
      <c r="AD471" s="264"/>
      <c r="AE471" s="503"/>
      <c r="AF471" s="504"/>
      <c r="AG471" s="504"/>
      <c r="AH471" s="505"/>
      <c r="AJ471" s="229" t="str">
        <f>IF(OR(A471="",AND(ISNUMBER(FIND("[", A471)), ISNUMBER(FIND("ALL", A471)), ISNUMBER(FIND("]", A471)))),"",MAX(AJ$3:AJ470)+1)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268"/>
      <c r="AA472" s="264"/>
      <c r="AB472" s="264"/>
      <c r="AC472" s="269"/>
      <c r="AD472" s="264"/>
      <c r="AE472" s="503"/>
      <c r="AF472" s="504"/>
      <c r="AG472" s="504"/>
      <c r="AH472" s="505"/>
      <c r="AJ472" s="229" t="str">
        <f>IF(OR(A472="",AND(ISNUMBER(FIND("[", A472)), ISNUMBER(FIND("ALL", A472)), ISNUMBER(FIND("]", A472)))),"",MAX(AJ$3:AJ471)+1)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268"/>
      <c r="AA473" s="264"/>
      <c r="AB473" s="264"/>
      <c r="AC473" s="269"/>
      <c r="AD473" s="264"/>
      <c r="AE473" s="503"/>
      <c r="AF473" s="504"/>
      <c r="AG473" s="504"/>
      <c r="AH473" s="505"/>
      <c r="AJ473" s="229" t="str">
        <f>IF(OR(A473="",AND(ISNUMBER(FIND("[", A473)), ISNUMBER(FIND("ALL", A473)), ISNUMBER(FIND("]", A473)))),"",MAX(AJ$3:AJ472)+1)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268"/>
      <c r="AA474" s="264"/>
      <c r="AB474" s="264"/>
      <c r="AC474" s="269"/>
      <c r="AD474" s="264"/>
      <c r="AE474" s="503"/>
      <c r="AF474" s="504"/>
      <c r="AG474" s="504"/>
      <c r="AH474" s="505"/>
      <c r="AJ474" s="229" t="str">
        <f>IF(OR(A474="",AND(ISNUMBER(FIND("[", A474)), ISNUMBER(FIND("ALL", A474)), ISNUMBER(FIND("]", A474)))),"",MAX(AJ$3:AJ473)+1)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268"/>
      <c r="AA475" s="264"/>
      <c r="AB475" s="264"/>
      <c r="AC475" s="269"/>
      <c r="AD475" s="264"/>
      <c r="AE475" s="503"/>
      <c r="AF475" s="504"/>
      <c r="AG475" s="504"/>
      <c r="AH475" s="505"/>
      <c r="AJ475" s="229" t="str">
        <f>IF(OR(A475="",AND(ISNUMBER(FIND("[", A475)), ISNUMBER(FIND("ALL", A475)), ISNUMBER(FIND("]", A475)))),"",MAX(AJ$3:AJ474)+1)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268"/>
      <c r="AA476" s="264"/>
      <c r="AB476" s="264"/>
      <c r="AC476" s="269"/>
      <c r="AD476" s="264"/>
      <c r="AE476" s="503"/>
      <c r="AF476" s="504"/>
      <c r="AG476" s="504"/>
      <c r="AH476" s="505"/>
      <c r="AJ476" s="229" t="str">
        <f>IF(OR(A476="",AND(ISNUMBER(FIND("[", A476)), ISNUMBER(FIND("ALL", A476)), ISNUMBER(FIND("]", A476)))),"",MAX(AJ$3:AJ475)+1)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268"/>
      <c r="AA477" s="264"/>
      <c r="AB477" s="264"/>
      <c r="AC477" s="269"/>
      <c r="AD477" s="264"/>
      <c r="AE477" s="503"/>
      <c r="AF477" s="504"/>
      <c r="AG477" s="504"/>
      <c r="AH477" s="505"/>
      <c r="AJ477" s="229" t="str">
        <f>IF(OR(A477="",AND(ISNUMBER(FIND("[", A477)), ISNUMBER(FIND("ALL", A477)), ISNUMBER(FIND("]", A477)))),"",MAX(AJ$3:AJ476)+1)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268"/>
      <c r="AA478" s="264"/>
      <c r="AB478" s="264"/>
      <c r="AC478" s="269"/>
      <c r="AD478" s="264"/>
      <c r="AE478" s="503"/>
      <c r="AF478" s="504"/>
      <c r="AG478" s="504"/>
      <c r="AH478" s="505"/>
      <c r="AJ478" s="229" t="str">
        <f>IF(OR(A478="",AND(ISNUMBER(FIND("[", A478)), ISNUMBER(FIND("ALL", A478)), ISNUMBER(FIND("]", A478)))),"",MAX(AJ$3:AJ477)+1)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268"/>
      <c r="AA479" s="264"/>
      <c r="AB479" s="264"/>
      <c r="AC479" s="269"/>
      <c r="AD479" s="264"/>
      <c r="AE479" s="503"/>
      <c r="AF479" s="504"/>
      <c r="AG479" s="504"/>
      <c r="AH479" s="505"/>
      <c r="AJ479" s="229" t="str">
        <f>IF(OR(A479="",AND(ISNUMBER(FIND("[", A479)), ISNUMBER(FIND("ALL", A479)), ISNUMBER(FIND("]", A479)))),"",MAX(AJ$3:AJ478)+1)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268"/>
      <c r="AA480" s="264"/>
      <c r="AB480" s="264"/>
      <c r="AC480" s="269"/>
      <c r="AD480" s="264"/>
      <c r="AE480" s="503"/>
      <c r="AF480" s="504"/>
      <c r="AG480" s="504"/>
      <c r="AH480" s="505"/>
      <c r="AJ480" s="229" t="str">
        <f>IF(OR(A480="",AND(ISNUMBER(FIND("[", A480)), ISNUMBER(FIND("ALL", A480)), ISNUMBER(FIND("]", A480)))),"",MAX(AJ$3:AJ479)+1)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268"/>
      <c r="AA481" s="264"/>
      <c r="AB481" s="264"/>
      <c r="AC481" s="269"/>
      <c r="AD481" s="264"/>
      <c r="AE481" s="503"/>
      <c r="AF481" s="504"/>
      <c r="AG481" s="504"/>
      <c r="AH481" s="505"/>
      <c r="AJ481" s="229" t="str">
        <f>IF(OR(A481="",AND(ISNUMBER(FIND("[", A481)), ISNUMBER(FIND("ALL", A481)), ISNUMBER(FIND("]", A481)))),"",MAX(AJ$3:AJ480)+1)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268"/>
      <c r="AA482" s="264"/>
      <c r="AB482" s="264"/>
      <c r="AC482" s="269"/>
      <c r="AD482" s="264"/>
      <c r="AE482" s="503"/>
      <c r="AF482" s="504"/>
      <c r="AG482" s="504"/>
      <c r="AH482" s="505"/>
      <c r="AJ482" s="229" t="str">
        <f>IF(OR(A482="",AND(ISNUMBER(FIND("[", A482)), ISNUMBER(FIND("ALL", A482)), ISNUMBER(FIND("]", A482)))),"",MAX(AJ$3:AJ481)+1)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268"/>
      <c r="AA483" s="264"/>
      <c r="AB483" s="264"/>
      <c r="AC483" s="269"/>
      <c r="AD483" s="264"/>
      <c r="AE483" s="503"/>
      <c r="AF483" s="504"/>
      <c r="AG483" s="504"/>
      <c r="AH483" s="505"/>
      <c r="AJ483" s="229" t="str">
        <f>IF(OR(A483="",AND(ISNUMBER(FIND("[", A483)), ISNUMBER(FIND("ALL", A483)), ISNUMBER(FIND("]", A483)))),"",MAX(AJ$3:AJ482)+1)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268"/>
      <c r="AA484" s="264"/>
      <c r="AB484" s="264"/>
      <c r="AC484" s="269"/>
      <c r="AD484" s="264"/>
      <c r="AE484" s="503"/>
      <c r="AF484" s="504"/>
      <c r="AG484" s="504"/>
      <c r="AH484" s="505"/>
      <c r="AJ484" s="229" t="str">
        <f>IF(OR(A484="",AND(ISNUMBER(FIND("[", A484)), ISNUMBER(FIND("ALL", A484)), ISNUMBER(FIND("]", A484)))),"",MAX(AJ$3:AJ483)+1)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268"/>
      <c r="AA485" s="264"/>
      <c r="AB485" s="264"/>
      <c r="AC485" s="269"/>
      <c r="AD485" s="264"/>
      <c r="AE485" s="503"/>
      <c r="AF485" s="504"/>
      <c r="AG485" s="504"/>
      <c r="AH485" s="505"/>
      <c r="AJ485" s="229" t="str">
        <f>IF(OR(A485="",AND(ISNUMBER(FIND("[", A485)), ISNUMBER(FIND("ALL", A485)), ISNUMBER(FIND("]", A485)))),"",MAX(AJ$3:AJ484)+1)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268"/>
      <c r="AA486" s="264"/>
      <c r="AB486" s="264"/>
      <c r="AC486" s="269"/>
      <c r="AD486" s="264"/>
      <c r="AE486" s="503"/>
      <c r="AF486" s="504"/>
      <c r="AG486" s="504"/>
      <c r="AH486" s="505"/>
      <c r="AJ486" s="229" t="str">
        <f>IF(OR(A486="",AND(ISNUMBER(FIND("[", A486)), ISNUMBER(FIND("ALL", A486)), ISNUMBER(FIND("]", A486)))),"",MAX(AJ$3:AJ485)+1)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268"/>
      <c r="AA487" s="264"/>
      <c r="AB487" s="264"/>
      <c r="AC487" s="269"/>
      <c r="AD487" s="264"/>
      <c r="AE487" s="503"/>
      <c r="AF487" s="504"/>
      <c r="AG487" s="504"/>
      <c r="AH487" s="505"/>
      <c r="AJ487" s="229" t="str">
        <f>IF(OR(A487="",AND(ISNUMBER(FIND("[", A487)), ISNUMBER(FIND("ALL", A487)), ISNUMBER(FIND("]", A487)))),"",MAX(AJ$3:AJ486)+1)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268"/>
      <c r="AA488" s="264"/>
      <c r="AB488" s="264"/>
      <c r="AC488" s="269"/>
      <c r="AD488" s="264"/>
      <c r="AE488" s="503"/>
      <c r="AF488" s="504"/>
      <c r="AG488" s="504"/>
      <c r="AH488" s="505"/>
      <c r="AJ488" s="229" t="str">
        <f>IF(OR(A488="",AND(ISNUMBER(FIND("[", A488)), ISNUMBER(FIND("ALL", A488)), ISNUMBER(FIND("]", A488)))),"",MAX(AJ$3:AJ487)+1)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268"/>
      <c r="AA489" s="264"/>
      <c r="AB489" s="264"/>
      <c r="AC489" s="269"/>
      <c r="AD489" s="264"/>
      <c r="AE489" s="503"/>
      <c r="AF489" s="504"/>
      <c r="AG489" s="504"/>
      <c r="AH489" s="505"/>
      <c r="AJ489" s="229" t="str">
        <f>IF(OR(A489="",AND(ISNUMBER(FIND("[", A489)), ISNUMBER(FIND("ALL", A489)), ISNUMBER(FIND("]", A489)))),"",MAX(AJ$3:AJ488)+1)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268"/>
      <c r="AA490" s="264"/>
      <c r="AB490" s="264"/>
      <c r="AC490" s="269"/>
      <c r="AD490" s="264"/>
      <c r="AE490" s="503"/>
      <c r="AF490" s="504"/>
      <c r="AG490" s="504"/>
      <c r="AH490" s="505"/>
      <c r="AJ490" s="229" t="str">
        <f>IF(OR(A490="",AND(ISNUMBER(FIND("[", A490)), ISNUMBER(FIND("ALL", A490)), ISNUMBER(FIND("]", A490)))),"",MAX(AJ$3:AJ489)+1)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268"/>
      <c r="AA491" s="264"/>
      <c r="AB491" s="264"/>
      <c r="AC491" s="269"/>
      <c r="AD491" s="264"/>
      <c r="AE491" s="503"/>
      <c r="AF491" s="504"/>
      <c r="AG491" s="504"/>
      <c r="AH491" s="505"/>
      <c r="AJ491" s="229" t="str">
        <f>IF(OR(A491="",AND(ISNUMBER(FIND("[", A491)), ISNUMBER(FIND("ALL", A491)), ISNUMBER(FIND("]", A491)))),"",MAX(AJ$3:AJ490)+1)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268"/>
      <c r="AA492" s="264"/>
      <c r="AB492" s="264"/>
      <c r="AC492" s="269"/>
      <c r="AD492" s="264"/>
      <c r="AE492" s="503"/>
      <c r="AF492" s="504"/>
      <c r="AG492" s="504"/>
      <c r="AH492" s="505"/>
      <c r="AJ492" s="229" t="str">
        <f>IF(OR(A492="",AND(ISNUMBER(FIND("[", A492)), ISNUMBER(FIND("ALL", A492)), ISNUMBER(FIND("]", A492)))),"",MAX(AJ$3:AJ491)+1)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268"/>
      <c r="AA493" s="264"/>
      <c r="AB493" s="264"/>
      <c r="AC493" s="269"/>
      <c r="AD493" s="264"/>
      <c r="AE493" s="503"/>
      <c r="AF493" s="504"/>
      <c r="AG493" s="504"/>
      <c r="AH493" s="505"/>
      <c r="AJ493" s="229" t="str">
        <f>IF(OR(A493="",AND(ISNUMBER(FIND("[", A493)), ISNUMBER(FIND("ALL", A493)), ISNUMBER(FIND("]", A493)))),"",MAX(AJ$3:AJ492)+1)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268"/>
      <c r="AA494" s="264"/>
      <c r="AB494" s="264"/>
      <c r="AC494" s="269"/>
      <c r="AD494" s="264"/>
      <c r="AE494" s="503"/>
      <c r="AF494" s="504"/>
      <c r="AG494" s="504"/>
      <c r="AH494" s="505"/>
      <c r="AJ494" s="229" t="str">
        <f>IF(OR(A494="",AND(ISNUMBER(FIND("[", A494)), ISNUMBER(FIND("ALL", A494)), ISNUMBER(FIND("]", A494)))),"",MAX(AJ$3:AJ493)+1)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268"/>
      <c r="AA495" s="264"/>
      <c r="AB495" s="264"/>
      <c r="AC495" s="269"/>
      <c r="AD495" s="264"/>
      <c r="AE495" s="503"/>
      <c r="AF495" s="504"/>
      <c r="AG495" s="504"/>
      <c r="AH495" s="505"/>
      <c r="AJ495" s="229" t="str">
        <f>IF(OR(A495="",AND(ISNUMBER(FIND("[", A495)), ISNUMBER(FIND("ALL", A495)), ISNUMBER(FIND("]", A495)))),"",MAX(AJ$3:AJ494)+1)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268"/>
      <c r="AA496" s="264"/>
      <c r="AB496" s="264"/>
      <c r="AC496" s="269"/>
      <c r="AD496" s="264"/>
      <c r="AE496" s="503"/>
      <c r="AF496" s="504"/>
      <c r="AG496" s="504"/>
      <c r="AH496" s="505"/>
      <c r="AJ496" s="229" t="str">
        <f>IF(OR(A496="",AND(ISNUMBER(FIND("[", A496)), ISNUMBER(FIND("ALL", A496)), ISNUMBER(FIND("]", A496)))),"",MAX(AJ$3:AJ495)+1)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268"/>
      <c r="AA497" s="264"/>
      <c r="AB497" s="264"/>
      <c r="AC497" s="269"/>
      <c r="AD497" s="264"/>
      <c r="AE497" s="503"/>
      <c r="AF497" s="504"/>
      <c r="AG497" s="504"/>
      <c r="AH497" s="505"/>
      <c r="AJ497" s="229" t="str">
        <f>IF(OR(A497="",AND(ISNUMBER(FIND("[", A497)), ISNUMBER(FIND("ALL", A497)), ISNUMBER(FIND("]", A497)))),"",MAX(AJ$3:AJ496)+1)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268"/>
      <c r="AA498" s="264"/>
      <c r="AB498" s="264"/>
      <c r="AC498" s="269"/>
      <c r="AD498" s="264"/>
      <c r="AE498" s="503"/>
      <c r="AF498" s="504"/>
      <c r="AG498" s="504"/>
      <c r="AH498" s="505"/>
      <c r="AJ498" s="229" t="str">
        <f>IF(OR(A498="",AND(ISNUMBER(FIND("[", A498)), ISNUMBER(FIND("ALL", A498)), ISNUMBER(FIND("]", A498)))),"",MAX(AJ$3:AJ497)+1)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268"/>
      <c r="AA499" s="264"/>
      <c r="AB499" s="264"/>
      <c r="AC499" s="269"/>
      <c r="AD499" s="264"/>
      <c r="AE499" s="503"/>
      <c r="AF499" s="504"/>
      <c r="AG499" s="504"/>
      <c r="AH499" s="505"/>
      <c r="AJ499" s="229" t="str">
        <f>IF(OR(A499="",AND(ISNUMBER(FIND("[", A499)), ISNUMBER(FIND("ALL", A499)), ISNUMBER(FIND("]", A499)))),"",MAX(AJ$3:AJ498)+1)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268"/>
      <c r="AA500" s="264"/>
      <c r="AB500" s="264"/>
      <c r="AC500" s="269"/>
      <c r="AD500" s="264"/>
      <c r="AE500" s="503"/>
      <c r="AF500" s="504"/>
      <c r="AG500" s="504"/>
      <c r="AH500" s="505"/>
      <c r="AJ500" s="229" t="str">
        <f>IF(OR(A500="",AND(ISNUMBER(FIND("[", A500)), ISNUMBER(FIND("ALL", A500)), ISNUMBER(FIND("]", A500)))),"",MAX(AJ$3:AJ499)+1)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268"/>
      <c r="AA501" s="264"/>
      <c r="AB501" s="264"/>
      <c r="AC501" s="269"/>
      <c r="AD501" s="264"/>
      <c r="AE501" s="503"/>
      <c r="AF501" s="504"/>
      <c r="AG501" s="504"/>
      <c r="AH501" s="505"/>
      <c r="AJ501" s="229" t="str">
        <f>IF(OR(A501="",AND(ISNUMBER(FIND("[", A501)), ISNUMBER(FIND("ALL", A501)), ISNUMBER(FIND("]", A501)))),"",MAX(AJ$3:AJ500)+1)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268"/>
      <c r="AA502" s="264"/>
      <c r="AB502" s="264"/>
      <c r="AC502" s="269"/>
      <c r="AD502" s="264"/>
      <c r="AE502" s="503"/>
      <c r="AF502" s="504"/>
      <c r="AG502" s="504"/>
      <c r="AH502" s="505"/>
      <c r="AJ502" s="229" t="str">
        <f>IF(OR(A502="",AND(ISNUMBER(FIND("[", A502)), ISNUMBER(FIND("ALL", A502)), ISNUMBER(FIND("]", A502)))),"",MAX(AJ$3:AJ501)+1)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268"/>
      <c r="AA503" s="264"/>
      <c r="AB503" s="264"/>
      <c r="AC503" s="269"/>
      <c r="AD503" s="264"/>
      <c r="AE503" s="503"/>
      <c r="AF503" s="504"/>
      <c r="AG503" s="504"/>
      <c r="AH503" s="505"/>
      <c r="AJ503" s="229" t="str">
        <f>IF(OR(A503="",AND(ISNUMBER(FIND("[", A503)), ISNUMBER(FIND("ALL", A503)), ISNUMBER(FIND("]", A503)))),"",MAX(AJ$3:AJ502)+1)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268"/>
      <c r="AA504" s="264"/>
      <c r="AB504" s="264"/>
      <c r="AC504" s="269"/>
      <c r="AD504" s="264"/>
      <c r="AE504" s="503"/>
      <c r="AF504" s="504"/>
      <c r="AG504" s="504"/>
      <c r="AH504" s="505"/>
      <c r="AJ504" s="229" t="str">
        <f>IF(OR(A504="",AND(ISNUMBER(FIND("[", A504)), ISNUMBER(FIND("ALL", A504)), ISNUMBER(FIND("]", A504)))),"",MAX(AJ$3:AJ503)+1)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268"/>
      <c r="AA505" s="264"/>
      <c r="AB505" s="264"/>
      <c r="AC505" s="269"/>
      <c r="AD505" s="264"/>
      <c r="AE505" s="503"/>
      <c r="AF505" s="504"/>
      <c r="AG505" s="504"/>
      <c r="AH505" s="505"/>
      <c r="AJ505" s="229" t="str">
        <f>IF(OR(A505="",AND(ISNUMBER(FIND("[", A505)), ISNUMBER(FIND("ALL", A505)), ISNUMBER(FIND("]", A505)))),"",MAX(AJ$3:AJ504)+1)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268"/>
      <c r="AA506" s="264"/>
      <c r="AB506" s="264"/>
      <c r="AC506" s="269"/>
      <c r="AD506" s="264"/>
      <c r="AE506" s="503"/>
      <c r="AF506" s="504"/>
      <c r="AG506" s="504"/>
      <c r="AH506" s="505"/>
      <c r="AJ506" s="229" t="str">
        <f>IF(OR(A506="",AND(ISNUMBER(FIND("[", A506)), ISNUMBER(FIND("ALL", A506)), ISNUMBER(FIND("]", A506)))),"",MAX(AJ$3:AJ505)+1)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268"/>
      <c r="AA507" s="264"/>
      <c r="AB507" s="264"/>
      <c r="AC507" s="269"/>
      <c r="AD507" s="264"/>
      <c r="AE507" s="503"/>
      <c r="AF507" s="504"/>
      <c r="AG507" s="504"/>
      <c r="AH507" s="505"/>
      <c r="AJ507" s="229" t="str">
        <f>IF(OR(A507="",AND(ISNUMBER(FIND("[", A507)), ISNUMBER(FIND("ALL", A507)), ISNUMBER(FIND("]", A507)))),"",MAX(AJ$3:AJ506)+1)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268"/>
      <c r="AA508" s="264"/>
      <c r="AB508" s="264"/>
      <c r="AC508" s="269"/>
      <c r="AD508" s="264"/>
      <c r="AE508" s="503"/>
      <c r="AF508" s="504"/>
      <c r="AG508" s="504"/>
      <c r="AH508" s="505"/>
      <c r="AJ508" s="229" t="str">
        <f>IF(OR(A508="",AND(ISNUMBER(FIND("[", A508)), ISNUMBER(FIND("ALL", A508)), ISNUMBER(FIND("]", A508)))),"",MAX(AJ$3:AJ507)+1)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268"/>
      <c r="AA509" s="264"/>
      <c r="AB509" s="264"/>
      <c r="AC509" s="269"/>
      <c r="AD509" s="264"/>
      <c r="AE509" s="503"/>
      <c r="AF509" s="504"/>
      <c r="AG509" s="504"/>
      <c r="AH509" s="505"/>
      <c r="AJ509" s="229" t="str">
        <f>IF(OR(A509="",AND(ISNUMBER(FIND("[", A509)), ISNUMBER(FIND("ALL", A509)), ISNUMBER(FIND("]", A509)))),"",MAX(AJ$3:AJ508)+1)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268"/>
      <c r="AA510" s="264"/>
      <c r="AB510" s="264"/>
      <c r="AC510" s="269"/>
      <c r="AD510" s="264"/>
      <c r="AE510" s="503"/>
      <c r="AF510" s="504"/>
      <c r="AG510" s="504"/>
      <c r="AH510" s="505"/>
      <c r="AJ510" s="229" t="str">
        <f>IF(OR(A510="",AND(ISNUMBER(FIND("[", A510)), ISNUMBER(FIND("ALL", A510)), ISNUMBER(FIND("]", A510)))),"",MAX(AJ$3:AJ509)+1)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268"/>
      <c r="AA511" s="264"/>
      <c r="AB511" s="264"/>
      <c r="AC511" s="269"/>
      <c r="AD511" s="264"/>
      <c r="AE511" s="503"/>
      <c r="AF511" s="504"/>
      <c r="AG511" s="504"/>
      <c r="AH511" s="505"/>
      <c r="AJ511" s="229" t="str">
        <f>IF(OR(A511="",AND(ISNUMBER(FIND("[", A511)), ISNUMBER(FIND("ALL", A511)), ISNUMBER(FIND("]", A511)))),"",MAX(AJ$3:AJ510)+1)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268"/>
      <c r="AA512" s="264"/>
      <c r="AB512" s="264"/>
      <c r="AC512" s="269"/>
      <c r="AD512" s="264"/>
      <c r="AE512" s="503"/>
      <c r="AF512" s="504"/>
      <c r="AG512" s="504"/>
      <c r="AH512" s="505"/>
      <c r="AJ512" s="229" t="str">
        <f>IF(OR(A512="",AND(ISNUMBER(FIND("[", A512)), ISNUMBER(FIND("ALL", A512)), ISNUMBER(FIND("]", A512)))),"",MAX(AJ$3:AJ511)+1)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268"/>
      <c r="AA513" s="264"/>
      <c r="AB513" s="264"/>
      <c r="AC513" s="269"/>
      <c r="AD513" s="264"/>
      <c r="AE513" s="503"/>
      <c r="AF513" s="504"/>
      <c r="AG513" s="504"/>
      <c r="AH513" s="505"/>
      <c r="AJ513" s="229" t="str">
        <f>IF(OR(A513="",AND(ISNUMBER(FIND("[", A513)), ISNUMBER(FIND("ALL", A513)), ISNUMBER(FIND("]", A513)))),"",MAX(AJ$3:AJ512)+1)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268"/>
      <c r="AA514" s="264"/>
      <c r="AB514" s="264"/>
      <c r="AC514" s="269"/>
      <c r="AD514" s="264"/>
      <c r="AE514" s="503"/>
      <c r="AF514" s="504"/>
      <c r="AG514" s="504"/>
      <c r="AH514" s="505"/>
      <c r="AJ514" s="229" t="str">
        <f>IF(OR(A514="",AND(ISNUMBER(FIND("[", A514)), ISNUMBER(FIND("ALL", A514)), ISNUMBER(FIND("]", A514)))),"",MAX(AJ$3:AJ513)+1)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268"/>
      <c r="AA515" s="264"/>
      <c r="AB515" s="264"/>
      <c r="AC515" s="269"/>
      <c r="AD515" s="264"/>
      <c r="AE515" s="503"/>
      <c r="AF515" s="504"/>
      <c r="AG515" s="504"/>
      <c r="AH515" s="505"/>
      <c r="AJ515" s="229" t="str">
        <f>IF(OR(A515="",AND(ISNUMBER(FIND("[", A515)), ISNUMBER(FIND("ALL", A515)), ISNUMBER(FIND("]", A515)))),"",MAX(AJ$3:AJ514)+1)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268"/>
      <c r="AA516" s="264"/>
      <c r="AB516" s="264"/>
      <c r="AC516" s="269"/>
      <c r="AD516" s="264"/>
      <c r="AE516" s="503"/>
      <c r="AF516" s="504"/>
      <c r="AG516" s="504"/>
      <c r="AH516" s="505"/>
      <c r="AJ516" s="229" t="str">
        <f>IF(OR(A516="",AND(ISNUMBER(FIND("[", A516)), ISNUMBER(FIND("ALL", A516)), ISNUMBER(FIND("]", A516)))),"",MAX(AJ$3:AJ515)+1)</f>
        <v/>
      </c>
      <c r="AK516" s="229" t="str">
        <f t="shared" ref="AK516:AK579" si="8">IFERROR(INDEX($A$4:$A$1000,MATCH(ROW()-ROW($AK$3),$AJ$4:$AJ$1000,0)),"")</f>
        <v/>
      </c>
    </row>
    <row r="517" spans="1:37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268"/>
      <c r="AA517" s="264"/>
      <c r="AB517" s="264"/>
      <c r="AC517" s="269"/>
      <c r="AD517" s="264"/>
      <c r="AE517" s="503"/>
      <c r="AF517" s="504"/>
      <c r="AG517" s="504"/>
      <c r="AH517" s="505"/>
      <c r="AJ517" s="229" t="str">
        <f>IF(OR(A517="",AND(ISNUMBER(FIND("[", A517)), ISNUMBER(FIND("ALL", A517)), ISNUMBER(FIND("]", A517)))),"",MAX(AJ$3:AJ516)+1)</f>
        <v/>
      </c>
      <c r="AK517" s="229" t="str">
        <f t="shared" si="8"/>
        <v/>
      </c>
    </row>
    <row r="518" spans="1:37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268"/>
      <c r="AA518" s="264"/>
      <c r="AB518" s="264"/>
      <c r="AC518" s="269"/>
      <c r="AD518" s="264"/>
      <c r="AE518" s="503"/>
      <c r="AF518" s="504"/>
      <c r="AG518" s="504"/>
      <c r="AH518" s="505"/>
      <c r="AJ518" s="229" t="str">
        <f>IF(OR(A518="",AND(ISNUMBER(FIND("[", A518)), ISNUMBER(FIND("ALL", A518)), ISNUMBER(FIND("]", A518)))),"",MAX(AJ$3:AJ517)+1)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268"/>
      <c r="AA519" s="264"/>
      <c r="AB519" s="264"/>
      <c r="AC519" s="269"/>
      <c r="AD519" s="264"/>
      <c r="AE519" s="503"/>
      <c r="AF519" s="504"/>
      <c r="AG519" s="504"/>
      <c r="AH519" s="505"/>
      <c r="AJ519" s="229" t="str">
        <f>IF(OR(A519="",AND(ISNUMBER(FIND("[", A519)), ISNUMBER(FIND("ALL", A519)), ISNUMBER(FIND("]", A519)))),"",MAX(AJ$3:AJ518)+1)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268"/>
      <c r="AA520" s="264"/>
      <c r="AB520" s="264"/>
      <c r="AC520" s="269"/>
      <c r="AD520" s="264"/>
      <c r="AE520" s="503"/>
      <c r="AF520" s="504"/>
      <c r="AG520" s="504"/>
      <c r="AH520" s="505"/>
      <c r="AJ520" s="229" t="str">
        <f>IF(OR(A520="",AND(ISNUMBER(FIND("[", A520)), ISNUMBER(FIND("ALL", A520)), ISNUMBER(FIND("]", A520)))),"",MAX(AJ$3:AJ519)+1)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268"/>
      <c r="AA521" s="264"/>
      <c r="AB521" s="264"/>
      <c r="AC521" s="269"/>
      <c r="AD521" s="264"/>
      <c r="AE521" s="503"/>
      <c r="AF521" s="504"/>
      <c r="AG521" s="504"/>
      <c r="AH521" s="505"/>
      <c r="AJ521" s="229" t="str">
        <f>IF(OR(A521="",AND(ISNUMBER(FIND("[", A521)), ISNUMBER(FIND("ALL", A521)), ISNUMBER(FIND("]", A521)))),"",MAX(AJ$3:AJ520)+1)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268"/>
      <c r="AA522" s="264"/>
      <c r="AB522" s="264"/>
      <c r="AC522" s="269"/>
      <c r="AD522" s="264"/>
      <c r="AE522" s="503"/>
      <c r="AF522" s="504"/>
      <c r="AG522" s="504"/>
      <c r="AH522" s="505"/>
      <c r="AJ522" s="229" t="str">
        <f>IF(OR(A522="",AND(ISNUMBER(FIND("[", A522)), ISNUMBER(FIND("ALL", A522)), ISNUMBER(FIND("]", A522)))),"",MAX(AJ$3:AJ521)+1)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268"/>
      <c r="AA523" s="264"/>
      <c r="AB523" s="264"/>
      <c r="AC523" s="269"/>
      <c r="AD523" s="264"/>
      <c r="AE523" s="503"/>
      <c r="AF523" s="504"/>
      <c r="AG523" s="504"/>
      <c r="AH523" s="505"/>
      <c r="AJ523" s="229" t="str">
        <f>IF(OR(A523="",AND(ISNUMBER(FIND("[", A523)), ISNUMBER(FIND("ALL", A523)), ISNUMBER(FIND("]", A523)))),"",MAX(AJ$3:AJ522)+1)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268"/>
      <c r="AA524" s="264"/>
      <c r="AB524" s="264"/>
      <c r="AC524" s="269"/>
      <c r="AD524" s="264"/>
      <c r="AE524" s="503"/>
      <c r="AF524" s="504"/>
      <c r="AG524" s="504"/>
      <c r="AH524" s="505"/>
      <c r="AJ524" s="229" t="str">
        <f>IF(OR(A524="",AND(ISNUMBER(FIND("[", A524)), ISNUMBER(FIND("ALL", A524)), ISNUMBER(FIND("]", A524)))),"",MAX(AJ$3:AJ523)+1)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268"/>
      <c r="AA525" s="264"/>
      <c r="AB525" s="264"/>
      <c r="AC525" s="269"/>
      <c r="AD525" s="264"/>
      <c r="AE525" s="503"/>
      <c r="AF525" s="504"/>
      <c r="AG525" s="504"/>
      <c r="AH525" s="505"/>
      <c r="AJ525" s="229" t="str">
        <f>IF(OR(A525="",AND(ISNUMBER(FIND("[", A525)), ISNUMBER(FIND("ALL", A525)), ISNUMBER(FIND("]", A525)))),"",MAX(AJ$3:AJ524)+1)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268"/>
      <c r="AA526" s="264"/>
      <c r="AB526" s="264"/>
      <c r="AC526" s="269"/>
      <c r="AD526" s="264"/>
      <c r="AE526" s="503"/>
      <c r="AF526" s="504"/>
      <c r="AG526" s="504"/>
      <c r="AH526" s="505"/>
      <c r="AJ526" s="229" t="str">
        <f>IF(OR(A526="",AND(ISNUMBER(FIND("[", A526)), ISNUMBER(FIND("ALL", A526)), ISNUMBER(FIND("]", A526)))),"",MAX(AJ$3:AJ525)+1)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268"/>
      <c r="AA527" s="264"/>
      <c r="AB527" s="264"/>
      <c r="AC527" s="269"/>
      <c r="AD527" s="264"/>
      <c r="AE527" s="503"/>
      <c r="AF527" s="504"/>
      <c r="AG527" s="504"/>
      <c r="AH527" s="505"/>
      <c r="AJ527" s="229" t="str">
        <f>IF(OR(A527="",AND(ISNUMBER(FIND("[", A527)), ISNUMBER(FIND("ALL", A527)), ISNUMBER(FIND("]", A527)))),"",MAX(AJ$3:AJ526)+1)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268"/>
      <c r="AA528" s="264"/>
      <c r="AB528" s="264"/>
      <c r="AC528" s="269"/>
      <c r="AD528" s="264"/>
      <c r="AE528" s="503"/>
      <c r="AF528" s="504"/>
      <c r="AG528" s="504"/>
      <c r="AH528" s="505"/>
      <c r="AJ528" s="229" t="str">
        <f>IF(OR(A528="",AND(ISNUMBER(FIND("[", A528)), ISNUMBER(FIND("ALL", A528)), ISNUMBER(FIND("]", A528)))),"",MAX(AJ$3:AJ527)+1)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268"/>
      <c r="AA529" s="264"/>
      <c r="AB529" s="264"/>
      <c r="AC529" s="269"/>
      <c r="AD529" s="264"/>
      <c r="AE529" s="503"/>
      <c r="AF529" s="504"/>
      <c r="AG529" s="504"/>
      <c r="AH529" s="505"/>
      <c r="AJ529" s="229" t="str">
        <f>IF(OR(A529="",AND(ISNUMBER(FIND("[", A529)), ISNUMBER(FIND("ALL", A529)), ISNUMBER(FIND("]", A529)))),"",MAX(AJ$3:AJ528)+1)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268"/>
      <c r="AA530" s="264"/>
      <c r="AB530" s="264"/>
      <c r="AC530" s="269"/>
      <c r="AD530" s="264"/>
      <c r="AE530" s="503"/>
      <c r="AF530" s="504"/>
      <c r="AG530" s="504"/>
      <c r="AH530" s="505"/>
      <c r="AJ530" s="229" t="str">
        <f>IF(OR(A530="",AND(ISNUMBER(FIND("[", A530)), ISNUMBER(FIND("ALL", A530)), ISNUMBER(FIND("]", A530)))),"",MAX(AJ$3:AJ529)+1)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268"/>
      <c r="AA531" s="264"/>
      <c r="AB531" s="264"/>
      <c r="AC531" s="269"/>
      <c r="AD531" s="264"/>
      <c r="AE531" s="503"/>
      <c r="AF531" s="504"/>
      <c r="AG531" s="504"/>
      <c r="AH531" s="505"/>
      <c r="AJ531" s="229" t="str">
        <f>IF(OR(A531="",AND(ISNUMBER(FIND("[", A531)), ISNUMBER(FIND("ALL", A531)), ISNUMBER(FIND("]", A531)))),"",MAX(AJ$3:AJ530)+1)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268"/>
      <c r="AA532" s="264"/>
      <c r="AB532" s="264"/>
      <c r="AC532" s="269"/>
      <c r="AD532" s="264"/>
      <c r="AE532" s="503"/>
      <c r="AF532" s="504"/>
      <c r="AG532" s="504"/>
      <c r="AH532" s="505"/>
      <c r="AJ532" s="229" t="str">
        <f>IF(OR(A532="",AND(ISNUMBER(FIND("[", A532)), ISNUMBER(FIND("ALL", A532)), ISNUMBER(FIND("]", A532)))),"",MAX(AJ$3:AJ531)+1)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268"/>
      <c r="AA533" s="264"/>
      <c r="AB533" s="264"/>
      <c r="AC533" s="269"/>
      <c r="AD533" s="264"/>
      <c r="AE533" s="503"/>
      <c r="AF533" s="504"/>
      <c r="AG533" s="504"/>
      <c r="AH533" s="505"/>
      <c r="AJ533" s="229" t="str">
        <f>IF(OR(A533="",AND(ISNUMBER(FIND("[", A533)), ISNUMBER(FIND("ALL", A533)), ISNUMBER(FIND("]", A533)))),"",MAX(AJ$3:AJ532)+1)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268"/>
      <c r="AA534" s="264"/>
      <c r="AB534" s="264"/>
      <c r="AC534" s="269"/>
      <c r="AD534" s="264"/>
      <c r="AE534" s="503"/>
      <c r="AF534" s="504"/>
      <c r="AG534" s="504"/>
      <c r="AH534" s="505"/>
      <c r="AJ534" s="229" t="str">
        <f>IF(OR(A534="",AND(ISNUMBER(FIND("[", A534)), ISNUMBER(FIND("ALL", A534)), ISNUMBER(FIND("]", A534)))),"",MAX(AJ$3:AJ533)+1)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268"/>
      <c r="AA535" s="264"/>
      <c r="AB535" s="264"/>
      <c r="AC535" s="269"/>
      <c r="AD535" s="264"/>
      <c r="AE535" s="503"/>
      <c r="AF535" s="504"/>
      <c r="AG535" s="504"/>
      <c r="AH535" s="505"/>
      <c r="AJ535" s="229" t="str">
        <f>IF(OR(A535="",AND(ISNUMBER(FIND("[", A535)), ISNUMBER(FIND("ALL", A535)), ISNUMBER(FIND("]", A535)))),"",MAX(AJ$3:AJ534)+1)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268"/>
      <c r="AA536" s="264"/>
      <c r="AB536" s="264"/>
      <c r="AC536" s="269"/>
      <c r="AD536" s="264"/>
      <c r="AE536" s="503"/>
      <c r="AF536" s="504"/>
      <c r="AG536" s="504"/>
      <c r="AH536" s="505"/>
      <c r="AJ536" s="229" t="str">
        <f>IF(OR(A536="",AND(ISNUMBER(FIND("[", A536)), ISNUMBER(FIND("ALL", A536)), ISNUMBER(FIND("]", A536)))),"",MAX(AJ$3:AJ535)+1)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268"/>
      <c r="AA537" s="264"/>
      <c r="AB537" s="264"/>
      <c r="AC537" s="269"/>
      <c r="AD537" s="264"/>
      <c r="AE537" s="503"/>
      <c r="AF537" s="504"/>
      <c r="AG537" s="504"/>
      <c r="AH537" s="505"/>
      <c r="AJ537" s="229" t="str">
        <f>IF(OR(A537="",AND(ISNUMBER(FIND("[", A537)), ISNUMBER(FIND("ALL", A537)), ISNUMBER(FIND("]", A537)))),"",MAX(AJ$3:AJ536)+1)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268"/>
      <c r="AA538" s="264"/>
      <c r="AB538" s="264"/>
      <c r="AC538" s="269"/>
      <c r="AD538" s="264"/>
      <c r="AE538" s="503"/>
      <c r="AF538" s="504"/>
      <c r="AG538" s="504"/>
      <c r="AH538" s="505"/>
      <c r="AJ538" s="229" t="str">
        <f>IF(OR(A538="",AND(ISNUMBER(FIND("[", A538)), ISNUMBER(FIND("ALL", A538)), ISNUMBER(FIND("]", A538)))),"",MAX(AJ$3:AJ537)+1)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268"/>
      <c r="AA539" s="264"/>
      <c r="AB539" s="264"/>
      <c r="AC539" s="269"/>
      <c r="AD539" s="264"/>
      <c r="AE539" s="503"/>
      <c r="AF539" s="504"/>
      <c r="AG539" s="504"/>
      <c r="AH539" s="505"/>
      <c r="AJ539" s="229" t="str">
        <f>IF(OR(A539="",AND(ISNUMBER(FIND("[", A539)), ISNUMBER(FIND("ALL", A539)), ISNUMBER(FIND("]", A539)))),"",MAX(AJ$3:AJ538)+1)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268"/>
      <c r="AA540" s="264"/>
      <c r="AB540" s="264"/>
      <c r="AC540" s="269"/>
      <c r="AD540" s="264"/>
      <c r="AE540" s="503"/>
      <c r="AF540" s="504"/>
      <c r="AG540" s="504"/>
      <c r="AH540" s="505"/>
      <c r="AJ540" s="229" t="str">
        <f>IF(OR(A540="",AND(ISNUMBER(FIND("[", A540)), ISNUMBER(FIND("ALL", A540)), ISNUMBER(FIND("]", A540)))),"",MAX(AJ$3:AJ539)+1)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268"/>
      <c r="AA541" s="264"/>
      <c r="AB541" s="264"/>
      <c r="AC541" s="269"/>
      <c r="AD541" s="264"/>
      <c r="AE541" s="503"/>
      <c r="AF541" s="504"/>
      <c r="AG541" s="504"/>
      <c r="AH541" s="505"/>
      <c r="AJ541" s="229" t="str">
        <f>IF(OR(A541="",AND(ISNUMBER(FIND("[", A541)), ISNUMBER(FIND("ALL", A541)), ISNUMBER(FIND("]", A541)))),"",MAX(AJ$3:AJ540)+1)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268"/>
      <c r="AA542" s="264"/>
      <c r="AB542" s="264"/>
      <c r="AC542" s="269"/>
      <c r="AD542" s="264"/>
      <c r="AE542" s="503"/>
      <c r="AF542" s="504"/>
      <c r="AG542" s="504"/>
      <c r="AH542" s="505"/>
      <c r="AJ542" s="229" t="str">
        <f>IF(OR(A542="",AND(ISNUMBER(FIND("[", A542)), ISNUMBER(FIND("ALL", A542)), ISNUMBER(FIND("]", A542)))),"",MAX(AJ$3:AJ541)+1)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268"/>
      <c r="AA543" s="264"/>
      <c r="AB543" s="264"/>
      <c r="AC543" s="269"/>
      <c r="AD543" s="264"/>
      <c r="AE543" s="503"/>
      <c r="AF543" s="504"/>
      <c r="AG543" s="504"/>
      <c r="AH543" s="505"/>
      <c r="AJ543" s="229" t="str">
        <f>IF(OR(A543="",AND(ISNUMBER(FIND("[", A543)), ISNUMBER(FIND("ALL", A543)), ISNUMBER(FIND("]", A543)))),"",MAX(AJ$3:AJ542)+1)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268"/>
      <c r="AA544" s="264"/>
      <c r="AB544" s="264"/>
      <c r="AC544" s="269"/>
      <c r="AD544" s="264"/>
      <c r="AE544" s="503"/>
      <c r="AF544" s="504"/>
      <c r="AG544" s="504"/>
      <c r="AH544" s="505"/>
      <c r="AJ544" s="229" t="str">
        <f>IF(OR(A544="",AND(ISNUMBER(FIND("[", A544)), ISNUMBER(FIND("ALL", A544)), ISNUMBER(FIND("]", A544)))),"",MAX(AJ$3:AJ543)+1)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268"/>
      <c r="AA545" s="264"/>
      <c r="AB545" s="264"/>
      <c r="AC545" s="269"/>
      <c r="AD545" s="264"/>
      <c r="AE545" s="503"/>
      <c r="AF545" s="504"/>
      <c r="AG545" s="504"/>
      <c r="AH545" s="505"/>
      <c r="AJ545" s="229" t="str">
        <f>IF(OR(A545="",AND(ISNUMBER(FIND("[", A545)), ISNUMBER(FIND("ALL", A545)), ISNUMBER(FIND("]", A545)))),"",MAX(AJ$3:AJ544)+1)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268"/>
      <c r="AA546" s="264"/>
      <c r="AB546" s="264"/>
      <c r="AC546" s="269"/>
      <c r="AD546" s="264"/>
      <c r="AE546" s="503"/>
      <c r="AF546" s="504"/>
      <c r="AG546" s="504"/>
      <c r="AH546" s="505"/>
      <c r="AJ546" s="229" t="str">
        <f>IF(OR(A546="",AND(ISNUMBER(FIND("[", A546)), ISNUMBER(FIND("ALL", A546)), ISNUMBER(FIND("]", A546)))),"",MAX(AJ$3:AJ545)+1)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268"/>
      <c r="AA547" s="264"/>
      <c r="AB547" s="264"/>
      <c r="AC547" s="269"/>
      <c r="AD547" s="264"/>
      <c r="AE547" s="503"/>
      <c r="AF547" s="504"/>
      <c r="AG547" s="504"/>
      <c r="AH547" s="505"/>
      <c r="AJ547" s="229" t="str">
        <f>IF(OR(A547="",AND(ISNUMBER(FIND("[", A547)), ISNUMBER(FIND("ALL", A547)), ISNUMBER(FIND("]", A547)))),"",MAX(AJ$3:AJ546)+1)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268"/>
      <c r="AA548" s="264"/>
      <c r="AB548" s="264"/>
      <c r="AC548" s="269"/>
      <c r="AD548" s="264"/>
      <c r="AE548" s="503"/>
      <c r="AF548" s="504"/>
      <c r="AG548" s="504"/>
      <c r="AH548" s="505"/>
      <c r="AJ548" s="229" t="str">
        <f>IF(OR(A548="",AND(ISNUMBER(FIND("[", A548)), ISNUMBER(FIND("ALL", A548)), ISNUMBER(FIND("]", A548)))),"",MAX(AJ$3:AJ547)+1)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268"/>
      <c r="AA549" s="264"/>
      <c r="AB549" s="264"/>
      <c r="AC549" s="269"/>
      <c r="AD549" s="264"/>
      <c r="AE549" s="503"/>
      <c r="AF549" s="504"/>
      <c r="AG549" s="504"/>
      <c r="AH549" s="505"/>
      <c r="AJ549" s="229" t="str">
        <f>IF(OR(A549="",AND(ISNUMBER(FIND("[", A549)), ISNUMBER(FIND("ALL", A549)), ISNUMBER(FIND("]", A549)))),"",MAX(AJ$3:AJ548)+1)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268"/>
      <c r="AA550" s="264"/>
      <c r="AB550" s="264"/>
      <c r="AC550" s="269"/>
      <c r="AD550" s="264"/>
      <c r="AE550" s="503"/>
      <c r="AF550" s="504"/>
      <c r="AG550" s="504"/>
      <c r="AH550" s="505"/>
      <c r="AJ550" s="229" t="str">
        <f>IF(OR(A550="",AND(ISNUMBER(FIND("[", A550)), ISNUMBER(FIND("ALL", A550)), ISNUMBER(FIND("]", A550)))),"",MAX(AJ$3:AJ549)+1)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268"/>
      <c r="AA551" s="264"/>
      <c r="AB551" s="264"/>
      <c r="AC551" s="269"/>
      <c r="AD551" s="264"/>
      <c r="AE551" s="503"/>
      <c r="AF551" s="504"/>
      <c r="AG551" s="504"/>
      <c r="AH551" s="505"/>
      <c r="AJ551" s="229" t="str">
        <f>IF(OR(A551="",AND(ISNUMBER(FIND("[", A551)), ISNUMBER(FIND("ALL", A551)), ISNUMBER(FIND("]", A551)))),"",MAX(AJ$3:AJ550)+1)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268"/>
      <c r="AA552" s="264"/>
      <c r="AB552" s="264"/>
      <c r="AC552" s="269"/>
      <c r="AD552" s="264"/>
      <c r="AE552" s="503"/>
      <c r="AF552" s="504"/>
      <c r="AG552" s="504"/>
      <c r="AH552" s="505"/>
      <c r="AJ552" s="229" t="str">
        <f>IF(OR(A552="",AND(ISNUMBER(FIND("[", A552)), ISNUMBER(FIND("ALL", A552)), ISNUMBER(FIND("]", A552)))),"",MAX(AJ$3:AJ551)+1)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268"/>
      <c r="AA553" s="264"/>
      <c r="AB553" s="264"/>
      <c r="AC553" s="269"/>
      <c r="AD553" s="264"/>
      <c r="AE553" s="503"/>
      <c r="AF553" s="504"/>
      <c r="AG553" s="504"/>
      <c r="AH553" s="505"/>
      <c r="AJ553" s="229" t="str">
        <f>IF(OR(A553="",AND(ISNUMBER(FIND("[", A553)), ISNUMBER(FIND("ALL", A553)), ISNUMBER(FIND("]", A553)))),"",MAX(AJ$3:AJ552)+1)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268"/>
      <c r="AA554" s="264"/>
      <c r="AB554" s="264"/>
      <c r="AC554" s="269"/>
      <c r="AD554" s="264"/>
      <c r="AE554" s="503"/>
      <c r="AF554" s="504"/>
      <c r="AG554" s="504"/>
      <c r="AH554" s="505"/>
      <c r="AJ554" s="229" t="str">
        <f>IF(OR(A554="",AND(ISNUMBER(FIND("[", A554)), ISNUMBER(FIND("ALL", A554)), ISNUMBER(FIND("]", A554)))),"",MAX(AJ$3:AJ553)+1)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268"/>
      <c r="AA555" s="264"/>
      <c r="AB555" s="264"/>
      <c r="AC555" s="269"/>
      <c r="AD555" s="264"/>
      <c r="AE555" s="503"/>
      <c r="AF555" s="504"/>
      <c r="AG555" s="504"/>
      <c r="AH555" s="505"/>
      <c r="AJ555" s="229" t="str">
        <f>IF(OR(A555="",AND(ISNUMBER(FIND("[", A555)), ISNUMBER(FIND("ALL", A555)), ISNUMBER(FIND("]", A555)))),"",MAX(AJ$3:AJ554)+1)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268"/>
      <c r="AA556" s="264"/>
      <c r="AB556" s="264"/>
      <c r="AC556" s="269"/>
      <c r="AD556" s="264"/>
      <c r="AE556" s="503"/>
      <c r="AF556" s="504"/>
      <c r="AG556" s="504"/>
      <c r="AH556" s="505"/>
      <c r="AJ556" s="229" t="str">
        <f>IF(OR(A556="",AND(ISNUMBER(FIND("[", A556)), ISNUMBER(FIND("ALL", A556)), ISNUMBER(FIND("]", A556)))),"",MAX(AJ$3:AJ555)+1)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268"/>
      <c r="AA557" s="264"/>
      <c r="AB557" s="264"/>
      <c r="AC557" s="269"/>
      <c r="AD557" s="264"/>
      <c r="AE557" s="503"/>
      <c r="AF557" s="504"/>
      <c r="AG557" s="504"/>
      <c r="AH557" s="505"/>
      <c r="AJ557" s="229" t="str">
        <f>IF(OR(A557="",AND(ISNUMBER(FIND("[", A557)), ISNUMBER(FIND("ALL", A557)), ISNUMBER(FIND("]", A557)))),"",MAX(AJ$3:AJ556)+1)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268"/>
      <c r="AA558" s="264"/>
      <c r="AB558" s="264"/>
      <c r="AC558" s="269"/>
      <c r="AD558" s="264"/>
      <c r="AE558" s="503"/>
      <c r="AF558" s="504"/>
      <c r="AG558" s="504"/>
      <c r="AH558" s="505"/>
      <c r="AJ558" s="229" t="str">
        <f>IF(OR(A558="",AND(ISNUMBER(FIND("[", A558)), ISNUMBER(FIND("ALL", A558)), ISNUMBER(FIND("]", A558)))),"",MAX(AJ$3:AJ557)+1)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268"/>
      <c r="AA559" s="264"/>
      <c r="AB559" s="264"/>
      <c r="AC559" s="269"/>
      <c r="AD559" s="264"/>
      <c r="AE559" s="503"/>
      <c r="AF559" s="504"/>
      <c r="AG559" s="504"/>
      <c r="AH559" s="505"/>
      <c r="AJ559" s="229" t="str">
        <f>IF(OR(A559="",AND(ISNUMBER(FIND("[", A559)), ISNUMBER(FIND("ALL", A559)), ISNUMBER(FIND("]", A559)))),"",MAX(AJ$3:AJ558)+1)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268"/>
      <c r="AA560" s="264"/>
      <c r="AB560" s="264"/>
      <c r="AC560" s="269"/>
      <c r="AD560" s="264"/>
      <c r="AE560" s="503"/>
      <c r="AF560" s="504"/>
      <c r="AG560" s="504"/>
      <c r="AH560" s="505"/>
      <c r="AJ560" s="229" t="str">
        <f>IF(OR(A560="",AND(ISNUMBER(FIND("[", A560)), ISNUMBER(FIND("ALL", A560)), ISNUMBER(FIND("]", A560)))),"",MAX(AJ$3:AJ559)+1)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268"/>
      <c r="AA561" s="264"/>
      <c r="AB561" s="264"/>
      <c r="AC561" s="269"/>
      <c r="AD561" s="264"/>
      <c r="AE561" s="503"/>
      <c r="AF561" s="504"/>
      <c r="AG561" s="504"/>
      <c r="AH561" s="505"/>
      <c r="AJ561" s="229" t="str">
        <f>IF(OR(A561="",AND(ISNUMBER(FIND("[", A561)), ISNUMBER(FIND("ALL", A561)), ISNUMBER(FIND("]", A561)))),"",MAX(AJ$3:AJ560)+1)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268"/>
      <c r="AA562" s="264"/>
      <c r="AB562" s="264"/>
      <c r="AC562" s="269"/>
      <c r="AD562" s="264"/>
      <c r="AE562" s="503"/>
      <c r="AF562" s="504"/>
      <c r="AG562" s="504"/>
      <c r="AH562" s="505"/>
      <c r="AJ562" s="229" t="str">
        <f>IF(OR(A562="",AND(ISNUMBER(FIND("[", A562)), ISNUMBER(FIND("ALL", A562)), ISNUMBER(FIND("]", A562)))),"",MAX(AJ$3:AJ561)+1)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268"/>
      <c r="AA563" s="264"/>
      <c r="AB563" s="264"/>
      <c r="AC563" s="269"/>
      <c r="AD563" s="264"/>
      <c r="AE563" s="503"/>
      <c r="AF563" s="504"/>
      <c r="AG563" s="504"/>
      <c r="AH563" s="505"/>
      <c r="AJ563" s="229" t="str">
        <f>IF(OR(A563="",AND(ISNUMBER(FIND("[", A563)), ISNUMBER(FIND("ALL", A563)), ISNUMBER(FIND("]", A563)))),"",MAX(AJ$3:AJ562)+1)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268"/>
      <c r="AA564" s="264"/>
      <c r="AB564" s="264"/>
      <c r="AC564" s="269"/>
      <c r="AD564" s="264"/>
      <c r="AE564" s="503"/>
      <c r="AF564" s="504"/>
      <c r="AG564" s="504"/>
      <c r="AH564" s="505"/>
      <c r="AJ564" s="229" t="str">
        <f>IF(OR(A564="",AND(ISNUMBER(FIND("[", A564)), ISNUMBER(FIND("ALL", A564)), ISNUMBER(FIND("]", A564)))),"",MAX(AJ$3:AJ563)+1)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268"/>
      <c r="AA565" s="264"/>
      <c r="AB565" s="264"/>
      <c r="AC565" s="269"/>
      <c r="AD565" s="264"/>
      <c r="AE565" s="503"/>
      <c r="AF565" s="504"/>
      <c r="AG565" s="504"/>
      <c r="AH565" s="505"/>
      <c r="AJ565" s="229" t="str">
        <f>IF(OR(A565="",AND(ISNUMBER(FIND("[", A565)), ISNUMBER(FIND("ALL", A565)), ISNUMBER(FIND("]", A565)))),"",MAX(AJ$3:AJ564)+1)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268"/>
      <c r="AA566" s="264"/>
      <c r="AB566" s="264"/>
      <c r="AC566" s="269"/>
      <c r="AD566" s="264"/>
      <c r="AE566" s="503"/>
      <c r="AF566" s="504"/>
      <c r="AG566" s="504"/>
      <c r="AH566" s="505"/>
      <c r="AJ566" s="229" t="str">
        <f>IF(OR(A566="",AND(ISNUMBER(FIND("[", A566)), ISNUMBER(FIND("ALL", A566)), ISNUMBER(FIND("]", A566)))),"",MAX(AJ$3:AJ565)+1)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268"/>
      <c r="AA567" s="264"/>
      <c r="AB567" s="264"/>
      <c r="AC567" s="269"/>
      <c r="AD567" s="264"/>
      <c r="AE567" s="503"/>
      <c r="AF567" s="504"/>
      <c r="AG567" s="504"/>
      <c r="AH567" s="505"/>
      <c r="AJ567" s="229" t="str">
        <f>IF(OR(A567="",AND(ISNUMBER(FIND("[", A567)), ISNUMBER(FIND("ALL", A567)), ISNUMBER(FIND("]", A567)))),"",MAX(AJ$3:AJ566)+1)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268"/>
      <c r="AA568" s="264"/>
      <c r="AB568" s="264"/>
      <c r="AC568" s="269"/>
      <c r="AD568" s="264"/>
      <c r="AE568" s="503"/>
      <c r="AF568" s="504"/>
      <c r="AG568" s="504"/>
      <c r="AH568" s="505"/>
      <c r="AJ568" s="229" t="str">
        <f>IF(OR(A568="",AND(ISNUMBER(FIND("[", A568)), ISNUMBER(FIND("ALL", A568)), ISNUMBER(FIND("]", A568)))),"",MAX(AJ$3:AJ567)+1)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268"/>
      <c r="AA569" s="264"/>
      <c r="AB569" s="264"/>
      <c r="AC569" s="269"/>
      <c r="AD569" s="264"/>
      <c r="AE569" s="503"/>
      <c r="AF569" s="504"/>
      <c r="AG569" s="504"/>
      <c r="AH569" s="505"/>
      <c r="AJ569" s="229" t="str">
        <f>IF(OR(A569="",AND(ISNUMBER(FIND("[", A569)), ISNUMBER(FIND("ALL", A569)), ISNUMBER(FIND("]", A569)))),"",MAX(AJ$3:AJ568)+1)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268"/>
      <c r="AA570" s="264"/>
      <c r="AB570" s="264"/>
      <c r="AC570" s="269"/>
      <c r="AD570" s="264"/>
      <c r="AE570" s="503"/>
      <c r="AF570" s="504"/>
      <c r="AG570" s="504"/>
      <c r="AH570" s="505"/>
      <c r="AJ570" s="229" t="str">
        <f>IF(OR(A570="",AND(ISNUMBER(FIND("[", A570)), ISNUMBER(FIND("ALL", A570)), ISNUMBER(FIND("]", A570)))),"",MAX(AJ$3:AJ569)+1)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268"/>
      <c r="AA571" s="264"/>
      <c r="AB571" s="264"/>
      <c r="AC571" s="269"/>
      <c r="AD571" s="264"/>
      <c r="AE571" s="503"/>
      <c r="AF571" s="504"/>
      <c r="AG571" s="504"/>
      <c r="AH571" s="505"/>
      <c r="AJ571" s="229" t="str">
        <f>IF(OR(A571="",AND(ISNUMBER(FIND("[", A571)), ISNUMBER(FIND("ALL", A571)), ISNUMBER(FIND("]", A571)))),"",MAX(AJ$3:AJ570)+1)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268"/>
      <c r="AA572" s="264"/>
      <c r="AB572" s="264"/>
      <c r="AC572" s="269"/>
      <c r="AD572" s="264"/>
      <c r="AE572" s="503"/>
      <c r="AF572" s="504"/>
      <c r="AG572" s="504"/>
      <c r="AH572" s="505"/>
      <c r="AJ572" s="229" t="str">
        <f>IF(OR(A572="",AND(ISNUMBER(FIND("[", A572)), ISNUMBER(FIND("ALL", A572)), ISNUMBER(FIND("]", A572)))),"",MAX(AJ$3:AJ571)+1)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268"/>
      <c r="AA573" s="264"/>
      <c r="AB573" s="264"/>
      <c r="AC573" s="269"/>
      <c r="AD573" s="264"/>
      <c r="AE573" s="503"/>
      <c r="AF573" s="504"/>
      <c r="AG573" s="504"/>
      <c r="AH573" s="505"/>
      <c r="AJ573" s="229" t="str">
        <f>IF(OR(A573="",AND(ISNUMBER(FIND("[", A573)), ISNUMBER(FIND("ALL", A573)), ISNUMBER(FIND("]", A573)))),"",MAX(AJ$3:AJ572)+1)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268"/>
      <c r="AA574" s="264"/>
      <c r="AB574" s="264"/>
      <c r="AC574" s="269"/>
      <c r="AD574" s="264"/>
      <c r="AE574" s="503"/>
      <c r="AF574" s="504"/>
      <c r="AG574" s="504"/>
      <c r="AH574" s="505"/>
      <c r="AJ574" s="229" t="str">
        <f>IF(OR(A574="",AND(ISNUMBER(FIND("[", A574)), ISNUMBER(FIND("ALL", A574)), ISNUMBER(FIND("]", A574)))),"",MAX(AJ$3:AJ573)+1)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268"/>
      <c r="AA575" s="264"/>
      <c r="AB575" s="264"/>
      <c r="AC575" s="269"/>
      <c r="AD575" s="264"/>
      <c r="AE575" s="503"/>
      <c r="AF575" s="504"/>
      <c r="AG575" s="504"/>
      <c r="AH575" s="505"/>
      <c r="AJ575" s="229" t="str">
        <f>IF(OR(A575="",AND(ISNUMBER(FIND("[", A575)), ISNUMBER(FIND("ALL", A575)), ISNUMBER(FIND("]", A575)))),"",MAX(AJ$3:AJ574)+1)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268"/>
      <c r="AA576" s="264"/>
      <c r="AB576" s="264"/>
      <c r="AC576" s="269"/>
      <c r="AD576" s="264"/>
      <c r="AE576" s="503"/>
      <c r="AF576" s="504"/>
      <c r="AG576" s="504"/>
      <c r="AH576" s="505"/>
      <c r="AJ576" s="229" t="str">
        <f>IF(OR(A576="",AND(ISNUMBER(FIND("[", A576)), ISNUMBER(FIND("ALL", A576)), ISNUMBER(FIND("]", A576)))),"",MAX(AJ$3:AJ575)+1)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268"/>
      <c r="AA577" s="264"/>
      <c r="AB577" s="264"/>
      <c r="AC577" s="269"/>
      <c r="AD577" s="264"/>
      <c r="AE577" s="503"/>
      <c r="AF577" s="504"/>
      <c r="AG577" s="504"/>
      <c r="AH577" s="505"/>
      <c r="AJ577" s="229" t="str">
        <f>IF(OR(A577="",AND(ISNUMBER(FIND("[", A577)), ISNUMBER(FIND("ALL", A577)), ISNUMBER(FIND("]", A577)))),"",MAX(AJ$3:AJ576)+1)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268"/>
      <c r="AA578" s="264"/>
      <c r="AB578" s="264"/>
      <c r="AC578" s="269"/>
      <c r="AD578" s="264"/>
      <c r="AE578" s="503"/>
      <c r="AF578" s="504"/>
      <c r="AG578" s="504"/>
      <c r="AH578" s="505"/>
      <c r="AJ578" s="229" t="str">
        <f>IF(OR(A578="",AND(ISNUMBER(FIND("[", A578)), ISNUMBER(FIND("ALL", A578)), ISNUMBER(FIND("]", A578)))),"",MAX(AJ$3:AJ577)+1)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268"/>
      <c r="AA579" s="264"/>
      <c r="AB579" s="264"/>
      <c r="AC579" s="269"/>
      <c r="AD579" s="264"/>
      <c r="AE579" s="503"/>
      <c r="AF579" s="504"/>
      <c r="AG579" s="504"/>
      <c r="AH579" s="505"/>
      <c r="AJ579" s="229" t="str">
        <f>IF(OR(A579="",AND(ISNUMBER(FIND("[", A579)), ISNUMBER(FIND("ALL", A579)), ISNUMBER(FIND("]", A579)))),"",MAX(AJ$3:AJ578)+1)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268"/>
      <c r="AA580" s="264"/>
      <c r="AB580" s="264"/>
      <c r="AC580" s="269"/>
      <c r="AD580" s="264"/>
      <c r="AE580" s="503"/>
      <c r="AF580" s="504"/>
      <c r="AG580" s="504"/>
      <c r="AH580" s="505"/>
      <c r="AJ580" s="229" t="str">
        <f>IF(OR(A580="",AND(ISNUMBER(FIND("[", A580)), ISNUMBER(FIND("ALL", A580)), ISNUMBER(FIND("]", A580)))),"",MAX(AJ$3:AJ579)+1)</f>
        <v/>
      </c>
      <c r="AK580" s="229" t="str">
        <f t="shared" ref="AK580:AK643" si="9">IFERROR(INDEX($A$4:$A$1000,MATCH(ROW()-ROW($AK$3),$AJ$4:$AJ$1000,0)),"")</f>
        <v/>
      </c>
    </row>
    <row r="581" spans="1:37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268"/>
      <c r="AA581" s="264"/>
      <c r="AB581" s="264"/>
      <c r="AC581" s="269"/>
      <c r="AD581" s="264"/>
      <c r="AE581" s="503"/>
      <c r="AF581" s="504"/>
      <c r="AG581" s="504"/>
      <c r="AH581" s="505"/>
      <c r="AJ581" s="229" t="str">
        <f>IF(OR(A581="",AND(ISNUMBER(FIND("[", A581)), ISNUMBER(FIND("ALL", A581)), ISNUMBER(FIND("]", A581)))),"",MAX(AJ$3:AJ580)+1)</f>
        <v/>
      </c>
      <c r="AK581" s="229" t="str">
        <f t="shared" si="9"/>
        <v/>
      </c>
    </row>
    <row r="582" spans="1:37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268"/>
      <c r="AA582" s="264"/>
      <c r="AB582" s="264"/>
      <c r="AC582" s="269"/>
      <c r="AD582" s="264"/>
      <c r="AE582" s="503"/>
      <c r="AF582" s="504"/>
      <c r="AG582" s="504"/>
      <c r="AH582" s="505"/>
      <c r="AJ582" s="229" t="str">
        <f>IF(OR(A582="",AND(ISNUMBER(FIND("[", A582)), ISNUMBER(FIND("ALL", A582)), ISNUMBER(FIND("]", A582)))),"",MAX(AJ$3:AJ581)+1)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268"/>
      <c r="AA583" s="264"/>
      <c r="AB583" s="264"/>
      <c r="AC583" s="269"/>
      <c r="AD583" s="264"/>
      <c r="AE583" s="503"/>
      <c r="AF583" s="504"/>
      <c r="AG583" s="504"/>
      <c r="AH583" s="505"/>
      <c r="AJ583" s="229" t="str">
        <f>IF(OR(A583="",AND(ISNUMBER(FIND("[", A583)), ISNUMBER(FIND("ALL", A583)), ISNUMBER(FIND("]", A583)))),"",MAX(AJ$3:AJ582)+1)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268"/>
      <c r="AA584" s="264"/>
      <c r="AB584" s="264"/>
      <c r="AC584" s="269"/>
      <c r="AD584" s="264"/>
      <c r="AE584" s="503"/>
      <c r="AF584" s="504"/>
      <c r="AG584" s="504"/>
      <c r="AH584" s="505"/>
      <c r="AJ584" s="229" t="str">
        <f>IF(OR(A584="",AND(ISNUMBER(FIND("[", A584)), ISNUMBER(FIND("ALL", A584)), ISNUMBER(FIND("]", A584)))),"",MAX(AJ$3:AJ583)+1)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268"/>
      <c r="AA585" s="264"/>
      <c r="AB585" s="264"/>
      <c r="AC585" s="269"/>
      <c r="AD585" s="264"/>
      <c r="AE585" s="503"/>
      <c r="AF585" s="504"/>
      <c r="AG585" s="504"/>
      <c r="AH585" s="505"/>
      <c r="AJ585" s="229" t="str">
        <f>IF(OR(A585="",AND(ISNUMBER(FIND("[", A585)), ISNUMBER(FIND("ALL", A585)), ISNUMBER(FIND("]", A585)))),"",MAX(AJ$3:AJ584)+1)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268"/>
      <c r="AA586" s="264"/>
      <c r="AB586" s="264"/>
      <c r="AC586" s="269"/>
      <c r="AD586" s="264"/>
      <c r="AE586" s="503"/>
      <c r="AF586" s="504"/>
      <c r="AG586" s="504"/>
      <c r="AH586" s="505"/>
      <c r="AJ586" s="229" t="str">
        <f>IF(OR(A586="",AND(ISNUMBER(FIND("[", A586)), ISNUMBER(FIND("ALL", A586)), ISNUMBER(FIND("]", A586)))),"",MAX(AJ$3:AJ585)+1)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268"/>
      <c r="AA587" s="264"/>
      <c r="AB587" s="264"/>
      <c r="AC587" s="269"/>
      <c r="AD587" s="264"/>
      <c r="AE587" s="503"/>
      <c r="AF587" s="504"/>
      <c r="AG587" s="504"/>
      <c r="AH587" s="505"/>
      <c r="AJ587" s="229" t="str">
        <f>IF(OR(A587="",AND(ISNUMBER(FIND("[", A587)), ISNUMBER(FIND("ALL", A587)), ISNUMBER(FIND("]", A587)))),"",MAX(AJ$3:AJ586)+1)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268"/>
      <c r="AA588" s="264"/>
      <c r="AB588" s="264"/>
      <c r="AC588" s="269"/>
      <c r="AD588" s="264"/>
      <c r="AE588" s="503"/>
      <c r="AF588" s="504"/>
      <c r="AG588" s="504"/>
      <c r="AH588" s="505"/>
      <c r="AJ588" s="229" t="str">
        <f>IF(OR(A588="",AND(ISNUMBER(FIND("[", A588)), ISNUMBER(FIND("ALL", A588)), ISNUMBER(FIND("]", A588)))),"",MAX(AJ$3:AJ587)+1)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268"/>
      <c r="AA589" s="264"/>
      <c r="AB589" s="264"/>
      <c r="AC589" s="269"/>
      <c r="AD589" s="264"/>
      <c r="AE589" s="503"/>
      <c r="AF589" s="504"/>
      <c r="AG589" s="504"/>
      <c r="AH589" s="505"/>
      <c r="AJ589" s="229" t="str">
        <f>IF(OR(A589="",AND(ISNUMBER(FIND("[", A589)), ISNUMBER(FIND("ALL", A589)), ISNUMBER(FIND("]", A589)))),"",MAX(AJ$3:AJ588)+1)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268"/>
      <c r="AA590" s="264"/>
      <c r="AB590" s="264"/>
      <c r="AC590" s="269"/>
      <c r="AD590" s="264"/>
      <c r="AE590" s="503"/>
      <c r="AF590" s="504"/>
      <c r="AG590" s="504"/>
      <c r="AH590" s="505"/>
      <c r="AJ590" s="229" t="str">
        <f>IF(OR(A590="",AND(ISNUMBER(FIND("[", A590)), ISNUMBER(FIND("ALL", A590)), ISNUMBER(FIND("]", A590)))),"",MAX(AJ$3:AJ589)+1)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268"/>
      <c r="AA591" s="264"/>
      <c r="AB591" s="264"/>
      <c r="AC591" s="269"/>
      <c r="AD591" s="264"/>
      <c r="AE591" s="503"/>
      <c r="AF591" s="504"/>
      <c r="AG591" s="504"/>
      <c r="AH591" s="505"/>
      <c r="AJ591" s="229" t="str">
        <f>IF(OR(A591="",AND(ISNUMBER(FIND("[", A591)), ISNUMBER(FIND("ALL", A591)), ISNUMBER(FIND("]", A591)))),"",MAX(AJ$3:AJ590)+1)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268"/>
      <c r="AA592" s="264"/>
      <c r="AB592" s="264"/>
      <c r="AC592" s="269"/>
      <c r="AD592" s="264"/>
      <c r="AE592" s="503"/>
      <c r="AF592" s="504"/>
      <c r="AG592" s="504"/>
      <c r="AH592" s="505"/>
      <c r="AJ592" s="229" t="str">
        <f>IF(OR(A592="",AND(ISNUMBER(FIND("[", A592)), ISNUMBER(FIND("ALL", A592)), ISNUMBER(FIND("]", A592)))),"",MAX(AJ$3:AJ591)+1)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268"/>
      <c r="AA593" s="264"/>
      <c r="AB593" s="264"/>
      <c r="AC593" s="269"/>
      <c r="AD593" s="264"/>
      <c r="AE593" s="503"/>
      <c r="AF593" s="504"/>
      <c r="AG593" s="504"/>
      <c r="AH593" s="505"/>
      <c r="AJ593" s="229" t="str">
        <f>IF(OR(A593="",AND(ISNUMBER(FIND("[", A593)), ISNUMBER(FIND("ALL", A593)), ISNUMBER(FIND("]", A593)))),"",MAX(AJ$3:AJ592)+1)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268"/>
      <c r="AA594" s="264"/>
      <c r="AB594" s="264"/>
      <c r="AC594" s="269"/>
      <c r="AD594" s="264"/>
      <c r="AE594" s="503"/>
      <c r="AF594" s="504"/>
      <c r="AG594" s="504"/>
      <c r="AH594" s="505"/>
      <c r="AJ594" s="229" t="str">
        <f>IF(OR(A594="",AND(ISNUMBER(FIND("[", A594)), ISNUMBER(FIND("ALL", A594)), ISNUMBER(FIND("]", A594)))),"",MAX(AJ$3:AJ593)+1)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268"/>
      <c r="AA595" s="264"/>
      <c r="AB595" s="264"/>
      <c r="AC595" s="269"/>
      <c r="AD595" s="264"/>
      <c r="AE595" s="503"/>
      <c r="AF595" s="504"/>
      <c r="AG595" s="504"/>
      <c r="AH595" s="505"/>
      <c r="AJ595" s="229" t="str">
        <f>IF(OR(A595="",AND(ISNUMBER(FIND("[", A595)), ISNUMBER(FIND("ALL", A595)), ISNUMBER(FIND("]", A595)))),"",MAX(AJ$3:AJ594)+1)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268"/>
      <c r="AA596" s="264"/>
      <c r="AB596" s="264"/>
      <c r="AC596" s="269"/>
      <c r="AD596" s="264"/>
      <c r="AE596" s="503"/>
      <c r="AF596" s="504"/>
      <c r="AG596" s="504"/>
      <c r="AH596" s="505"/>
      <c r="AJ596" s="229" t="str">
        <f>IF(OR(A596="",AND(ISNUMBER(FIND("[", A596)), ISNUMBER(FIND("ALL", A596)), ISNUMBER(FIND("]", A596)))),"",MAX(AJ$3:AJ595)+1)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268"/>
      <c r="AA597" s="264"/>
      <c r="AB597" s="264"/>
      <c r="AC597" s="269"/>
      <c r="AD597" s="264"/>
      <c r="AE597" s="503"/>
      <c r="AF597" s="504"/>
      <c r="AG597" s="504"/>
      <c r="AH597" s="505"/>
      <c r="AJ597" s="229" t="str">
        <f>IF(OR(A597="",AND(ISNUMBER(FIND("[", A597)), ISNUMBER(FIND("ALL", A597)), ISNUMBER(FIND("]", A597)))),"",MAX(AJ$3:AJ596)+1)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268"/>
      <c r="AA598" s="264"/>
      <c r="AB598" s="264"/>
      <c r="AC598" s="269"/>
      <c r="AD598" s="264"/>
      <c r="AE598" s="503"/>
      <c r="AF598" s="504"/>
      <c r="AG598" s="504"/>
      <c r="AH598" s="505"/>
      <c r="AJ598" s="229" t="str">
        <f>IF(OR(A598="",AND(ISNUMBER(FIND("[", A598)), ISNUMBER(FIND("ALL", A598)), ISNUMBER(FIND("]", A598)))),"",MAX(AJ$3:AJ597)+1)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268"/>
      <c r="AA599" s="264"/>
      <c r="AB599" s="264"/>
      <c r="AC599" s="269"/>
      <c r="AD599" s="264"/>
      <c r="AE599" s="503"/>
      <c r="AF599" s="504"/>
      <c r="AG599" s="504"/>
      <c r="AH599" s="505"/>
      <c r="AJ599" s="229" t="str">
        <f>IF(OR(A599="",AND(ISNUMBER(FIND("[", A599)), ISNUMBER(FIND("ALL", A599)), ISNUMBER(FIND("]", A599)))),"",MAX(AJ$3:AJ598)+1)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268"/>
      <c r="AA600" s="264"/>
      <c r="AB600" s="264"/>
      <c r="AC600" s="269"/>
      <c r="AD600" s="264"/>
      <c r="AE600" s="503"/>
      <c r="AF600" s="504"/>
      <c r="AG600" s="504"/>
      <c r="AH600" s="505"/>
      <c r="AJ600" s="229" t="str">
        <f>IF(OR(A600="",AND(ISNUMBER(FIND("[", A600)), ISNUMBER(FIND("ALL", A600)), ISNUMBER(FIND("]", A600)))),"",MAX(AJ$3:AJ599)+1)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268"/>
      <c r="AA601" s="264"/>
      <c r="AB601" s="264"/>
      <c r="AC601" s="269"/>
      <c r="AD601" s="264"/>
      <c r="AE601" s="503"/>
      <c r="AF601" s="504"/>
      <c r="AG601" s="504"/>
      <c r="AH601" s="505"/>
      <c r="AJ601" s="229" t="str">
        <f>IF(OR(A601="",AND(ISNUMBER(FIND("[", A601)), ISNUMBER(FIND("ALL", A601)), ISNUMBER(FIND("]", A601)))),"",MAX(AJ$3:AJ600)+1)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268"/>
      <c r="AA602" s="264"/>
      <c r="AB602" s="264"/>
      <c r="AC602" s="269"/>
      <c r="AD602" s="264"/>
      <c r="AE602" s="503"/>
      <c r="AF602" s="504"/>
      <c r="AG602" s="504"/>
      <c r="AH602" s="505"/>
      <c r="AJ602" s="229" t="str">
        <f>IF(OR(A602="",AND(ISNUMBER(FIND("[", A602)), ISNUMBER(FIND("ALL", A602)), ISNUMBER(FIND("]", A602)))),"",MAX(AJ$3:AJ601)+1)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268"/>
      <c r="AA603" s="264"/>
      <c r="AB603" s="264"/>
      <c r="AC603" s="269"/>
      <c r="AD603" s="264"/>
      <c r="AE603" s="503"/>
      <c r="AF603" s="504"/>
      <c r="AG603" s="504"/>
      <c r="AH603" s="505"/>
      <c r="AJ603" s="229" t="str">
        <f>IF(OR(A603="",AND(ISNUMBER(FIND("[", A603)), ISNUMBER(FIND("ALL", A603)), ISNUMBER(FIND("]", A603)))),"",MAX(AJ$3:AJ602)+1)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268"/>
      <c r="AA604" s="264"/>
      <c r="AB604" s="264"/>
      <c r="AC604" s="269"/>
      <c r="AD604" s="264"/>
      <c r="AE604" s="503"/>
      <c r="AF604" s="504"/>
      <c r="AG604" s="504"/>
      <c r="AH604" s="505"/>
      <c r="AJ604" s="229" t="str">
        <f>IF(OR(A604="",AND(ISNUMBER(FIND("[", A604)), ISNUMBER(FIND("ALL", A604)), ISNUMBER(FIND("]", A604)))),"",MAX(AJ$3:AJ603)+1)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268"/>
      <c r="AA605" s="264"/>
      <c r="AB605" s="264"/>
      <c r="AC605" s="269"/>
      <c r="AD605" s="264"/>
      <c r="AE605" s="503"/>
      <c r="AF605" s="504"/>
      <c r="AG605" s="504"/>
      <c r="AH605" s="505"/>
      <c r="AJ605" s="229" t="str">
        <f>IF(OR(A605="",AND(ISNUMBER(FIND("[", A605)), ISNUMBER(FIND("ALL", A605)), ISNUMBER(FIND("]", A605)))),"",MAX(AJ$3:AJ604)+1)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268"/>
      <c r="AA606" s="264"/>
      <c r="AB606" s="264"/>
      <c r="AC606" s="269"/>
      <c r="AD606" s="264"/>
      <c r="AE606" s="503"/>
      <c r="AF606" s="504"/>
      <c r="AG606" s="504"/>
      <c r="AH606" s="505"/>
      <c r="AJ606" s="229" t="str">
        <f>IF(OR(A606="",AND(ISNUMBER(FIND("[", A606)), ISNUMBER(FIND("ALL", A606)), ISNUMBER(FIND("]", A606)))),"",MAX(AJ$3:AJ605)+1)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268"/>
      <c r="AA607" s="264"/>
      <c r="AB607" s="264"/>
      <c r="AC607" s="269"/>
      <c r="AD607" s="264"/>
      <c r="AE607" s="503"/>
      <c r="AF607" s="504"/>
      <c r="AG607" s="504"/>
      <c r="AH607" s="505"/>
      <c r="AJ607" s="229" t="str">
        <f>IF(OR(A607="",AND(ISNUMBER(FIND("[", A607)), ISNUMBER(FIND("ALL", A607)), ISNUMBER(FIND("]", A607)))),"",MAX(AJ$3:AJ606)+1)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268"/>
      <c r="AA608" s="264"/>
      <c r="AB608" s="264"/>
      <c r="AC608" s="269"/>
      <c r="AD608" s="264"/>
      <c r="AE608" s="503"/>
      <c r="AF608" s="504"/>
      <c r="AG608" s="504"/>
      <c r="AH608" s="505"/>
      <c r="AJ608" s="229" t="str">
        <f>IF(OR(A608="",AND(ISNUMBER(FIND("[", A608)), ISNUMBER(FIND("ALL", A608)), ISNUMBER(FIND("]", A608)))),"",MAX(AJ$3:AJ607)+1)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268"/>
      <c r="AA609" s="264"/>
      <c r="AB609" s="264"/>
      <c r="AC609" s="269"/>
      <c r="AD609" s="264"/>
      <c r="AE609" s="503"/>
      <c r="AF609" s="504"/>
      <c r="AG609" s="504"/>
      <c r="AH609" s="505"/>
      <c r="AJ609" s="229" t="str">
        <f>IF(OR(A609="",AND(ISNUMBER(FIND("[", A609)), ISNUMBER(FIND("ALL", A609)), ISNUMBER(FIND("]", A609)))),"",MAX(AJ$3:AJ608)+1)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268"/>
      <c r="AA610" s="264"/>
      <c r="AB610" s="264"/>
      <c r="AC610" s="269"/>
      <c r="AD610" s="264"/>
      <c r="AE610" s="503"/>
      <c r="AF610" s="504"/>
      <c r="AG610" s="504"/>
      <c r="AH610" s="505"/>
      <c r="AJ610" s="229" t="str">
        <f>IF(OR(A610="",AND(ISNUMBER(FIND("[", A610)), ISNUMBER(FIND("ALL", A610)), ISNUMBER(FIND("]", A610)))),"",MAX(AJ$3:AJ609)+1)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268"/>
      <c r="AA611" s="264"/>
      <c r="AB611" s="264"/>
      <c r="AC611" s="269"/>
      <c r="AD611" s="264"/>
      <c r="AE611" s="503"/>
      <c r="AF611" s="504"/>
      <c r="AG611" s="504"/>
      <c r="AH611" s="505"/>
      <c r="AJ611" s="229" t="str">
        <f>IF(OR(A611="",AND(ISNUMBER(FIND("[", A611)), ISNUMBER(FIND("ALL", A611)), ISNUMBER(FIND("]", A611)))),"",MAX(AJ$3:AJ610)+1)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268"/>
      <c r="AA612" s="264"/>
      <c r="AB612" s="264"/>
      <c r="AC612" s="269"/>
      <c r="AD612" s="264"/>
      <c r="AE612" s="503"/>
      <c r="AF612" s="504"/>
      <c r="AG612" s="504"/>
      <c r="AH612" s="505"/>
      <c r="AJ612" s="229" t="str">
        <f>IF(OR(A612="",AND(ISNUMBER(FIND("[", A612)), ISNUMBER(FIND("ALL", A612)), ISNUMBER(FIND("]", A612)))),"",MAX(AJ$3:AJ611)+1)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268"/>
      <c r="AA613" s="264"/>
      <c r="AB613" s="264"/>
      <c r="AC613" s="269"/>
      <c r="AD613" s="264"/>
      <c r="AE613" s="503"/>
      <c r="AF613" s="504"/>
      <c r="AG613" s="504"/>
      <c r="AH613" s="505"/>
      <c r="AJ613" s="229" t="str">
        <f>IF(OR(A613="",AND(ISNUMBER(FIND("[", A613)), ISNUMBER(FIND("ALL", A613)), ISNUMBER(FIND("]", A613)))),"",MAX(AJ$3:AJ612)+1)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268"/>
      <c r="AA614" s="264"/>
      <c r="AB614" s="264"/>
      <c r="AC614" s="269"/>
      <c r="AD614" s="264"/>
      <c r="AE614" s="503"/>
      <c r="AF614" s="504"/>
      <c r="AG614" s="504"/>
      <c r="AH614" s="505"/>
      <c r="AJ614" s="229" t="str">
        <f>IF(OR(A614="",AND(ISNUMBER(FIND("[", A614)), ISNUMBER(FIND("ALL", A614)), ISNUMBER(FIND("]", A614)))),"",MAX(AJ$3:AJ613)+1)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268"/>
      <c r="AA615" s="264"/>
      <c r="AB615" s="264"/>
      <c r="AC615" s="269"/>
      <c r="AD615" s="264"/>
      <c r="AE615" s="503"/>
      <c r="AF615" s="504"/>
      <c r="AG615" s="504"/>
      <c r="AH615" s="505"/>
      <c r="AJ615" s="229" t="str">
        <f>IF(OR(A615="",AND(ISNUMBER(FIND("[", A615)), ISNUMBER(FIND("ALL", A615)), ISNUMBER(FIND("]", A615)))),"",MAX(AJ$3:AJ614)+1)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268"/>
      <c r="AA616" s="264"/>
      <c r="AB616" s="264"/>
      <c r="AC616" s="269"/>
      <c r="AD616" s="264"/>
      <c r="AE616" s="503"/>
      <c r="AF616" s="504"/>
      <c r="AG616" s="504"/>
      <c r="AH616" s="505"/>
      <c r="AJ616" s="229" t="str">
        <f>IF(OR(A616="",AND(ISNUMBER(FIND("[", A616)), ISNUMBER(FIND("ALL", A616)), ISNUMBER(FIND("]", A616)))),"",MAX(AJ$3:AJ615)+1)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268"/>
      <c r="AA617" s="264"/>
      <c r="AB617" s="264"/>
      <c r="AC617" s="269"/>
      <c r="AD617" s="264"/>
      <c r="AE617" s="503"/>
      <c r="AF617" s="504"/>
      <c r="AG617" s="504"/>
      <c r="AH617" s="505"/>
      <c r="AJ617" s="229" t="str">
        <f>IF(OR(A617="",AND(ISNUMBER(FIND("[", A617)), ISNUMBER(FIND("ALL", A617)), ISNUMBER(FIND("]", A617)))),"",MAX(AJ$3:AJ616)+1)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268"/>
      <c r="AA618" s="264"/>
      <c r="AB618" s="264"/>
      <c r="AC618" s="269"/>
      <c r="AD618" s="264"/>
      <c r="AE618" s="503"/>
      <c r="AF618" s="504"/>
      <c r="AG618" s="504"/>
      <c r="AH618" s="505"/>
      <c r="AJ618" s="229" t="str">
        <f>IF(OR(A618="",AND(ISNUMBER(FIND("[", A618)), ISNUMBER(FIND("ALL", A618)), ISNUMBER(FIND("]", A618)))),"",MAX(AJ$3:AJ617)+1)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268"/>
      <c r="AA619" s="264"/>
      <c r="AB619" s="264"/>
      <c r="AC619" s="269"/>
      <c r="AD619" s="264"/>
      <c r="AE619" s="503"/>
      <c r="AF619" s="504"/>
      <c r="AG619" s="504"/>
      <c r="AH619" s="505"/>
      <c r="AJ619" s="229" t="str">
        <f>IF(OR(A619="",AND(ISNUMBER(FIND("[", A619)), ISNUMBER(FIND("ALL", A619)), ISNUMBER(FIND("]", A619)))),"",MAX(AJ$3:AJ618)+1)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268"/>
      <c r="AA620" s="264"/>
      <c r="AB620" s="264"/>
      <c r="AC620" s="269"/>
      <c r="AD620" s="264"/>
      <c r="AE620" s="503"/>
      <c r="AF620" s="504"/>
      <c r="AG620" s="504"/>
      <c r="AH620" s="505"/>
      <c r="AJ620" s="229" t="str">
        <f>IF(OR(A620="",AND(ISNUMBER(FIND("[", A620)), ISNUMBER(FIND("ALL", A620)), ISNUMBER(FIND("]", A620)))),"",MAX(AJ$3:AJ619)+1)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268"/>
      <c r="AA621" s="264"/>
      <c r="AB621" s="264"/>
      <c r="AC621" s="269"/>
      <c r="AD621" s="264"/>
      <c r="AE621" s="503"/>
      <c r="AF621" s="504"/>
      <c r="AG621" s="504"/>
      <c r="AH621" s="505"/>
      <c r="AJ621" s="229" t="str">
        <f>IF(OR(A621="",AND(ISNUMBER(FIND("[", A621)), ISNUMBER(FIND("ALL", A621)), ISNUMBER(FIND("]", A621)))),"",MAX(AJ$3:AJ620)+1)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268"/>
      <c r="AA622" s="264"/>
      <c r="AB622" s="264"/>
      <c r="AC622" s="269"/>
      <c r="AD622" s="264"/>
      <c r="AE622" s="503"/>
      <c r="AF622" s="504"/>
      <c r="AG622" s="504"/>
      <c r="AH622" s="505"/>
      <c r="AJ622" s="229" t="str">
        <f>IF(OR(A622="",AND(ISNUMBER(FIND("[", A622)), ISNUMBER(FIND("ALL", A622)), ISNUMBER(FIND("]", A622)))),"",MAX(AJ$3:AJ621)+1)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268"/>
      <c r="AA623" s="264"/>
      <c r="AB623" s="264"/>
      <c r="AC623" s="269"/>
      <c r="AD623" s="264"/>
      <c r="AE623" s="503"/>
      <c r="AF623" s="504"/>
      <c r="AG623" s="504"/>
      <c r="AH623" s="505"/>
      <c r="AJ623" s="229" t="str">
        <f>IF(OR(A623="",AND(ISNUMBER(FIND("[", A623)), ISNUMBER(FIND("ALL", A623)), ISNUMBER(FIND("]", A623)))),"",MAX(AJ$3:AJ622)+1)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268"/>
      <c r="AA624" s="264"/>
      <c r="AB624" s="264"/>
      <c r="AC624" s="269"/>
      <c r="AD624" s="264"/>
      <c r="AE624" s="503"/>
      <c r="AF624" s="504"/>
      <c r="AG624" s="504"/>
      <c r="AH624" s="505"/>
      <c r="AJ624" s="229" t="str">
        <f>IF(OR(A624="",AND(ISNUMBER(FIND("[", A624)), ISNUMBER(FIND("ALL", A624)), ISNUMBER(FIND("]", A624)))),"",MAX(AJ$3:AJ623)+1)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268"/>
      <c r="AA625" s="264"/>
      <c r="AB625" s="264"/>
      <c r="AC625" s="269"/>
      <c r="AD625" s="264"/>
      <c r="AE625" s="503"/>
      <c r="AF625" s="504"/>
      <c r="AG625" s="504"/>
      <c r="AH625" s="505"/>
      <c r="AJ625" s="229" t="str">
        <f>IF(OR(A625="",AND(ISNUMBER(FIND("[", A625)), ISNUMBER(FIND("ALL", A625)), ISNUMBER(FIND("]", A625)))),"",MAX(AJ$3:AJ624)+1)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268"/>
      <c r="AA626" s="264"/>
      <c r="AB626" s="264"/>
      <c r="AC626" s="269"/>
      <c r="AD626" s="264"/>
      <c r="AE626" s="503"/>
      <c r="AF626" s="504"/>
      <c r="AG626" s="504"/>
      <c r="AH626" s="505"/>
      <c r="AJ626" s="229" t="str">
        <f>IF(OR(A626="",AND(ISNUMBER(FIND("[", A626)), ISNUMBER(FIND("ALL", A626)), ISNUMBER(FIND("]", A626)))),"",MAX(AJ$3:AJ625)+1)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268"/>
      <c r="AA627" s="264"/>
      <c r="AB627" s="264"/>
      <c r="AC627" s="269"/>
      <c r="AD627" s="264"/>
      <c r="AE627" s="503"/>
      <c r="AF627" s="504"/>
      <c r="AG627" s="504"/>
      <c r="AH627" s="505"/>
      <c r="AJ627" s="229" t="str">
        <f>IF(OR(A627="",AND(ISNUMBER(FIND("[", A627)), ISNUMBER(FIND("ALL", A627)), ISNUMBER(FIND("]", A627)))),"",MAX(AJ$3:AJ626)+1)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268"/>
      <c r="AA628" s="264"/>
      <c r="AB628" s="264"/>
      <c r="AC628" s="269"/>
      <c r="AD628" s="264"/>
      <c r="AE628" s="503"/>
      <c r="AF628" s="504"/>
      <c r="AG628" s="504"/>
      <c r="AH628" s="505"/>
      <c r="AJ628" s="229" t="str">
        <f>IF(OR(A628="",AND(ISNUMBER(FIND("[", A628)), ISNUMBER(FIND("ALL", A628)), ISNUMBER(FIND("]", A628)))),"",MAX(AJ$3:AJ627)+1)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268"/>
      <c r="AA629" s="264"/>
      <c r="AB629" s="264"/>
      <c r="AC629" s="269"/>
      <c r="AD629" s="264"/>
      <c r="AE629" s="503"/>
      <c r="AF629" s="504"/>
      <c r="AG629" s="504"/>
      <c r="AH629" s="505"/>
      <c r="AJ629" s="229" t="str">
        <f>IF(OR(A629="",AND(ISNUMBER(FIND("[", A629)), ISNUMBER(FIND("ALL", A629)), ISNUMBER(FIND("]", A629)))),"",MAX(AJ$3:AJ628)+1)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268"/>
      <c r="AA630" s="264"/>
      <c r="AB630" s="264"/>
      <c r="AC630" s="269"/>
      <c r="AD630" s="264"/>
      <c r="AE630" s="503"/>
      <c r="AF630" s="504"/>
      <c r="AG630" s="504"/>
      <c r="AH630" s="505"/>
      <c r="AJ630" s="229" t="str">
        <f>IF(OR(A630="",AND(ISNUMBER(FIND("[", A630)), ISNUMBER(FIND("ALL", A630)), ISNUMBER(FIND("]", A630)))),"",MAX(AJ$3:AJ629)+1)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268"/>
      <c r="AA631" s="264"/>
      <c r="AB631" s="264"/>
      <c r="AC631" s="269"/>
      <c r="AD631" s="264"/>
      <c r="AE631" s="503"/>
      <c r="AF631" s="504"/>
      <c r="AG631" s="504"/>
      <c r="AH631" s="505"/>
      <c r="AJ631" s="229" t="str">
        <f>IF(OR(A631="",AND(ISNUMBER(FIND("[", A631)), ISNUMBER(FIND("ALL", A631)), ISNUMBER(FIND("]", A631)))),"",MAX(AJ$3:AJ630)+1)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268"/>
      <c r="AA632" s="264"/>
      <c r="AB632" s="264"/>
      <c r="AC632" s="269"/>
      <c r="AD632" s="264"/>
      <c r="AE632" s="503"/>
      <c r="AF632" s="504"/>
      <c r="AG632" s="504"/>
      <c r="AH632" s="505"/>
      <c r="AJ632" s="229" t="str">
        <f>IF(OR(A632="",AND(ISNUMBER(FIND("[", A632)), ISNUMBER(FIND("ALL", A632)), ISNUMBER(FIND("]", A632)))),"",MAX(AJ$3:AJ631)+1)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268"/>
      <c r="AA633" s="264"/>
      <c r="AB633" s="264"/>
      <c r="AC633" s="269"/>
      <c r="AD633" s="264"/>
      <c r="AE633" s="503"/>
      <c r="AF633" s="504"/>
      <c r="AG633" s="504"/>
      <c r="AH633" s="505"/>
      <c r="AJ633" s="229" t="str">
        <f>IF(OR(A633="",AND(ISNUMBER(FIND("[", A633)), ISNUMBER(FIND("ALL", A633)), ISNUMBER(FIND("]", A633)))),"",MAX(AJ$3:AJ632)+1)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268"/>
      <c r="AA634" s="264"/>
      <c r="AB634" s="264"/>
      <c r="AC634" s="269"/>
      <c r="AD634" s="264"/>
      <c r="AE634" s="503"/>
      <c r="AF634" s="504"/>
      <c r="AG634" s="504"/>
      <c r="AH634" s="505"/>
      <c r="AJ634" s="229" t="str">
        <f>IF(OR(A634="",AND(ISNUMBER(FIND("[", A634)), ISNUMBER(FIND("ALL", A634)), ISNUMBER(FIND("]", A634)))),"",MAX(AJ$3:AJ633)+1)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268"/>
      <c r="AA635" s="264"/>
      <c r="AB635" s="264"/>
      <c r="AC635" s="269"/>
      <c r="AD635" s="264"/>
      <c r="AE635" s="503"/>
      <c r="AF635" s="504"/>
      <c r="AG635" s="504"/>
      <c r="AH635" s="505"/>
      <c r="AJ635" s="229" t="str">
        <f>IF(OR(A635="",AND(ISNUMBER(FIND("[", A635)), ISNUMBER(FIND("ALL", A635)), ISNUMBER(FIND("]", A635)))),"",MAX(AJ$3:AJ634)+1)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268"/>
      <c r="AA636" s="264"/>
      <c r="AB636" s="264"/>
      <c r="AC636" s="269"/>
      <c r="AD636" s="264"/>
      <c r="AE636" s="503"/>
      <c r="AF636" s="504"/>
      <c r="AG636" s="504"/>
      <c r="AH636" s="505"/>
      <c r="AJ636" s="229" t="str">
        <f>IF(OR(A636="",AND(ISNUMBER(FIND("[", A636)), ISNUMBER(FIND("ALL", A636)), ISNUMBER(FIND("]", A636)))),"",MAX(AJ$3:AJ635)+1)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268"/>
      <c r="AA637" s="264"/>
      <c r="AB637" s="264"/>
      <c r="AC637" s="269"/>
      <c r="AD637" s="264"/>
      <c r="AE637" s="503"/>
      <c r="AF637" s="504"/>
      <c r="AG637" s="504"/>
      <c r="AH637" s="505"/>
      <c r="AJ637" s="229" t="str">
        <f>IF(OR(A637="",AND(ISNUMBER(FIND("[", A637)), ISNUMBER(FIND("ALL", A637)), ISNUMBER(FIND("]", A637)))),"",MAX(AJ$3:AJ636)+1)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268"/>
      <c r="AA638" s="264"/>
      <c r="AB638" s="264"/>
      <c r="AC638" s="269"/>
      <c r="AD638" s="264"/>
      <c r="AE638" s="503"/>
      <c r="AF638" s="504"/>
      <c r="AG638" s="504"/>
      <c r="AH638" s="505"/>
      <c r="AJ638" s="229" t="str">
        <f>IF(OR(A638="",AND(ISNUMBER(FIND("[", A638)), ISNUMBER(FIND("ALL", A638)), ISNUMBER(FIND("]", A638)))),"",MAX(AJ$3:AJ637)+1)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268"/>
      <c r="AA639" s="264"/>
      <c r="AB639" s="264"/>
      <c r="AC639" s="269"/>
      <c r="AD639" s="264"/>
      <c r="AE639" s="503"/>
      <c r="AF639" s="504"/>
      <c r="AG639" s="504"/>
      <c r="AH639" s="505"/>
      <c r="AJ639" s="229" t="str">
        <f>IF(OR(A639="",AND(ISNUMBER(FIND("[", A639)), ISNUMBER(FIND("ALL", A639)), ISNUMBER(FIND("]", A639)))),"",MAX(AJ$3:AJ638)+1)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268"/>
      <c r="AA640" s="264"/>
      <c r="AB640" s="264"/>
      <c r="AC640" s="269"/>
      <c r="AD640" s="264"/>
      <c r="AE640" s="503"/>
      <c r="AF640" s="504"/>
      <c r="AG640" s="504"/>
      <c r="AH640" s="505"/>
      <c r="AJ640" s="229" t="str">
        <f>IF(OR(A640="",AND(ISNUMBER(FIND("[", A640)), ISNUMBER(FIND("ALL", A640)), ISNUMBER(FIND("]", A640)))),"",MAX(AJ$3:AJ639)+1)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268"/>
      <c r="AA641" s="264"/>
      <c r="AB641" s="264"/>
      <c r="AC641" s="269"/>
      <c r="AD641" s="264"/>
      <c r="AE641" s="503"/>
      <c r="AF641" s="504"/>
      <c r="AG641" s="504"/>
      <c r="AH641" s="505"/>
      <c r="AJ641" s="229" t="str">
        <f>IF(OR(A641="",AND(ISNUMBER(FIND("[", A641)), ISNUMBER(FIND("ALL", A641)), ISNUMBER(FIND("]", A641)))),"",MAX(AJ$3:AJ640)+1)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268"/>
      <c r="AA642" s="264"/>
      <c r="AB642" s="264"/>
      <c r="AC642" s="269"/>
      <c r="AD642" s="264"/>
      <c r="AE642" s="503"/>
      <c r="AF642" s="504"/>
      <c r="AG642" s="504"/>
      <c r="AH642" s="505"/>
      <c r="AJ642" s="229" t="str">
        <f>IF(OR(A642="",AND(ISNUMBER(FIND("[", A642)), ISNUMBER(FIND("ALL", A642)), ISNUMBER(FIND("]", A642)))),"",MAX(AJ$3:AJ641)+1)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268"/>
      <c r="AA643" s="264"/>
      <c r="AB643" s="264"/>
      <c r="AC643" s="269"/>
      <c r="AD643" s="264"/>
      <c r="AE643" s="503"/>
      <c r="AF643" s="504"/>
      <c r="AG643" s="504"/>
      <c r="AH643" s="505"/>
      <c r="AJ643" s="229" t="str">
        <f>IF(OR(A643="",AND(ISNUMBER(FIND("[", A643)), ISNUMBER(FIND("ALL", A643)), ISNUMBER(FIND("]", A643)))),"",MAX(AJ$3:AJ642)+1)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268"/>
      <c r="AA644" s="264"/>
      <c r="AB644" s="264"/>
      <c r="AC644" s="269"/>
      <c r="AD644" s="264"/>
      <c r="AE644" s="503"/>
      <c r="AF644" s="504"/>
      <c r="AG644" s="504"/>
      <c r="AH644" s="505"/>
      <c r="AJ644" s="229" t="str">
        <f>IF(OR(A644="",AND(ISNUMBER(FIND("[", A644)), ISNUMBER(FIND("ALL", A644)), ISNUMBER(FIND("]", A644)))),"",MAX(AJ$3:AJ643)+1)</f>
        <v/>
      </c>
      <c r="AK644" s="229" t="str">
        <f t="shared" ref="AK644:AK707" si="10">IFERROR(INDEX($A$4:$A$1000,MATCH(ROW()-ROW($AK$3),$AJ$4:$AJ$1000,0)),"")</f>
        <v/>
      </c>
    </row>
    <row r="645" spans="1:37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268"/>
      <c r="AA645" s="264"/>
      <c r="AB645" s="264"/>
      <c r="AC645" s="269"/>
      <c r="AD645" s="264"/>
      <c r="AE645" s="503"/>
      <c r="AF645" s="504"/>
      <c r="AG645" s="504"/>
      <c r="AH645" s="505"/>
      <c r="AJ645" s="229" t="str">
        <f>IF(OR(A645="",AND(ISNUMBER(FIND("[", A645)), ISNUMBER(FIND("ALL", A645)), ISNUMBER(FIND("]", A645)))),"",MAX(AJ$3:AJ644)+1)</f>
        <v/>
      </c>
      <c r="AK645" s="229" t="str">
        <f t="shared" si="10"/>
        <v/>
      </c>
    </row>
    <row r="646" spans="1:37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268"/>
      <c r="AA646" s="264"/>
      <c r="AB646" s="264"/>
      <c r="AC646" s="269"/>
      <c r="AD646" s="264"/>
      <c r="AE646" s="503"/>
      <c r="AF646" s="504"/>
      <c r="AG646" s="504"/>
      <c r="AH646" s="505"/>
      <c r="AJ646" s="229" t="str">
        <f>IF(OR(A646="",AND(ISNUMBER(FIND("[", A646)), ISNUMBER(FIND("ALL", A646)), ISNUMBER(FIND("]", A646)))),"",MAX(AJ$3:AJ645)+1)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268"/>
      <c r="AA647" s="264"/>
      <c r="AB647" s="264"/>
      <c r="AC647" s="269"/>
      <c r="AD647" s="264"/>
      <c r="AE647" s="503"/>
      <c r="AF647" s="504"/>
      <c r="AG647" s="504"/>
      <c r="AH647" s="505"/>
      <c r="AJ647" s="229" t="str">
        <f>IF(OR(A647="",AND(ISNUMBER(FIND("[", A647)), ISNUMBER(FIND("ALL", A647)), ISNUMBER(FIND("]", A647)))),"",MAX(AJ$3:AJ646)+1)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268"/>
      <c r="AA648" s="264"/>
      <c r="AB648" s="264"/>
      <c r="AC648" s="269"/>
      <c r="AD648" s="264"/>
      <c r="AE648" s="503"/>
      <c r="AF648" s="504"/>
      <c r="AG648" s="504"/>
      <c r="AH648" s="505"/>
      <c r="AJ648" s="229" t="str">
        <f>IF(OR(A648="",AND(ISNUMBER(FIND("[", A648)), ISNUMBER(FIND("ALL", A648)), ISNUMBER(FIND("]", A648)))),"",MAX(AJ$3:AJ647)+1)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268"/>
      <c r="AA649" s="264"/>
      <c r="AB649" s="264"/>
      <c r="AC649" s="269"/>
      <c r="AD649" s="264"/>
      <c r="AE649" s="503"/>
      <c r="AF649" s="504"/>
      <c r="AG649" s="504"/>
      <c r="AH649" s="505"/>
      <c r="AJ649" s="229" t="str">
        <f>IF(OR(A649="",AND(ISNUMBER(FIND("[", A649)), ISNUMBER(FIND("ALL", A649)), ISNUMBER(FIND("]", A649)))),"",MAX(AJ$3:AJ648)+1)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268"/>
      <c r="AA650" s="264"/>
      <c r="AB650" s="264"/>
      <c r="AC650" s="269"/>
      <c r="AD650" s="264"/>
      <c r="AE650" s="503"/>
      <c r="AF650" s="504"/>
      <c r="AG650" s="504"/>
      <c r="AH650" s="505"/>
      <c r="AJ650" s="229" t="str">
        <f>IF(OR(A650="",AND(ISNUMBER(FIND("[", A650)), ISNUMBER(FIND("ALL", A650)), ISNUMBER(FIND("]", A650)))),"",MAX(AJ$3:AJ649)+1)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268"/>
      <c r="AA651" s="264"/>
      <c r="AB651" s="264"/>
      <c r="AC651" s="269"/>
      <c r="AD651" s="264"/>
      <c r="AE651" s="503"/>
      <c r="AF651" s="504"/>
      <c r="AG651" s="504"/>
      <c r="AH651" s="505"/>
      <c r="AJ651" s="229" t="str">
        <f>IF(OR(A651="",AND(ISNUMBER(FIND("[", A651)), ISNUMBER(FIND("ALL", A651)), ISNUMBER(FIND("]", A651)))),"",MAX(AJ$3:AJ650)+1)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268"/>
      <c r="AA652" s="264"/>
      <c r="AB652" s="264"/>
      <c r="AC652" s="269"/>
      <c r="AD652" s="264"/>
      <c r="AE652" s="503"/>
      <c r="AF652" s="504"/>
      <c r="AG652" s="504"/>
      <c r="AH652" s="505"/>
      <c r="AJ652" s="229" t="str">
        <f>IF(OR(A652="",AND(ISNUMBER(FIND("[", A652)), ISNUMBER(FIND("ALL", A652)), ISNUMBER(FIND("]", A652)))),"",MAX(AJ$3:AJ651)+1)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268"/>
      <c r="AA653" s="264"/>
      <c r="AB653" s="264"/>
      <c r="AC653" s="269"/>
      <c r="AD653" s="264"/>
      <c r="AE653" s="503"/>
      <c r="AF653" s="504"/>
      <c r="AG653" s="504"/>
      <c r="AH653" s="505"/>
      <c r="AJ653" s="229" t="str">
        <f>IF(OR(A653="",AND(ISNUMBER(FIND("[", A653)), ISNUMBER(FIND("ALL", A653)), ISNUMBER(FIND("]", A653)))),"",MAX(AJ$3:AJ652)+1)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268"/>
      <c r="AA654" s="264"/>
      <c r="AB654" s="264"/>
      <c r="AC654" s="269"/>
      <c r="AD654" s="264"/>
      <c r="AE654" s="503"/>
      <c r="AF654" s="504"/>
      <c r="AG654" s="504"/>
      <c r="AH654" s="505"/>
      <c r="AJ654" s="229" t="str">
        <f>IF(OR(A654="",AND(ISNUMBER(FIND("[", A654)), ISNUMBER(FIND("ALL", A654)), ISNUMBER(FIND("]", A654)))),"",MAX(AJ$3:AJ653)+1)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268"/>
      <c r="AA655" s="264"/>
      <c r="AB655" s="264"/>
      <c r="AC655" s="269"/>
      <c r="AD655" s="264"/>
      <c r="AE655" s="503"/>
      <c r="AF655" s="504"/>
      <c r="AG655" s="504"/>
      <c r="AH655" s="505"/>
      <c r="AJ655" s="229" t="str">
        <f>IF(OR(A655="",AND(ISNUMBER(FIND("[", A655)), ISNUMBER(FIND("ALL", A655)), ISNUMBER(FIND("]", A655)))),"",MAX(AJ$3:AJ654)+1)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268"/>
      <c r="AA656" s="264"/>
      <c r="AB656" s="264"/>
      <c r="AC656" s="269"/>
      <c r="AD656" s="264"/>
      <c r="AE656" s="503"/>
      <c r="AF656" s="504"/>
      <c r="AG656" s="504"/>
      <c r="AH656" s="505"/>
      <c r="AJ656" s="229" t="str">
        <f>IF(OR(A656="",AND(ISNUMBER(FIND("[", A656)), ISNUMBER(FIND("ALL", A656)), ISNUMBER(FIND("]", A656)))),"",MAX(AJ$3:AJ655)+1)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268"/>
      <c r="AA657" s="264"/>
      <c r="AB657" s="264"/>
      <c r="AC657" s="269"/>
      <c r="AD657" s="264"/>
      <c r="AE657" s="503"/>
      <c r="AF657" s="504"/>
      <c r="AG657" s="504"/>
      <c r="AH657" s="505"/>
      <c r="AJ657" s="229" t="str">
        <f>IF(OR(A657="",AND(ISNUMBER(FIND("[", A657)), ISNUMBER(FIND("ALL", A657)), ISNUMBER(FIND("]", A657)))),"",MAX(AJ$3:AJ656)+1)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268"/>
      <c r="AA658" s="264"/>
      <c r="AB658" s="264"/>
      <c r="AC658" s="269"/>
      <c r="AD658" s="264"/>
      <c r="AE658" s="503"/>
      <c r="AF658" s="504"/>
      <c r="AG658" s="504"/>
      <c r="AH658" s="505"/>
      <c r="AJ658" s="229" t="str">
        <f>IF(OR(A658="",AND(ISNUMBER(FIND("[", A658)), ISNUMBER(FIND("ALL", A658)), ISNUMBER(FIND("]", A658)))),"",MAX(AJ$3:AJ657)+1)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268"/>
      <c r="AA659" s="264"/>
      <c r="AB659" s="264"/>
      <c r="AC659" s="269"/>
      <c r="AD659" s="264"/>
      <c r="AE659" s="503"/>
      <c r="AF659" s="504"/>
      <c r="AG659" s="504"/>
      <c r="AH659" s="505"/>
      <c r="AJ659" s="229" t="str">
        <f>IF(OR(A659="",AND(ISNUMBER(FIND("[", A659)), ISNUMBER(FIND("ALL", A659)), ISNUMBER(FIND("]", A659)))),"",MAX(AJ$3:AJ658)+1)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268"/>
      <c r="AA660" s="264"/>
      <c r="AB660" s="264"/>
      <c r="AC660" s="269"/>
      <c r="AD660" s="264"/>
      <c r="AE660" s="503"/>
      <c r="AF660" s="504"/>
      <c r="AG660" s="504"/>
      <c r="AH660" s="505"/>
      <c r="AJ660" s="229" t="str">
        <f>IF(OR(A660="",AND(ISNUMBER(FIND("[", A660)), ISNUMBER(FIND("ALL", A660)), ISNUMBER(FIND("]", A660)))),"",MAX(AJ$3:AJ659)+1)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268"/>
      <c r="AA661" s="264"/>
      <c r="AB661" s="264"/>
      <c r="AC661" s="269"/>
      <c r="AD661" s="264"/>
      <c r="AE661" s="503"/>
      <c r="AF661" s="504"/>
      <c r="AG661" s="504"/>
      <c r="AH661" s="505"/>
      <c r="AJ661" s="229" t="str">
        <f>IF(OR(A661="",AND(ISNUMBER(FIND("[", A661)), ISNUMBER(FIND("ALL", A661)), ISNUMBER(FIND("]", A661)))),"",MAX(AJ$3:AJ660)+1)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268"/>
      <c r="AA662" s="264"/>
      <c r="AB662" s="264"/>
      <c r="AC662" s="269"/>
      <c r="AD662" s="264"/>
      <c r="AE662" s="503"/>
      <c r="AF662" s="504"/>
      <c r="AG662" s="504"/>
      <c r="AH662" s="505"/>
      <c r="AJ662" s="229" t="str">
        <f>IF(OR(A662="",AND(ISNUMBER(FIND("[", A662)), ISNUMBER(FIND("ALL", A662)), ISNUMBER(FIND("]", A662)))),"",MAX(AJ$3:AJ661)+1)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268"/>
      <c r="AA663" s="264"/>
      <c r="AB663" s="264"/>
      <c r="AC663" s="269"/>
      <c r="AD663" s="264"/>
      <c r="AE663" s="503"/>
      <c r="AF663" s="504"/>
      <c r="AG663" s="504"/>
      <c r="AH663" s="505"/>
      <c r="AJ663" s="229" t="str">
        <f>IF(OR(A663="",AND(ISNUMBER(FIND("[", A663)), ISNUMBER(FIND("ALL", A663)), ISNUMBER(FIND("]", A663)))),"",MAX(AJ$3:AJ662)+1)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268"/>
      <c r="AA664" s="264"/>
      <c r="AB664" s="264"/>
      <c r="AC664" s="269"/>
      <c r="AD664" s="264"/>
      <c r="AE664" s="503"/>
      <c r="AF664" s="504"/>
      <c r="AG664" s="504"/>
      <c r="AH664" s="505"/>
      <c r="AJ664" s="229" t="str">
        <f>IF(OR(A664="",AND(ISNUMBER(FIND("[", A664)), ISNUMBER(FIND("ALL", A664)), ISNUMBER(FIND("]", A664)))),"",MAX(AJ$3:AJ663)+1)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268"/>
      <c r="AA665" s="264"/>
      <c r="AB665" s="264"/>
      <c r="AC665" s="269"/>
      <c r="AD665" s="264"/>
      <c r="AE665" s="503"/>
      <c r="AF665" s="504"/>
      <c r="AG665" s="504"/>
      <c r="AH665" s="505"/>
      <c r="AJ665" s="229" t="str">
        <f>IF(OR(A665="",AND(ISNUMBER(FIND("[", A665)), ISNUMBER(FIND("ALL", A665)), ISNUMBER(FIND("]", A665)))),"",MAX(AJ$3:AJ664)+1)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268"/>
      <c r="AA666" s="264"/>
      <c r="AB666" s="264"/>
      <c r="AC666" s="269"/>
      <c r="AD666" s="264"/>
      <c r="AE666" s="503"/>
      <c r="AF666" s="504"/>
      <c r="AG666" s="504"/>
      <c r="AH666" s="505"/>
      <c r="AJ666" s="229" t="str">
        <f>IF(OR(A666="",AND(ISNUMBER(FIND("[", A666)), ISNUMBER(FIND("ALL", A666)), ISNUMBER(FIND("]", A666)))),"",MAX(AJ$3:AJ665)+1)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268"/>
      <c r="AA667" s="264"/>
      <c r="AB667" s="264"/>
      <c r="AC667" s="269"/>
      <c r="AD667" s="264"/>
      <c r="AE667" s="503"/>
      <c r="AF667" s="504"/>
      <c r="AG667" s="504"/>
      <c r="AH667" s="505"/>
      <c r="AJ667" s="229" t="str">
        <f>IF(OR(A667="",AND(ISNUMBER(FIND("[", A667)), ISNUMBER(FIND("ALL", A667)), ISNUMBER(FIND("]", A667)))),"",MAX(AJ$3:AJ666)+1)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268"/>
      <c r="AA668" s="264"/>
      <c r="AB668" s="264"/>
      <c r="AC668" s="269"/>
      <c r="AD668" s="264"/>
      <c r="AE668" s="503"/>
      <c r="AF668" s="504"/>
      <c r="AG668" s="504"/>
      <c r="AH668" s="505"/>
      <c r="AJ668" s="229" t="str">
        <f>IF(OR(A668="",AND(ISNUMBER(FIND("[", A668)), ISNUMBER(FIND("ALL", A668)), ISNUMBER(FIND("]", A668)))),"",MAX(AJ$3:AJ667)+1)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268"/>
      <c r="AA669" s="264"/>
      <c r="AB669" s="264"/>
      <c r="AC669" s="269"/>
      <c r="AD669" s="264"/>
      <c r="AE669" s="503"/>
      <c r="AF669" s="504"/>
      <c r="AG669" s="504"/>
      <c r="AH669" s="505"/>
      <c r="AJ669" s="229" t="str">
        <f>IF(OR(A669="",AND(ISNUMBER(FIND("[", A669)), ISNUMBER(FIND("ALL", A669)), ISNUMBER(FIND("]", A669)))),"",MAX(AJ$3:AJ668)+1)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268"/>
      <c r="AA670" s="264"/>
      <c r="AB670" s="264"/>
      <c r="AC670" s="269"/>
      <c r="AD670" s="264"/>
      <c r="AE670" s="503"/>
      <c r="AF670" s="504"/>
      <c r="AG670" s="504"/>
      <c r="AH670" s="505"/>
      <c r="AJ670" s="229" t="str">
        <f>IF(OR(A670="",AND(ISNUMBER(FIND("[", A670)), ISNUMBER(FIND("ALL", A670)), ISNUMBER(FIND("]", A670)))),"",MAX(AJ$3:AJ669)+1)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268"/>
      <c r="AA671" s="264"/>
      <c r="AB671" s="264"/>
      <c r="AC671" s="269"/>
      <c r="AD671" s="264"/>
      <c r="AE671" s="503"/>
      <c r="AF671" s="504"/>
      <c r="AG671" s="504"/>
      <c r="AH671" s="505"/>
      <c r="AJ671" s="229" t="str">
        <f>IF(OR(A671="",AND(ISNUMBER(FIND("[", A671)), ISNUMBER(FIND("ALL", A671)), ISNUMBER(FIND("]", A671)))),"",MAX(AJ$3:AJ670)+1)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268"/>
      <c r="AA672" s="264"/>
      <c r="AB672" s="264"/>
      <c r="AC672" s="269"/>
      <c r="AD672" s="264"/>
      <c r="AE672" s="503"/>
      <c r="AF672" s="504"/>
      <c r="AG672" s="504"/>
      <c r="AH672" s="505"/>
      <c r="AJ672" s="229" t="str">
        <f>IF(OR(A672="",AND(ISNUMBER(FIND("[", A672)), ISNUMBER(FIND("ALL", A672)), ISNUMBER(FIND("]", A672)))),"",MAX(AJ$3:AJ671)+1)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268"/>
      <c r="AA673" s="264"/>
      <c r="AB673" s="264"/>
      <c r="AC673" s="269"/>
      <c r="AD673" s="264"/>
      <c r="AE673" s="503"/>
      <c r="AF673" s="504"/>
      <c r="AG673" s="504"/>
      <c r="AH673" s="505"/>
      <c r="AJ673" s="229" t="str">
        <f>IF(OR(A673="",AND(ISNUMBER(FIND("[", A673)), ISNUMBER(FIND("ALL", A673)), ISNUMBER(FIND("]", A673)))),"",MAX(AJ$3:AJ672)+1)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268"/>
      <c r="AA674" s="264"/>
      <c r="AB674" s="264"/>
      <c r="AC674" s="269"/>
      <c r="AD674" s="264"/>
      <c r="AE674" s="503"/>
      <c r="AF674" s="504"/>
      <c r="AG674" s="504"/>
      <c r="AH674" s="505"/>
      <c r="AJ674" s="229" t="str">
        <f>IF(OR(A674="",AND(ISNUMBER(FIND("[", A674)), ISNUMBER(FIND("ALL", A674)), ISNUMBER(FIND("]", A674)))),"",MAX(AJ$3:AJ673)+1)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268"/>
      <c r="AA675" s="264"/>
      <c r="AB675" s="264"/>
      <c r="AC675" s="269"/>
      <c r="AD675" s="264"/>
      <c r="AE675" s="503"/>
      <c r="AF675" s="504"/>
      <c r="AG675" s="504"/>
      <c r="AH675" s="505"/>
      <c r="AJ675" s="229" t="str">
        <f>IF(OR(A675="",AND(ISNUMBER(FIND("[", A675)), ISNUMBER(FIND("ALL", A675)), ISNUMBER(FIND("]", A675)))),"",MAX(AJ$3:AJ674)+1)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268"/>
      <c r="AA676" s="264"/>
      <c r="AB676" s="264"/>
      <c r="AC676" s="269"/>
      <c r="AD676" s="264"/>
      <c r="AE676" s="503"/>
      <c r="AF676" s="504"/>
      <c r="AG676" s="504"/>
      <c r="AH676" s="505"/>
      <c r="AJ676" s="229" t="str">
        <f>IF(OR(A676="",AND(ISNUMBER(FIND("[", A676)), ISNUMBER(FIND("ALL", A676)), ISNUMBER(FIND("]", A676)))),"",MAX(AJ$3:AJ675)+1)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268"/>
      <c r="AA677" s="264"/>
      <c r="AB677" s="264"/>
      <c r="AC677" s="269"/>
      <c r="AD677" s="264"/>
      <c r="AE677" s="503"/>
      <c r="AF677" s="504"/>
      <c r="AG677" s="504"/>
      <c r="AH677" s="505"/>
      <c r="AJ677" s="229" t="str">
        <f>IF(OR(A677="",AND(ISNUMBER(FIND("[", A677)), ISNUMBER(FIND("ALL", A677)), ISNUMBER(FIND("]", A677)))),"",MAX(AJ$3:AJ676)+1)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268"/>
      <c r="AA678" s="264"/>
      <c r="AB678" s="264"/>
      <c r="AC678" s="269"/>
      <c r="AD678" s="264"/>
      <c r="AE678" s="503"/>
      <c r="AF678" s="504"/>
      <c r="AG678" s="504"/>
      <c r="AH678" s="505"/>
      <c r="AJ678" s="229" t="str">
        <f>IF(OR(A678="",AND(ISNUMBER(FIND("[", A678)), ISNUMBER(FIND("ALL", A678)), ISNUMBER(FIND("]", A678)))),"",MAX(AJ$3:AJ677)+1)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268"/>
      <c r="AA679" s="264"/>
      <c r="AB679" s="264"/>
      <c r="AC679" s="269"/>
      <c r="AD679" s="264"/>
      <c r="AE679" s="503"/>
      <c r="AF679" s="504"/>
      <c r="AG679" s="504"/>
      <c r="AH679" s="505"/>
      <c r="AJ679" s="229" t="str">
        <f>IF(OR(A679="",AND(ISNUMBER(FIND("[", A679)), ISNUMBER(FIND("ALL", A679)), ISNUMBER(FIND("]", A679)))),"",MAX(AJ$3:AJ678)+1)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268"/>
      <c r="AA680" s="264"/>
      <c r="AB680" s="264"/>
      <c r="AC680" s="269"/>
      <c r="AD680" s="264"/>
      <c r="AE680" s="503"/>
      <c r="AF680" s="504"/>
      <c r="AG680" s="504"/>
      <c r="AH680" s="505"/>
      <c r="AJ680" s="229" t="str">
        <f>IF(OR(A680="",AND(ISNUMBER(FIND("[", A680)), ISNUMBER(FIND("ALL", A680)), ISNUMBER(FIND("]", A680)))),"",MAX(AJ$3:AJ679)+1)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268"/>
      <c r="AA681" s="264"/>
      <c r="AB681" s="264"/>
      <c r="AC681" s="269"/>
      <c r="AD681" s="264"/>
      <c r="AE681" s="503"/>
      <c r="AF681" s="504"/>
      <c r="AG681" s="504"/>
      <c r="AH681" s="505"/>
      <c r="AJ681" s="229" t="str">
        <f>IF(OR(A681="",AND(ISNUMBER(FIND("[", A681)), ISNUMBER(FIND("ALL", A681)), ISNUMBER(FIND("]", A681)))),"",MAX(AJ$3:AJ680)+1)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268"/>
      <c r="AA682" s="264"/>
      <c r="AB682" s="264"/>
      <c r="AC682" s="269"/>
      <c r="AD682" s="264"/>
      <c r="AE682" s="503"/>
      <c r="AF682" s="504"/>
      <c r="AG682" s="504"/>
      <c r="AH682" s="505"/>
      <c r="AJ682" s="229" t="str">
        <f>IF(OR(A682="",AND(ISNUMBER(FIND("[", A682)), ISNUMBER(FIND("ALL", A682)), ISNUMBER(FIND("]", A682)))),"",MAX(AJ$3:AJ681)+1)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268"/>
      <c r="AA683" s="264"/>
      <c r="AB683" s="264"/>
      <c r="AC683" s="269"/>
      <c r="AD683" s="264"/>
      <c r="AE683" s="503"/>
      <c r="AF683" s="504"/>
      <c r="AG683" s="504"/>
      <c r="AH683" s="505"/>
      <c r="AJ683" s="229" t="str">
        <f>IF(OR(A683="",AND(ISNUMBER(FIND("[", A683)), ISNUMBER(FIND("ALL", A683)), ISNUMBER(FIND("]", A683)))),"",MAX(AJ$3:AJ682)+1)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268"/>
      <c r="AA684" s="264"/>
      <c r="AB684" s="264"/>
      <c r="AC684" s="269"/>
      <c r="AD684" s="264"/>
      <c r="AE684" s="503"/>
      <c r="AF684" s="504"/>
      <c r="AG684" s="504"/>
      <c r="AH684" s="505"/>
      <c r="AJ684" s="229" t="str">
        <f>IF(OR(A684="",AND(ISNUMBER(FIND("[", A684)), ISNUMBER(FIND("ALL", A684)), ISNUMBER(FIND("]", A684)))),"",MAX(AJ$3:AJ683)+1)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268"/>
      <c r="AA685" s="264"/>
      <c r="AB685" s="264"/>
      <c r="AC685" s="269"/>
      <c r="AD685" s="264"/>
      <c r="AE685" s="503"/>
      <c r="AF685" s="504"/>
      <c r="AG685" s="504"/>
      <c r="AH685" s="505"/>
      <c r="AJ685" s="229" t="str">
        <f>IF(OR(A685="",AND(ISNUMBER(FIND("[", A685)), ISNUMBER(FIND("ALL", A685)), ISNUMBER(FIND("]", A685)))),"",MAX(AJ$3:AJ684)+1)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268"/>
      <c r="AA686" s="264"/>
      <c r="AB686" s="264"/>
      <c r="AC686" s="269"/>
      <c r="AD686" s="264"/>
      <c r="AE686" s="503"/>
      <c r="AF686" s="504"/>
      <c r="AG686" s="504"/>
      <c r="AH686" s="505"/>
      <c r="AJ686" s="229" t="str">
        <f>IF(OR(A686="",AND(ISNUMBER(FIND("[", A686)), ISNUMBER(FIND("ALL", A686)), ISNUMBER(FIND("]", A686)))),"",MAX(AJ$3:AJ685)+1)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268"/>
      <c r="AA687" s="264"/>
      <c r="AB687" s="264"/>
      <c r="AC687" s="269"/>
      <c r="AD687" s="264"/>
      <c r="AE687" s="503"/>
      <c r="AF687" s="504"/>
      <c r="AG687" s="504"/>
      <c r="AH687" s="505"/>
      <c r="AJ687" s="229" t="str">
        <f>IF(OR(A687="",AND(ISNUMBER(FIND("[", A687)), ISNUMBER(FIND("ALL", A687)), ISNUMBER(FIND("]", A687)))),"",MAX(AJ$3:AJ686)+1)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268"/>
      <c r="AA688" s="264"/>
      <c r="AB688" s="264"/>
      <c r="AC688" s="269"/>
      <c r="AD688" s="264"/>
      <c r="AE688" s="503"/>
      <c r="AF688" s="504"/>
      <c r="AG688" s="504"/>
      <c r="AH688" s="505"/>
      <c r="AJ688" s="229" t="str">
        <f>IF(OR(A688="",AND(ISNUMBER(FIND("[", A688)), ISNUMBER(FIND("ALL", A688)), ISNUMBER(FIND("]", A688)))),"",MAX(AJ$3:AJ687)+1)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268"/>
      <c r="AA689" s="264"/>
      <c r="AB689" s="264"/>
      <c r="AC689" s="269"/>
      <c r="AD689" s="264"/>
      <c r="AE689" s="503"/>
      <c r="AF689" s="504"/>
      <c r="AG689" s="504"/>
      <c r="AH689" s="505"/>
      <c r="AJ689" s="229" t="str">
        <f>IF(OR(A689="",AND(ISNUMBER(FIND("[", A689)), ISNUMBER(FIND("ALL", A689)), ISNUMBER(FIND("]", A689)))),"",MAX(AJ$3:AJ688)+1)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268"/>
      <c r="AA690" s="264"/>
      <c r="AB690" s="264"/>
      <c r="AC690" s="269"/>
      <c r="AD690" s="264"/>
      <c r="AE690" s="503"/>
      <c r="AF690" s="504"/>
      <c r="AG690" s="504"/>
      <c r="AH690" s="505"/>
      <c r="AJ690" s="229" t="str">
        <f>IF(OR(A690="",AND(ISNUMBER(FIND("[", A690)), ISNUMBER(FIND("ALL", A690)), ISNUMBER(FIND("]", A690)))),"",MAX(AJ$3:AJ689)+1)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268"/>
      <c r="AA691" s="264"/>
      <c r="AB691" s="264"/>
      <c r="AC691" s="269"/>
      <c r="AD691" s="264"/>
      <c r="AE691" s="503"/>
      <c r="AF691" s="504"/>
      <c r="AG691" s="504"/>
      <c r="AH691" s="505"/>
      <c r="AJ691" s="229" t="str">
        <f>IF(OR(A691="",AND(ISNUMBER(FIND("[", A691)), ISNUMBER(FIND("ALL", A691)), ISNUMBER(FIND("]", A691)))),"",MAX(AJ$3:AJ690)+1)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268"/>
      <c r="AA692" s="264"/>
      <c r="AB692" s="264"/>
      <c r="AC692" s="269"/>
      <c r="AD692" s="264"/>
      <c r="AE692" s="503"/>
      <c r="AF692" s="504"/>
      <c r="AG692" s="504"/>
      <c r="AH692" s="505"/>
      <c r="AJ692" s="229" t="str">
        <f>IF(OR(A692="",AND(ISNUMBER(FIND("[", A692)), ISNUMBER(FIND("ALL", A692)), ISNUMBER(FIND("]", A692)))),"",MAX(AJ$3:AJ691)+1)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268"/>
      <c r="AA693" s="264"/>
      <c r="AB693" s="264"/>
      <c r="AC693" s="269"/>
      <c r="AD693" s="264"/>
      <c r="AE693" s="503"/>
      <c r="AF693" s="504"/>
      <c r="AG693" s="504"/>
      <c r="AH693" s="505"/>
      <c r="AJ693" s="229" t="str">
        <f>IF(OR(A693="",AND(ISNUMBER(FIND("[", A693)), ISNUMBER(FIND("ALL", A693)), ISNUMBER(FIND("]", A693)))),"",MAX(AJ$3:AJ692)+1)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268"/>
      <c r="AA694" s="264"/>
      <c r="AB694" s="264"/>
      <c r="AC694" s="269"/>
      <c r="AD694" s="264"/>
      <c r="AE694" s="503"/>
      <c r="AF694" s="504"/>
      <c r="AG694" s="504"/>
      <c r="AH694" s="505"/>
      <c r="AJ694" s="229" t="str">
        <f>IF(OR(A694="",AND(ISNUMBER(FIND("[", A694)), ISNUMBER(FIND("ALL", A694)), ISNUMBER(FIND("]", A694)))),"",MAX(AJ$3:AJ693)+1)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268"/>
      <c r="AA695" s="264"/>
      <c r="AB695" s="264"/>
      <c r="AC695" s="269"/>
      <c r="AD695" s="264"/>
      <c r="AE695" s="503"/>
      <c r="AF695" s="504"/>
      <c r="AG695" s="504"/>
      <c r="AH695" s="505"/>
      <c r="AJ695" s="229" t="str">
        <f>IF(OR(A695="",AND(ISNUMBER(FIND("[", A695)), ISNUMBER(FIND("ALL", A695)), ISNUMBER(FIND("]", A695)))),"",MAX(AJ$3:AJ694)+1)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268"/>
      <c r="AA696" s="264"/>
      <c r="AB696" s="264"/>
      <c r="AC696" s="269"/>
      <c r="AD696" s="264"/>
      <c r="AE696" s="503"/>
      <c r="AF696" s="504"/>
      <c r="AG696" s="504"/>
      <c r="AH696" s="505"/>
      <c r="AJ696" s="229" t="str">
        <f>IF(OR(A696="",AND(ISNUMBER(FIND("[", A696)), ISNUMBER(FIND("ALL", A696)), ISNUMBER(FIND("]", A696)))),"",MAX(AJ$3:AJ695)+1)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268"/>
      <c r="AA697" s="264"/>
      <c r="AB697" s="264"/>
      <c r="AC697" s="269"/>
      <c r="AD697" s="264"/>
      <c r="AE697" s="503"/>
      <c r="AF697" s="504"/>
      <c r="AG697" s="504"/>
      <c r="AH697" s="505"/>
      <c r="AJ697" s="229" t="str">
        <f>IF(OR(A697="",AND(ISNUMBER(FIND("[", A697)), ISNUMBER(FIND("ALL", A697)), ISNUMBER(FIND("]", A697)))),"",MAX(AJ$3:AJ696)+1)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268"/>
      <c r="AA698" s="264"/>
      <c r="AB698" s="264"/>
      <c r="AC698" s="269"/>
      <c r="AD698" s="264"/>
      <c r="AE698" s="503"/>
      <c r="AF698" s="504"/>
      <c r="AG698" s="504"/>
      <c r="AH698" s="505"/>
      <c r="AJ698" s="229" t="str">
        <f>IF(OR(A698="",AND(ISNUMBER(FIND("[", A698)), ISNUMBER(FIND("ALL", A698)), ISNUMBER(FIND("]", A698)))),"",MAX(AJ$3:AJ697)+1)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268"/>
      <c r="AA699" s="264"/>
      <c r="AB699" s="264"/>
      <c r="AC699" s="269"/>
      <c r="AD699" s="264"/>
      <c r="AE699" s="503"/>
      <c r="AF699" s="504"/>
      <c r="AG699" s="504"/>
      <c r="AH699" s="505"/>
      <c r="AJ699" s="229" t="str">
        <f>IF(OR(A699="",AND(ISNUMBER(FIND("[", A699)), ISNUMBER(FIND("ALL", A699)), ISNUMBER(FIND("]", A699)))),"",MAX(AJ$3:AJ698)+1)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268"/>
      <c r="AA700" s="264"/>
      <c r="AB700" s="264"/>
      <c r="AC700" s="269"/>
      <c r="AD700" s="264"/>
      <c r="AE700" s="503"/>
      <c r="AF700" s="504"/>
      <c r="AG700" s="504"/>
      <c r="AH700" s="505"/>
      <c r="AJ700" s="229" t="str">
        <f>IF(OR(A700="",AND(ISNUMBER(FIND("[", A700)), ISNUMBER(FIND("ALL", A700)), ISNUMBER(FIND("]", A700)))),"",MAX(AJ$3:AJ699)+1)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268"/>
      <c r="AA701" s="264"/>
      <c r="AB701" s="264"/>
      <c r="AC701" s="269"/>
      <c r="AD701" s="264"/>
      <c r="AE701" s="503"/>
      <c r="AF701" s="504"/>
      <c r="AG701" s="504"/>
      <c r="AH701" s="505"/>
      <c r="AJ701" s="229" t="str">
        <f>IF(OR(A701="",AND(ISNUMBER(FIND("[", A701)), ISNUMBER(FIND("ALL", A701)), ISNUMBER(FIND("]", A701)))),"",MAX(AJ$3:AJ700)+1)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268"/>
      <c r="AA702" s="264"/>
      <c r="AB702" s="264"/>
      <c r="AC702" s="269"/>
      <c r="AD702" s="264"/>
      <c r="AE702" s="503"/>
      <c r="AF702" s="504"/>
      <c r="AG702" s="504"/>
      <c r="AH702" s="505"/>
      <c r="AJ702" s="229" t="str">
        <f>IF(OR(A702="",AND(ISNUMBER(FIND("[", A702)), ISNUMBER(FIND("ALL", A702)), ISNUMBER(FIND("]", A702)))),"",MAX(AJ$3:AJ701)+1)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268"/>
      <c r="AA703" s="264"/>
      <c r="AB703" s="264"/>
      <c r="AC703" s="269"/>
      <c r="AD703" s="264"/>
      <c r="AE703" s="503"/>
      <c r="AF703" s="504"/>
      <c r="AG703" s="504"/>
      <c r="AH703" s="505"/>
      <c r="AJ703" s="229" t="str">
        <f>IF(OR(A703="",AND(ISNUMBER(FIND("[", A703)), ISNUMBER(FIND("ALL", A703)), ISNUMBER(FIND("]", A703)))),"",MAX(AJ$3:AJ702)+1)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268"/>
      <c r="AA704" s="264"/>
      <c r="AB704" s="264"/>
      <c r="AC704" s="269"/>
      <c r="AD704" s="264"/>
      <c r="AE704" s="503"/>
      <c r="AF704" s="504"/>
      <c r="AG704" s="504"/>
      <c r="AH704" s="505"/>
      <c r="AJ704" s="229" t="str">
        <f>IF(OR(A704="",AND(ISNUMBER(FIND("[", A704)), ISNUMBER(FIND("ALL", A704)), ISNUMBER(FIND("]", A704)))),"",MAX(AJ$3:AJ703)+1)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268"/>
      <c r="AA705" s="264"/>
      <c r="AB705" s="264"/>
      <c r="AC705" s="269"/>
      <c r="AD705" s="264"/>
      <c r="AE705" s="503"/>
      <c r="AF705" s="504"/>
      <c r="AG705" s="504"/>
      <c r="AH705" s="505"/>
      <c r="AJ705" s="229" t="str">
        <f>IF(OR(A705="",AND(ISNUMBER(FIND("[", A705)), ISNUMBER(FIND("ALL", A705)), ISNUMBER(FIND("]", A705)))),"",MAX(AJ$3:AJ704)+1)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268"/>
      <c r="AA706" s="264"/>
      <c r="AB706" s="264"/>
      <c r="AC706" s="269"/>
      <c r="AD706" s="264"/>
      <c r="AE706" s="503"/>
      <c r="AF706" s="504"/>
      <c r="AG706" s="504"/>
      <c r="AH706" s="505"/>
      <c r="AJ706" s="229" t="str">
        <f>IF(OR(A706="",AND(ISNUMBER(FIND("[", A706)), ISNUMBER(FIND("ALL", A706)), ISNUMBER(FIND("]", A706)))),"",MAX(AJ$3:AJ705)+1)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268"/>
      <c r="AA707" s="264"/>
      <c r="AB707" s="264"/>
      <c r="AC707" s="269"/>
      <c r="AD707" s="264"/>
      <c r="AE707" s="503"/>
      <c r="AF707" s="504"/>
      <c r="AG707" s="504"/>
      <c r="AH707" s="505"/>
      <c r="AJ707" s="229" t="str">
        <f>IF(OR(A707="",AND(ISNUMBER(FIND("[", A707)), ISNUMBER(FIND("ALL", A707)), ISNUMBER(FIND("]", A707)))),"",MAX(AJ$3:AJ706)+1)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268"/>
      <c r="AA708" s="264"/>
      <c r="AB708" s="264"/>
      <c r="AC708" s="269"/>
      <c r="AD708" s="264"/>
      <c r="AE708" s="503"/>
      <c r="AF708" s="504"/>
      <c r="AG708" s="504"/>
      <c r="AH708" s="505"/>
      <c r="AJ708" s="229" t="str">
        <f>IF(OR(A708="",AND(ISNUMBER(FIND("[", A708)), ISNUMBER(FIND("ALL", A708)), ISNUMBER(FIND("]", A708)))),"",MAX(AJ$3:AJ707)+1)</f>
        <v/>
      </c>
      <c r="AK708" s="229" t="str">
        <f t="shared" ref="AK708:AK771" si="11">IFERROR(INDEX($A$4:$A$1000,MATCH(ROW()-ROW($AK$3),$AJ$4:$AJ$1000,0)),"")</f>
        <v/>
      </c>
    </row>
    <row r="709" spans="1:37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268"/>
      <c r="AA709" s="264"/>
      <c r="AB709" s="264"/>
      <c r="AC709" s="269"/>
      <c r="AD709" s="264"/>
      <c r="AE709" s="503"/>
      <c r="AF709" s="504"/>
      <c r="AG709" s="504"/>
      <c r="AH709" s="505"/>
      <c r="AJ709" s="229" t="str">
        <f>IF(OR(A709="",AND(ISNUMBER(FIND("[", A709)), ISNUMBER(FIND("ALL", A709)), ISNUMBER(FIND("]", A709)))),"",MAX(AJ$3:AJ708)+1)</f>
        <v/>
      </c>
      <c r="AK709" s="229" t="str">
        <f t="shared" si="11"/>
        <v/>
      </c>
    </row>
    <row r="710" spans="1:37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268"/>
      <c r="AA710" s="264"/>
      <c r="AB710" s="264"/>
      <c r="AC710" s="269"/>
      <c r="AD710" s="264"/>
      <c r="AE710" s="503"/>
      <c r="AF710" s="504"/>
      <c r="AG710" s="504"/>
      <c r="AH710" s="505"/>
      <c r="AJ710" s="229" t="str">
        <f>IF(OR(A710="",AND(ISNUMBER(FIND("[", A710)), ISNUMBER(FIND("ALL", A710)), ISNUMBER(FIND("]", A710)))),"",MAX(AJ$3:AJ709)+1)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268"/>
      <c r="AA711" s="264"/>
      <c r="AB711" s="264"/>
      <c r="AC711" s="269"/>
      <c r="AD711" s="264"/>
      <c r="AE711" s="503"/>
      <c r="AF711" s="504"/>
      <c r="AG711" s="504"/>
      <c r="AH711" s="505"/>
      <c r="AJ711" s="229" t="str">
        <f>IF(OR(A711="",AND(ISNUMBER(FIND("[", A711)), ISNUMBER(FIND("ALL", A711)), ISNUMBER(FIND("]", A711)))),"",MAX(AJ$3:AJ710)+1)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268"/>
      <c r="AA712" s="264"/>
      <c r="AB712" s="264"/>
      <c r="AC712" s="269"/>
      <c r="AD712" s="264"/>
      <c r="AE712" s="503"/>
      <c r="AF712" s="504"/>
      <c r="AG712" s="504"/>
      <c r="AH712" s="505"/>
      <c r="AJ712" s="229" t="str">
        <f>IF(OR(A712="",AND(ISNUMBER(FIND("[", A712)), ISNUMBER(FIND("ALL", A712)), ISNUMBER(FIND("]", A712)))),"",MAX(AJ$3:AJ711)+1)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268"/>
      <c r="AA713" s="264"/>
      <c r="AB713" s="264"/>
      <c r="AC713" s="269"/>
      <c r="AD713" s="264"/>
      <c r="AE713" s="503"/>
      <c r="AF713" s="504"/>
      <c r="AG713" s="504"/>
      <c r="AH713" s="505"/>
      <c r="AJ713" s="229" t="str">
        <f>IF(OR(A713="",AND(ISNUMBER(FIND("[", A713)), ISNUMBER(FIND("ALL", A713)), ISNUMBER(FIND("]", A713)))),"",MAX(AJ$3:AJ712)+1)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268"/>
      <c r="AA714" s="264"/>
      <c r="AB714" s="264"/>
      <c r="AC714" s="269"/>
      <c r="AD714" s="264"/>
      <c r="AE714" s="503"/>
      <c r="AF714" s="504"/>
      <c r="AG714" s="504"/>
      <c r="AH714" s="505"/>
      <c r="AJ714" s="229" t="str">
        <f>IF(OR(A714="",AND(ISNUMBER(FIND("[", A714)), ISNUMBER(FIND("ALL", A714)), ISNUMBER(FIND("]", A714)))),"",MAX(AJ$3:AJ713)+1)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268"/>
      <c r="AA715" s="264"/>
      <c r="AB715" s="264"/>
      <c r="AC715" s="269"/>
      <c r="AD715" s="264"/>
      <c r="AE715" s="503"/>
      <c r="AF715" s="504"/>
      <c r="AG715" s="504"/>
      <c r="AH715" s="505"/>
      <c r="AJ715" s="229" t="str">
        <f>IF(OR(A715="",AND(ISNUMBER(FIND("[", A715)), ISNUMBER(FIND("ALL", A715)), ISNUMBER(FIND("]", A715)))),"",MAX(AJ$3:AJ714)+1)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268"/>
      <c r="AA716" s="264"/>
      <c r="AB716" s="264"/>
      <c r="AC716" s="269"/>
      <c r="AD716" s="264"/>
      <c r="AE716" s="503"/>
      <c r="AF716" s="504"/>
      <c r="AG716" s="504"/>
      <c r="AH716" s="505"/>
      <c r="AJ716" s="229" t="str">
        <f>IF(OR(A716="",AND(ISNUMBER(FIND("[", A716)), ISNUMBER(FIND("ALL", A716)), ISNUMBER(FIND("]", A716)))),"",MAX(AJ$3:AJ715)+1)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268"/>
      <c r="AA717" s="264"/>
      <c r="AB717" s="264"/>
      <c r="AC717" s="269"/>
      <c r="AD717" s="264"/>
      <c r="AE717" s="503"/>
      <c r="AF717" s="504"/>
      <c r="AG717" s="504"/>
      <c r="AH717" s="505"/>
      <c r="AJ717" s="229" t="str">
        <f>IF(OR(A717="",AND(ISNUMBER(FIND("[", A717)), ISNUMBER(FIND("ALL", A717)), ISNUMBER(FIND("]", A717)))),"",MAX(AJ$3:AJ716)+1)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268"/>
      <c r="AA718" s="264"/>
      <c r="AB718" s="264"/>
      <c r="AC718" s="269"/>
      <c r="AD718" s="264"/>
      <c r="AE718" s="503"/>
      <c r="AF718" s="504"/>
      <c r="AG718" s="504"/>
      <c r="AH718" s="505"/>
      <c r="AJ718" s="229" t="str">
        <f>IF(OR(A718="",AND(ISNUMBER(FIND("[", A718)), ISNUMBER(FIND("ALL", A718)), ISNUMBER(FIND("]", A718)))),"",MAX(AJ$3:AJ717)+1)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268"/>
      <c r="AA719" s="264"/>
      <c r="AB719" s="264"/>
      <c r="AC719" s="269"/>
      <c r="AD719" s="264"/>
      <c r="AE719" s="503"/>
      <c r="AF719" s="504"/>
      <c r="AG719" s="504"/>
      <c r="AH719" s="505"/>
      <c r="AJ719" s="229" t="str">
        <f>IF(OR(A719="",AND(ISNUMBER(FIND("[", A719)), ISNUMBER(FIND("ALL", A719)), ISNUMBER(FIND("]", A719)))),"",MAX(AJ$3:AJ718)+1)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268"/>
      <c r="AA720" s="264"/>
      <c r="AB720" s="264"/>
      <c r="AC720" s="269"/>
      <c r="AD720" s="264"/>
      <c r="AE720" s="503"/>
      <c r="AF720" s="504"/>
      <c r="AG720" s="504"/>
      <c r="AH720" s="505"/>
      <c r="AJ720" s="229" t="str">
        <f>IF(OR(A720="",AND(ISNUMBER(FIND("[", A720)), ISNUMBER(FIND("ALL", A720)), ISNUMBER(FIND("]", A720)))),"",MAX(AJ$3:AJ719)+1)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268"/>
      <c r="AA721" s="264"/>
      <c r="AB721" s="264"/>
      <c r="AC721" s="269"/>
      <c r="AD721" s="264"/>
      <c r="AE721" s="503"/>
      <c r="AF721" s="504"/>
      <c r="AG721" s="504"/>
      <c r="AH721" s="505"/>
      <c r="AJ721" s="229" t="str">
        <f>IF(OR(A721="",AND(ISNUMBER(FIND("[", A721)), ISNUMBER(FIND("ALL", A721)), ISNUMBER(FIND("]", A721)))),"",MAX(AJ$3:AJ720)+1)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268"/>
      <c r="AA722" s="264"/>
      <c r="AB722" s="264"/>
      <c r="AC722" s="269"/>
      <c r="AD722" s="264"/>
      <c r="AE722" s="503"/>
      <c r="AF722" s="504"/>
      <c r="AG722" s="504"/>
      <c r="AH722" s="505"/>
      <c r="AJ722" s="229" t="str">
        <f>IF(OR(A722="",AND(ISNUMBER(FIND("[", A722)), ISNUMBER(FIND("ALL", A722)), ISNUMBER(FIND("]", A722)))),"",MAX(AJ$3:AJ721)+1)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268"/>
      <c r="AA723" s="264"/>
      <c r="AB723" s="264"/>
      <c r="AC723" s="269"/>
      <c r="AD723" s="264"/>
      <c r="AE723" s="503"/>
      <c r="AF723" s="504"/>
      <c r="AG723" s="504"/>
      <c r="AH723" s="505"/>
      <c r="AJ723" s="229" t="str">
        <f>IF(OR(A723="",AND(ISNUMBER(FIND("[", A723)), ISNUMBER(FIND("ALL", A723)), ISNUMBER(FIND("]", A723)))),"",MAX(AJ$3:AJ722)+1)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268"/>
      <c r="AA724" s="264"/>
      <c r="AB724" s="264"/>
      <c r="AC724" s="269"/>
      <c r="AD724" s="264"/>
      <c r="AE724" s="503"/>
      <c r="AF724" s="504"/>
      <c r="AG724" s="504"/>
      <c r="AH724" s="505"/>
      <c r="AJ724" s="229" t="str">
        <f>IF(OR(A724="",AND(ISNUMBER(FIND("[", A724)), ISNUMBER(FIND("ALL", A724)), ISNUMBER(FIND("]", A724)))),"",MAX(AJ$3:AJ723)+1)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268"/>
      <c r="AA725" s="264"/>
      <c r="AB725" s="264"/>
      <c r="AC725" s="269"/>
      <c r="AD725" s="264"/>
      <c r="AE725" s="503"/>
      <c r="AF725" s="504"/>
      <c r="AG725" s="504"/>
      <c r="AH725" s="505"/>
      <c r="AJ725" s="229" t="str">
        <f>IF(OR(A725="",AND(ISNUMBER(FIND("[", A725)), ISNUMBER(FIND("ALL", A725)), ISNUMBER(FIND("]", A725)))),"",MAX(AJ$3:AJ724)+1)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268"/>
      <c r="AA726" s="264"/>
      <c r="AB726" s="264"/>
      <c r="AC726" s="269"/>
      <c r="AD726" s="264"/>
      <c r="AE726" s="503"/>
      <c r="AF726" s="504"/>
      <c r="AG726" s="504"/>
      <c r="AH726" s="505"/>
      <c r="AJ726" s="229" t="str">
        <f>IF(OR(A726="",AND(ISNUMBER(FIND("[", A726)), ISNUMBER(FIND("ALL", A726)), ISNUMBER(FIND("]", A726)))),"",MAX(AJ$3:AJ725)+1)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268"/>
      <c r="AA727" s="264"/>
      <c r="AB727" s="264"/>
      <c r="AC727" s="269"/>
      <c r="AD727" s="264"/>
      <c r="AE727" s="503"/>
      <c r="AF727" s="504"/>
      <c r="AG727" s="504"/>
      <c r="AH727" s="505"/>
      <c r="AJ727" s="229" t="str">
        <f>IF(OR(A727="",AND(ISNUMBER(FIND("[", A727)), ISNUMBER(FIND("ALL", A727)), ISNUMBER(FIND("]", A727)))),"",MAX(AJ$3:AJ726)+1)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268"/>
      <c r="AA728" s="264"/>
      <c r="AB728" s="264"/>
      <c r="AC728" s="269"/>
      <c r="AD728" s="264"/>
      <c r="AE728" s="503"/>
      <c r="AF728" s="504"/>
      <c r="AG728" s="504"/>
      <c r="AH728" s="505"/>
      <c r="AJ728" s="229" t="str">
        <f>IF(OR(A728="",AND(ISNUMBER(FIND("[", A728)), ISNUMBER(FIND("ALL", A728)), ISNUMBER(FIND("]", A728)))),"",MAX(AJ$3:AJ727)+1)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268"/>
      <c r="AA729" s="264"/>
      <c r="AB729" s="264"/>
      <c r="AC729" s="269"/>
      <c r="AD729" s="264"/>
      <c r="AE729" s="503"/>
      <c r="AF729" s="504"/>
      <c r="AG729" s="504"/>
      <c r="AH729" s="505"/>
      <c r="AJ729" s="229" t="str">
        <f>IF(OR(A729="",AND(ISNUMBER(FIND("[", A729)), ISNUMBER(FIND("ALL", A729)), ISNUMBER(FIND("]", A729)))),"",MAX(AJ$3:AJ728)+1)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268"/>
      <c r="AA730" s="264"/>
      <c r="AB730" s="264"/>
      <c r="AC730" s="269"/>
      <c r="AD730" s="264"/>
      <c r="AE730" s="503"/>
      <c r="AF730" s="504"/>
      <c r="AG730" s="504"/>
      <c r="AH730" s="505"/>
      <c r="AJ730" s="229" t="str">
        <f>IF(OR(A730="",AND(ISNUMBER(FIND("[", A730)), ISNUMBER(FIND("ALL", A730)), ISNUMBER(FIND("]", A730)))),"",MAX(AJ$3:AJ729)+1)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268"/>
      <c r="AA731" s="264"/>
      <c r="AB731" s="264"/>
      <c r="AC731" s="269"/>
      <c r="AD731" s="264"/>
      <c r="AE731" s="503"/>
      <c r="AF731" s="504"/>
      <c r="AG731" s="504"/>
      <c r="AH731" s="505"/>
      <c r="AJ731" s="229" t="str">
        <f>IF(OR(A731="",AND(ISNUMBER(FIND("[", A731)), ISNUMBER(FIND("ALL", A731)), ISNUMBER(FIND("]", A731)))),"",MAX(AJ$3:AJ730)+1)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268"/>
      <c r="AA732" s="264"/>
      <c r="AB732" s="264"/>
      <c r="AC732" s="269"/>
      <c r="AD732" s="264"/>
      <c r="AE732" s="503"/>
      <c r="AF732" s="504"/>
      <c r="AG732" s="504"/>
      <c r="AH732" s="505"/>
      <c r="AJ732" s="229" t="str">
        <f>IF(OR(A732="",AND(ISNUMBER(FIND("[", A732)), ISNUMBER(FIND("ALL", A732)), ISNUMBER(FIND("]", A732)))),"",MAX(AJ$3:AJ731)+1)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268"/>
      <c r="AA733" s="264"/>
      <c r="AB733" s="264"/>
      <c r="AC733" s="269"/>
      <c r="AD733" s="264"/>
      <c r="AE733" s="503"/>
      <c r="AF733" s="504"/>
      <c r="AG733" s="504"/>
      <c r="AH733" s="505"/>
      <c r="AJ733" s="229" t="str">
        <f>IF(OR(A733="",AND(ISNUMBER(FIND("[", A733)), ISNUMBER(FIND("ALL", A733)), ISNUMBER(FIND("]", A733)))),"",MAX(AJ$3:AJ732)+1)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268"/>
      <c r="AA734" s="264"/>
      <c r="AB734" s="264"/>
      <c r="AC734" s="269"/>
      <c r="AD734" s="264"/>
      <c r="AE734" s="503"/>
      <c r="AF734" s="504"/>
      <c r="AG734" s="504"/>
      <c r="AH734" s="505"/>
      <c r="AJ734" s="229" t="str">
        <f>IF(OR(A734="",AND(ISNUMBER(FIND("[", A734)), ISNUMBER(FIND("ALL", A734)), ISNUMBER(FIND("]", A734)))),"",MAX(AJ$3:AJ733)+1)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268"/>
      <c r="AA735" s="264"/>
      <c r="AB735" s="264"/>
      <c r="AC735" s="269"/>
      <c r="AD735" s="264"/>
      <c r="AE735" s="503"/>
      <c r="AF735" s="504"/>
      <c r="AG735" s="504"/>
      <c r="AH735" s="505"/>
      <c r="AJ735" s="229" t="str">
        <f>IF(OR(A735="",AND(ISNUMBER(FIND("[", A735)), ISNUMBER(FIND("ALL", A735)), ISNUMBER(FIND("]", A735)))),"",MAX(AJ$3:AJ734)+1)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268"/>
      <c r="AA736" s="264"/>
      <c r="AB736" s="264"/>
      <c r="AC736" s="269"/>
      <c r="AD736" s="264"/>
      <c r="AE736" s="503"/>
      <c r="AF736" s="504"/>
      <c r="AG736" s="504"/>
      <c r="AH736" s="505"/>
      <c r="AJ736" s="229" t="str">
        <f>IF(OR(A736="",AND(ISNUMBER(FIND("[", A736)), ISNUMBER(FIND("ALL", A736)), ISNUMBER(FIND("]", A736)))),"",MAX(AJ$3:AJ735)+1)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268"/>
      <c r="AA737" s="264"/>
      <c r="AB737" s="264"/>
      <c r="AC737" s="269"/>
      <c r="AD737" s="264"/>
      <c r="AE737" s="503"/>
      <c r="AF737" s="504"/>
      <c r="AG737" s="504"/>
      <c r="AH737" s="505"/>
      <c r="AJ737" s="229" t="str">
        <f>IF(OR(A737="",AND(ISNUMBER(FIND("[", A737)), ISNUMBER(FIND("ALL", A737)), ISNUMBER(FIND("]", A737)))),"",MAX(AJ$3:AJ736)+1)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268"/>
      <c r="AA738" s="264"/>
      <c r="AB738" s="264"/>
      <c r="AC738" s="269"/>
      <c r="AD738" s="264"/>
      <c r="AE738" s="503"/>
      <c r="AF738" s="504"/>
      <c r="AG738" s="504"/>
      <c r="AH738" s="505"/>
      <c r="AJ738" s="229" t="str">
        <f>IF(OR(A738="",AND(ISNUMBER(FIND("[", A738)), ISNUMBER(FIND("ALL", A738)), ISNUMBER(FIND("]", A738)))),"",MAX(AJ$3:AJ737)+1)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268"/>
      <c r="AA739" s="264"/>
      <c r="AB739" s="264"/>
      <c r="AC739" s="269"/>
      <c r="AD739" s="264"/>
      <c r="AE739" s="503"/>
      <c r="AF739" s="504"/>
      <c r="AG739" s="504"/>
      <c r="AH739" s="505"/>
      <c r="AJ739" s="229" t="str">
        <f>IF(OR(A739="",AND(ISNUMBER(FIND("[", A739)), ISNUMBER(FIND("ALL", A739)), ISNUMBER(FIND("]", A739)))),"",MAX(AJ$3:AJ738)+1)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268"/>
      <c r="AA740" s="264"/>
      <c r="AB740" s="264"/>
      <c r="AC740" s="269"/>
      <c r="AD740" s="264"/>
      <c r="AE740" s="503"/>
      <c r="AF740" s="504"/>
      <c r="AG740" s="504"/>
      <c r="AH740" s="505"/>
      <c r="AJ740" s="229" t="str">
        <f>IF(OR(A740="",AND(ISNUMBER(FIND("[", A740)), ISNUMBER(FIND("ALL", A740)), ISNUMBER(FIND("]", A740)))),"",MAX(AJ$3:AJ739)+1)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268"/>
      <c r="AA741" s="264"/>
      <c r="AB741" s="264"/>
      <c r="AC741" s="269"/>
      <c r="AD741" s="264"/>
      <c r="AE741" s="503"/>
      <c r="AF741" s="504"/>
      <c r="AG741" s="504"/>
      <c r="AH741" s="505"/>
      <c r="AJ741" s="229" t="str">
        <f>IF(OR(A741="",AND(ISNUMBER(FIND("[", A741)), ISNUMBER(FIND("ALL", A741)), ISNUMBER(FIND("]", A741)))),"",MAX(AJ$3:AJ740)+1)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268"/>
      <c r="AA742" s="264"/>
      <c r="AB742" s="264"/>
      <c r="AC742" s="269"/>
      <c r="AD742" s="264"/>
      <c r="AE742" s="503"/>
      <c r="AF742" s="504"/>
      <c r="AG742" s="504"/>
      <c r="AH742" s="505"/>
      <c r="AJ742" s="229" t="str">
        <f>IF(OR(A742="",AND(ISNUMBER(FIND("[", A742)), ISNUMBER(FIND("ALL", A742)), ISNUMBER(FIND("]", A742)))),"",MAX(AJ$3:AJ741)+1)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268"/>
      <c r="AA743" s="264"/>
      <c r="AB743" s="264"/>
      <c r="AC743" s="269"/>
      <c r="AD743" s="264"/>
      <c r="AE743" s="503"/>
      <c r="AF743" s="504"/>
      <c r="AG743" s="504"/>
      <c r="AH743" s="505"/>
      <c r="AJ743" s="229" t="str">
        <f>IF(OR(A743="",AND(ISNUMBER(FIND("[", A743)), ISNUMBER(FIND("ALL", A743)), ISNUMBER(FIND("]", A743)))),"",MAX(AJ$3:AJ742)+1)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268"/>
      <c r="AA744" s="264"/>
      <c r="AB744" s="264"/>
      <c r="AC744" s="269"/>
      <c r="AD744" s="264"/>
      <c r="AE744" s="503"/>
      <c r="AF744" s="504"/>
      <c r="AG744" s="504"/>
      <c r="AH744" s="505"/>
      <c r="AJ744" s="229" t="str">
        <f>IF(OR(A744="",AND(ISNUMBER(FIND("[", A744)), ISNUMBER(FIND("ALL", A744)), ISNUMBER(FIND("]", A744)))),"",MAX(AJ$3:AJ743)+1)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268"/>
      <c r="AA745" s="264"/>
      <c r="AB745" s="264"/>
      <c r="AC745" s="269"/>
      <c r="AD745" s="264"/>
      <c r="AE745" s="503"/>
      <c r="AF745" s="504"/>
      <c r="AG745" s="504"/>
      <c r="AH745" s="505"/>
      <c r="AJ745" s="229" t="str">
        <f>IF(OR(A745="",AND(ISNUMBER(FIND("[", A745)), ISNUMBER(FIND("ALL", A745)), ISNUMBER(FIND("]", A745)))),"",MAX(AJ$3:AJ744)+1)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268"/>
      <c r="AA746" s="264"/>
      <c r="AB746" s="264"/>
      <c r="AC746" s="269"/>
      <c r="AD746" s="264"/>
      <c r="AE746" s="503"/>
      <c r="AF746" s="504"/>
      <c r="AG746" s="504"/>
      <c r="AH746" s="505"/>
      <c r="AJ746" s="229" t="str">
        <f>IF(OR(A746="",AND(ISNUMBER(FIND("[", A746)), ISNUMBER(FIND("ALL", A746)), ISNUMBER(FIND("]", A746)))),"",MAX(AJ$3:AJ745)+1)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268"/>
      <c r="AA747" s="264"/>
      <c r="AB747" s="264"/>
      <c r="AC747" s="269"/>
      <c r="AD747" s="264"/>
      <c r="AE747" s="503"/>
      <c r="AF747" s="504"/>
      <c r="AG747" s="504"/>
      <c r="AH747" s="505"/>
      <c r="AJ747" s="229" t="str">
        <f>IF(OR(A747="",AND(ISNUMBER(FIND("[", A747)), ISNUMBER(FIND("ALL", A747)), ISNUMBER(FIND("]", A747)))),"",MAX(AJ$3:AJ746)+1)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268"/>
      <c r="AA748" s="264"/>
      <c r="AB748" s="264"/>
      <c r="AC748" s="269"/>
      <c r="AD748" s="264"/>
      <c r="AE748" s="503"/>
      <c r="AF748" s="504"/>
      <c r="AG748" s="504"/>
      <c r="AH748" s="505"/>
      <c r="AJ748" s="229" t="str">
        <f>IF(OR(A748="",AND(ISNUMBER(FIND("[", A748)), ISNUMBER(FIND("ALL", A748)), ISNUMBER(FIND("]", A748)))),"",MAX(AJ$3:AJ747)+1)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268"/>
      <c r="AA749" s="264"/>
      <c r="AB749" s="264"/>
      <c r="AC749" s="269"/>
      <c r="AD749" s="264"/>
      <c r="AE749" s="503"/>
      <c r="AF749" s="504"/>
      <c r="AG749" s="504"/>
      <c r="AH749" s="505"/>
      <c r="AJ749" s="229" t="str">
        <f>IF(OR(A749="",AND(ISNUMBER(FIND("[", A749)), ISNUMBER(FIND("ALL", A749)), ISNUMBER(FIND("]", A749)))),"",MAX(AJ$3:AJ748)+1)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268"/>
      <c r="AA750" s="264"/>
      <c r="AB750" s="264"/>
      <c r="AC750" s="269"/>
      <c r="AD750" s="264"/>
      <c r="AE750" s="503"/>
      <c r="AF750" s="504"/>
      <c r="AG750" s="504"/>
      <c r="AH750" s="505"/>
      <c r="AJ750" s="229" t="str">
        <f>IF(OR(A750="",AND(ISNUMBER(FIND("[", A750)), ISNUMBER(FIND("ALL", A750)), ISNUMBER(FIND("]", A750)))),"",MAX(AJ$3:AJ749)+1)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268"/>
      <c r="AA751" s="264"/>
      <c r="AB751" s="264"/>
      <c r="AC751" s="269"/>
      <c r="AD751" s="264"/>
      <c r="AE751" s="503"/>
      <c r="AF751" s="504"/>
      <c r="AG751" s="504"/>
      <c r="AH751" s="505"/>
      <c r="AJ751" s="229" t="str">
        <f>IF(OR(A751="",AND(ISNUMBER(FIND("[", A751)), ISNUMBER(FIND("ALL", A751)), ISNUMBER(FIND("]", A751)))),"",MAX(AJ$3:AJ750)+1)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268"/>
      <c r="AA752" s="264"/>
      <c r="AB752" s="264"/>
      <c r="AC752" s="269"/>
      <c r="AD752" s="264"/>
      <c r="AE752" s="503"/>
      <c r="AF752" s="504"/>
      <c r="AG752" s="504"/>
      <c r="AH752" s="505"/>
      <c r="AJ752" s="229" t="str">
        <f>IF(OR(A752="",AND(ISNUMBER(FIND("[", A752)), ISNUMBER(FIND("ALL", A752)), ISNUMBER(FIND("]", A752)))),"",MAX(AJ$3:AJ751)+1)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268"/>
      <c r="AA753" s="264"/>
      <c r="AB753" s="264"/>
      <c r="AC753" s="269"/>
      <c r="AD753" s="264"/>
      <c r="AE753" s="503"/>
      <c r="AF753" s="504"/>
      <c r="AG753" s="504"/>
      <c r="AH753" s="505"/>
      <c r="AJ753" s="229" t="str">
        <f>IF(OR(A753="",AND(ISNUMBER(FIND("[", A753)), ISNUMBER(FIND("ALL", A753)), ISNUMBER(FIND("]", A753)))),"",MAX(AJ$3:AJ752)+1)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268"/>
      <c r="AA754" s="264"/>
      <c r="AB754" s="264"/>
      <c r="AC754" s="269"/>
      <c r="AD754" s="264"/>
      <c r="AE754" s="503"/>
      <c r="AF754" s="504"/>
      <c r="AG754" s="504"/>
      <c r="AH754" s="505"/>
      <c r="AJ754" s="229" t="str">
        <f>IF(OR(A754="",AND(ISNUMBER(FIND("[", A754)), ISNUMBER(FIND("ALL", A754)), ISNUMBER(FIND("]", A754)))),"",MAX(AJ$3:AJ753)+1)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268"/>
      <c r="AA755" s="264"/>
      <c r="AB755" s="264"/>
      <c r="AC755" s="269"/>
      <c r="AD755" s="264"/>
      <c r="AE755" s="503"/>
      <c r="AF755" s="504"/>
      <c r="AG755" s="504"/>
      <c r="AH755" s="505"/>
      <c r="AJ755" s="229" t="str">
        <f>IF(OR(A755="",AND(ISNUMBER(FIND("[", A755)), ISNUMBER(FIND("ALL", A755)), ISNUMBER(FIND("]", A755)))),"",MAX(AJ$3:AJ754)+1)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268"/>
      <c r="AA756" s="264"/>
      <c r="AB756" s="264"/>
      <c r="AC756" s="269"/>
      <c r="AD756" s="264"/>
      <c r="AE756" s="503"/>
      <c r="AF756" s="504"/>
      <c r="AG756" s="504"/>
      <c r="AH756" s="505"/>
      <c r="AJ756" s="229" t="str">
        <f>IF(OR(A756="",AND(ISNUMBER(FIND("[", A756)), ISNUMBER(FIND("ALL", A756)), ISNUMBER(FIND("]", A756)))),"",MAX(AJ$3:AJ755)+1)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268"/>
      <c r="AA757" s="264"/>
      <c r="AB757" s="264"/>
      <c r="AC757" s="269"/>
      <c r="AD757" s="264"/>
      <c r="AE757" s="503"/>
      <c r="AF757" s="504"/>
      <c r="AG757" s="504"/>
      <c r="AH757" s="505"/>
      <c r="AJ757" s="229" t="str">
        <f>IF(OR(A757="",AND(ISNUMBER(FIND("[", A757)), ISNUMBER(FIND("ALL", A757)), ISNUMBER(FIND("]", A757)))),"",MAX(AJ$3:AJ756)+1)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268"/>
      <c r="AA758" s="264"/>
      <c r="AB758" s="264"/>
      <c r="AC758" s="269"/>
      <c r="AD758" s="264"/>
      <c r="AE758" s="503"/>
      <c r="AF758" s="504"/>
      <c r="AG758" s="504"/>
      <c r="AH758" s="505"/>
      <c r="AJ758" s="229" t="str">
        <f>IF(OR(A758="",AND(ISNUMBER(FIND("[", A758)), ISNUMBER(FIND("ALL", A758)), ISNUMBER(FIND("]", A758)))),"",MAX(AJ$3:AJ757)+1)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268"/>
      <c r="AA759" s="264"/>
      <c r="AB759" s="264"/>
      <c r="AC759" s="269"/>
      <c r="AD759" s="264"/>
      <c r="AE759" s="503"/>
      <c r="AF759" s="504"/>
      <c r="AG759" s="504"/>
      <c r="AH759" s="505"/>
      <c r="AJ759" s="229" t="str">
        <f>IF(OR(A759="",AND(ISNUMBER(FIND("[", A759)), ISNUMBER(FIND("ALL", A759)), ISNUMBER(FIND("]", A759)))),"",MAX(AJ$3:AJ758)+1)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268"/>
      <c r="AA760" s="264"/>
      <c r="AB760" s="264"/>
      <c r="AC760" s="269"/>
      <c r="AD760" s="264"/>
      <c r="AE760" s="503"/>
      <c r="AF760" s="504"/>
      <c r="AG760" s="504"/>
      <c r="AH760" s="505"/>
      <c r="AJ760" s="229" t="str">
        <f>IF(OR(A760="",AND(ISNUMBER(FIND("[", A760)), ISNUMBER(FIND("ALL", A760)), ISNUMBER(FIND("]", A760)))),"",MAX(AJ$3:AJ759)+1)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268"/>
      <c r="AA761" s="264"/>
      <c r="AB761" s="264"/>
      <c r="AC761" s="269"/>
      <c r="AD761" s="264"/>
      <c r="AE761" s="503"/>
      <c r="AF761" s="504"/>
      <c r="AG761" s="504"/>
      <c r="AH761" s="505"/>
      <c r="AJ761" s="229" t="str">
        <f>IF(OR(A761="",AND(ISNUMBER(FIND("[", A761)), ISNUMBER(FIND("ALL", A761)), ISNUMBER(FIND("]", A761)))),"",MAX(AJ$3:AJ760)+1)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268"/>
      <c r="AA762" s="264"/>
      <c r="AB762" s="264"/>
      <c r="AC762" s="269"/>
      <c r="AD762" s="264"/>
      <c r="AE762" s="503"/>
      <c r="AF762" s="504"/>
      <c r="AG762" s="504"/>
      <c r="AH762" s="505"/>
      <c r="AJ762" s="229" t="str">
        <f>IF(OR(A762="",AND(ISNUMBER(FIND("[", A762)), ISNUMBER(FIND("ALL", A762)), ISNUMBER(FIND("]", A762)))),"",MAX(AJ$3:AJ761)+1)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268"/>
      <c r="AA763" s="264"/>
      <c r="AB763" s="264"/>
      <c r="AC763" s="269"/>
      <c r="AD763" s="264"/>
      <c r="AE763" s="503"/>
      <c r="AF763" s="504"/>
      <c r="AG763" s="504"/>
      <c r="AH763" s="505"/>
      <c r="AJ763" s="229" t="str">
        <f>IF(OR(A763="",AND(ISNUMBER(FIND("[", A763)), ISNUMBER(FIND("ALL", A763)), ISNUMBER(FIND("]", A763)))),"",MAX(AJ$3:AJ762)+1)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268"/>
      <c r="AA764" s="264"/>
      <c r="AB764" s="264"/>
      <c r="AC764" s="269"/>
      <c r="AD764" s="264"/>
      <c r="AE764" s="503"/>
      <c r="AF764" s="504"/>
      <c r="AG764" s="504"/>
      <c r="AH764" s="505"/>
      <c r="AJ764" s="229" t="str">
        <f>IF(OR(A764="",AND(ISNUMBER(FIND("[", A764)), ISNUMBER(FIND("ALL", A764)), ISNUMBER(FIND("]", A764)))),"",MAX(AJ$3:AJ763)+1)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268"/>
      <c r="AA765" s="264"/>
      <c r="AB765" s="264"/>
      <c r="AC765" s="269"/>
      <c r="AD765" s="264"/>
      <c r="AE765" s="503"/>
      <c r="AF765" s="504"/>
      <c r="AG765" s="504"/>
      <c r="AH765" s="505"/>
      <c r="AJ765" s="229" t="str">
        <f>IF(OR(A765="",AND(ISNUMBER(FIND("[", A765)), ISNUMBER(FIND("ALL", A765)), ISNUMBER(FIND("]", A765)))),"",MAX(AJ$3:AJ764)+1)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268"/>
      <c r="AA766" s="264"/>
      <c r="AB766" s="264"/>
      <c r="AC766" s="269"/>
      <c r="AD766" s="264"/>
      <c r="AE766" s="503"/>
      <c r="AF766" s="504"/>
      <c r="AG766" s="504"/>
      <c r="AH766" s="505"/>
      <c r="AJ766" s="229" t="str">
        <f>IF(OR(A766="",AND(ISNUMBER(FIND("[", A766)), ISNUMBER(FIND("ALL", A766)), ISNUMBER(FIND("]", A766)))),"",MAX(AJ$3:AJ765)+1)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268"/>
      <c r="AA767" s="264"/>
      <c r="AB767" s="264"/>
      <c r="AC767" s="269"/>
      <c r="AD767" s="264"/>
      <c r="AE767" s="503"/>
      <c r="AF767" s="504"/>
      <c r="AG767" s="504"/>
      <c r="AH767" s="505"/>
      <c r="AJ767" s="229" t="str">
        <f>IF(OR(A767="",AND(ISNUMBER(FIND("[", A767)), ISNUMBER(FIND("ALL", A767)), ISNUMBER(FIND("]", A767)))),"",MAX(AJ$3:AJ766)+1)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268"/>
      <c r="AA768" s="264"/>
      <c r="AB768" s="264"/>
      <c r="AC768" s="269"/>
      <c r="AD768" s="264"/>
      <c r="AE768" s="503"/>
      <c r="AF768" s="504"/>
      <c r="AG768" s="504"/>
      <c r="AH768" s="505"/>
      <c r="AJ768" s="229" t="str">
        <f>IF(OR(A768="",AND(ISNUMBER(FIND("[", A768)), ISNUMBER(FIND("ALL", A768)), ISNUMBER(FIND("]", A768)))),"",MAX(AJ$3:AJ767)+1)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268"/>
      <c r="AA769" s="264"/>
      <c r="AB769" s="264"/>
      <c r="AC769" s="269"/>
      <c r="AD769" s="264"/>
      <c r="AE769" s="503"/>
      <c r="AF769" s="504"/>
      <c r="AG769" s="504"/>
      <c r="AH769" s="505"/>
      <c r="AJ769" s="229" t="str">
        <f>IF(OR(A769="",AND(ISNUMBER(FIND("[", A769)), ISNUMBER(FIND("ALL", A769)), ISNUMBER(FIND("]", A769)))),"",MAX(AJ$3:AJ768)+1)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268"/>
      <c r="AA770" s="264"/>
      <c r="AB770" s="264"/>
      <c r="AC770" s="269"/>
      <c r="AD770" s="264"/>
      <c r="AE770" s="503"/>
      <c r="AF770" s="504"/>
      <c r="AG770" s="504"/>
      <c r="AH770" s="505"/>
      <c r="AJ770" s="229" t="str">
        <f>IF(OR(A770="",AND(ISNUMBER(FIND("[", A770)), ISNUMBER(FIND("ALL", A770)), ISNUMBER(FIND("]", A770)))),"",MAX(AJ$3:AJ769)+1)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268"/>
      <c r="AA771" s="264"/>
      <c r="AB771" s="264"/>
      <c r="AC771" s="269"/>
      <c r="AD771" s="264"/>
      <c r="AE771" s="503"/>
      <c r="AF771" s="504"/>
      <c r="AG771" s="504"/>
      <c r="AH771" s="505"/>
      <c r="AJ771" s="229" t="str">
        <f>IF(OR(A771="",AND(ISNUMBER(FIND("[", A771)), ISNUMBER(FIND("ALL", A771)), ISNUMBER(FIND("]", A771)))),"",MAX(AJ$3:AJ770)+1)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268"/>
      <c r="AA772" s="264"/>
      <c r="AB772" s="264"/>
      <c r="AC772" s="269"/>
      <c r="AD772" s="264"/>
      <c r="AE772" s="503"/>
      <c r="AF772" s="504"/>
      <c r="AG772" s="504"/>
      <c r="AH772" s="505"/>
      <c r="AJ772" s="229" t="str">
        <f>IF(OR(A772="",AND(ISNUMBER(FIND("[", A772)), ISNUMBER(FIND("ALL", A772)), ISNUMBER(FIND("]", A772)))),"",MAX(AJ$3:AJ771)+1)</f>
        <v/>
      </c>
      <c r="AK772" s="229" t="str">
        <f t="shared" ref="AK772:AK835" si="12">IFERROR(INDEX($A$4:$A$1000,MATCH(ROW()-ROW($AK$3),$AJ$4:$AJ$1000,0)),"")</f>
        <v/>
      </c>
    </row>
    <row r="773" spans="1:37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268"/>
      <c r="AA773" s="264"/>
      <c r="AB773" s="264"/>
      <c r="AC773" s="269"/>
      <c r="AD773" s="264"/>
      <c r="AE773" s="503"/>
      <c r="AF773" s="504"/>
      <c r="AG773" s="504"/>
      <c r="AH773" s="505"/>
      <c r="AJ773" s="229" t="str">
        <f>IF(OR(A773="",AND(ISNUMBER(FIND("[", A773)), ISNUMBER(FIND("ALL", A773)), ISNUMBER(FIND("]", A773)))),"",MAX(AJ$3:AJ772)+1)</f>
        <v/>
      </c>
      <c r="AK773" s="229" t="str">
        <f t="shared" si="12"/>
        <v/>
      </c>
    </row>
    <row r="774" spans="1:37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268"/>
      <c r="AA774" s="264"/>
      <c r="AB774" s="264"/>
      <c r="AC774" s="269"/>
      <c r="AD774" s="264"/>
      <c r="AE774" s="503"/>
      <c r="AF774" s="504"/>
      <c r="AG774" s="504"/>
      <c r="AH774" s="505"/>
      <c r="AJ774" s="229" t="str">
        <f>IF(OR(A774="",AND(ISNUMBER(FIND("[", A774)), ISNUMBER(FIND("ALL", A774)), ISNUMBER(FIND("]", A774)))),"",MAX(AJ$3:AJ773)+1)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268"/>
      <c r="AA775" s="264"/>
      <c r="AB775" s="264"/>
      <c r="AC775" s="269"/>
      <c r="AD775" s="264"/>
      <c r="AE775" s="503"/>
      <c r="AF775" s="504"/>
      <c r="AG775" s="504"/>
      <c r="AH775" s="505"/>
      <c r="AJ775" s="229" t="str">
        <f>IF(OR(A775="",AND(ISNUMBER(FIND("[", A775)), ISNUMBER(FIND("ALL", A775)), ISNUMBER(FIND("]", A775)))),"",MAX(AJ$3:AJ774)+1)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268"/>
      <c r="AA776" s="264"/>
      <c r="AB776" s="264"/>
      <c r="AC776" s="269"/>
      <c r="AD776" s="264"/>
      <c r="AE776" s="503"/>
      <c r="AF776" s="504"/>
      <c r="AG776" s="504"/>
      <c r="AH776" s="505"/>
      <c r="AJ776" s="229" t="str">
        <f>IF(OR(A776="",AND(ISNUMBER(FIND("[", A776)), ISNUMBER(FIND("ALL", A776)), ISNUMBER(FIND("]", A776)))),"",MAX(AJ$3:AJ775)+1)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268"/>
      <c r="AA777" s="264"/>
      <c r="AB777" s="264"/>
      <c r="AC777" s="269"/>
      <c r="AD777" s="264"/>
      <c r="AE777" s="503"/>
      <c r="AF777" s="504"/>
      <c r="AG777" s="504"/>
      <c r="AH777" s="505"/>
      <c r="AJ777" s="229" t="str">
        <f>IF(OR(A777="",AND(ISNUMBER(FIND("[", A777)), ISNUMBER(FIND("ALL", A777)), ISNUMBER(FIND("]", A777)))),"",MAX(AJ$3:AJ776)+1)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268"/>
      <c r="AA778" s="264"/>
      <c r="AB778" s="264"/>
      <c r="AC778" s="269"/>
      <c r="AD778" s="264"/>
      <c r="AE778" s="503"/>
      <c r="AF778" s="504"/>
      <c r="AG778" s="504"/>
      <c r="AH778" s="505"/>
      <c r="AJ778" s="229" t="str">
        <f>IF(OR(A778="",AND(ISNUMBER(FIND("[", A778)), ISNUMBER(FIND("ALL", A778)), ISNUMBER(FIND("]", A778)))),"",MAX(AJ$3:AJ777)+1)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268"/>
      <c r="AA779" s="264"/>
      <c r="AB779" s="264"/>
      <c r="AC779" s="269"/>
      <c r="AD779" s="264"/>
      <c r="AE779" s="503"/>
      <c r="AF779" s="504"/>
      <c r="AG779" s="504"/>
      <c r="AH779" s="505"/>
      <c r="AJ779" s="229" t="str">
        <f>IF(OR(A779="",AND(ISNUMBER(FIND("[", A779)), ISNUMBER(FIND("ALL", A779)), ISNUMBER(FIND("]", A779)))),"",MAX(AJ$3:AJ778)+1)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268"/>
      <c r="AA780" s="264"/>
      <c r="AB780" s="264"/>
      <c r="AC780" s="269"/>
      <c r="AD780" s="264"/>
      <c r="AE780" s="503"/>
      <c r="AF780" s="504"/>
      <c r="AG780" s="504"/>
      <c r="AH780" s="505"/>
      <c r="AJ780" s="229" t="str">
        <f>IF(OR(A780="",AND(ISNUMBER(FIND("[", A780)), ISNUMBER(FIND("ALL", A780)), ISNUMBER(FIND("]", A780)))),"",MAX(AJ$3:AJ779)+1)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268"/>
      <c r="AA781" s="264"/>
      <c r="AB781" s="264"/>
      <c r="AC781" s="269"/>
      <c r="AD781" s="264"/>
      <c r="AE781" s="503"/>
      <c r="AF781" s="504"/>
      <c r="AG781" s="504"/>
      <c r="AH781" s="505"/>
      <c r="AJ781" s="229" t="str">
        <f>IF(OR(A781="",AND(ISNUMBER(FIND("[", A781)), ISNUMBER(FIND("ALL", A781)), ISNUMBER(FIND("]", A781)))),"",MAX(AJ$3:AJ780)+1)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268"/>
      <c r="AA782" s="264"/>
      <c r="AB782" s="264"/>
      <c r="AC782" s="269"/>
      <c r="AD782" s="264"/>
      <c r="AE782" s="503"/>
      <c r="AF782" s="504"/>
      <c r="AG782" s="504"/>
      <c r="AH782" s="505"/>
      <c r="AJ782" s="229" t="str">
        <f>IF(OR(A782="",AND(ISNUMBER(FIND("[", A782)), ISNUMBER(FIND("ALL", A782)), ISNUMBER(FIND("]", A782)))),"",MAX(AJ$3:AJ781)+1)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268"/>
      <c r="AA783" s="264"/>
      <c r="AB783" s="264"/>
      <c r="AC783" s="269"/>
      <c r="AD783" s="264"/>
      <c r="AE783" s="503"/>
      <c r="AF783" s="504"/>
      <c r="AG783" s="504"/>
      <c r="AH783" s="505"/>
      <c r="AJ783" s="229" t="str">
        <f>IF(OR(A783="",AND(ISNUMBER(FIND("[", A783)), ISNUMBER(FIND("ALL", A783)), ISNUMBER(FIND("]", A783)))),"",MAX(AJ$3:AJ782)+1)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268"/>
      <c r="AA784" s="264"/>
      <c r="AB784" s="264"/>
      <c r="AC784" s="269"/>
      <c r="AD784" s="264"/>
      <c r="AE784" s="503"/>
      <c r="AF784" s="504"/>
      <c r="AG784" s="504"/>
      <c r="AH784" s="505"/>
      <c r="AJ784" s="229" t="str">
        <f>IF(OR(A784="",AND(ISNUMBER(FIND("[", A784)), ISNUMBER(FIND("ALL", A784)), ISNUMBER(FIND("]", A784)))),"",MAX(AJ$3:AJ783)+1)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268"/>
      <c r="AA785" s="264"/>
      <c r="AB785" s="264"/>
      <c r="AC785" s="269"/>
      <c r="AD785" s="264"/>
      <c r="AE785" s="503"/>
      <c r="AF785" s="504"/>
      <c r="AG785" s="504"/>
      <c r="AH785" s="505"/>
      <c r="AJ785" s="229" t="str">
        <f>IF(OR(A785="",AND(ISNUMBER(FIND("[", A785)), ISNUMBER(FIND("ALL", A785)), ISNUMBER(FIND("]", A785)))),"",MAX(AJ$3:AJ784)+1)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268"/>
      <c r="AA786" s="264"/>
      <c r="AB786" s="264"/>
      <c r="AC786" s="269"/>
      <c r="AD786" s="264"/>
      <c r="AE786" s="503"/>
      <c r="AF786" s="504"/>
      <c r="AG786" s="504"/>
      <c r="AH786" s="505"/>
      <c r="AJ786" s="229" t="str">
        <f>IF(OR(A786="",AND(ISNUMBER(FIND("[", A786)), ISNUMBER(FIND("ALL", A786)), ISNUMBER(FIND("]", A786)))),"",MAX(AJ$3:AJ785)+1)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268"/>
      <c r="AA787" s="264"/>
      <c r="AB787" s="264"/>
      <c r="AC787" s="269"/>
      <c r="AD787" s="264"/>
      <c r="AE787" s="503"/>
      <c r="AF787" s="504"/>
      <c r="AG787" s="504"/>
      <c r="AH787" s="505"/>
      <c r="AJ787" s="229" t="str">
        <f>IF(OR(A787="",AND(ISNUMBER(FIND("[", A787)), ISNUMBER(FIND("ALL", A787)), ISNUMBER(FIND("]", A787)))),"",MAX(AJ$3:AJ786)+1)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268"/>
      <c r="AA788" s="264"/>
      <c r="AB788" s="264"/>
      <c r="AC788" s="269"/>
      <c r="AD788" s="264"/>
      <c r="AE788" s="503"/>
      <c r="AF788" s="504"/>
      <c r="AG788" s="504"/>
      <c r="AH788" s="505"/>
      <c r="AJ788" s="229" t="str">
        <f>IF(OR(A788="",AND(ISNUMBER(FIND("[", A788)), ISNUMBER(FIND("ALL", A788)), ISNUMBER(FIND("]", A788)))),"",MAX(AJ$3:AJ787)+1)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268"/>
      <c r="AA789" s="264"/>
      <c r="AB789" s="264"/>
      <c r="AC789" s="269"/>
      <c r="AD789" s="264"/>
      <c r="AE789" s="503"/>
      <c r="AF789" s="504"/>
      <c r="AG789" s="504"/>
      <c r="AH789" s="505"/>
      <c r="AJ789" s="229" t="str">
        <f>IF(OR(A789="",AND(ISNUMBER(FIND("[", A789)), ISNUMBER(FIND("ALL", A789)), ISNUMBER(FIND("]", A789)))),"",MAX(AJ$3:AJ788)+1)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268"/>
      <c r="AA790" s="264"/>
      <c r="AB790" s="264"/>
      <c r="AC790" s="269"/>
      <c r="AD790" s="264"/>
      <c r="AE790" s="503"/>
      <c r="AF790" s="504"/>
      <c r="AG790" s="504"/>
      <c r="AH790" s="505"/>
      <c r="AJ790" s="229" t="str">
        <f>IF(OR(A790="",AND(ISNUMBER(FIND("[", A790)), ISNUMBER(FIND("ALL", A790)), ISNUMBER(FIND("]", A790)))),"",MAX(AJ$3:AJ789)+1)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268"/>
      <c r="AA791" s="264"/>
      <c r="AB791" s="264"/>
      <c r="AC791" s="269"/>
      <c r="AD791" s="264"/>
      <c r="AE791" s="503"/>
      <c r="AF791" s="504"/>
      <c r="AG791" s="504"/>
      <c r="AH791" s="505"/>
      <c r="AJ791" s="229" t="str">
        <f>IF(OR(A791="",AND(ISNUMBER(FIND("[", A791)), ISNUMBER(FIND("ALL", A791)), ISNUMBER(FIND("]", A791)))),"",MAX(AJ$3:AJ790)+1)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268"/>
      <c r="AA792" s="264"/>
      <c r="AB792" s="264"/>
      <c r="AC792" s="269"/>
      <c r="AD792" s="264"/>
      <c r="AE792" s="503"/>
      <c r="AF792" s="504"/>
      <c r="AG792" s="504"/>
      <c r="AH792" s="505"/>
      <c r="AJ792" s="229" t="str">
        <f>IF(OR(A792="",AND(ISNUMBER(FIND("[", A792)), ISNUMBER(FIND("ALL", A792)), ISNUMBER(FIND("]", A792)))),"",MAX(AJ$3:AJ791)+1)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268"/>
      <c r="AA793" s="264"/>
      <c r="AB793" s="264"/>
      <c r="AC793" s="269"/>
      <c r="AD793" s="264"/>
      <c r="AE793" s="503"/>
      <c r="AF793" s="504"/>
      <c r="AG793" s="504"/>
      <c r="AH793" s="505"/>
      <c r="AJ793" s="229" t="str">
        <f>IF(OR(A793="",AND(ISNUMBER(FIND("[", A793)), ISNUMBER(FIND("ALL", A793)), ISNUMBER(FIND("]", A793)))),"",MAX(AJ$3:AJ792)+1)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268"/>
      <c r="AA794" s="264"/>
      <c r="AB794" s="264"/>
      <c r="AC794" s="269"/>
      <c r="AD794" s="264"/>
      <c r="AE794" s="503"/>
      <c r="AF794" s="504"/>
      <c r="AG794" s="504"/>
      <c r="AH794" s="505"/>
      <c r="AJ794" s="229" t="str">
        <f>IF(OR(A794="",AND(ISNUMBER(FIND("[", A794)), ISNUMBER(FIND("ALL", A794)), ISNUMBER(FIND("]", A794)))),"",MAX(AJ$3:AJ793)+1)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268"/>
      <c r="AA795" s="264"/>
      <c r="AB795" s="264"/>
      <c r="AC795" s="269"/>
      <c r="AD795" s="264"/>
      <c r="AE795" s="503"/>
      <c r="AF795" s="504"/>
      <c r="AG795" s="504"/>
      <c r="AH795" s="505"/>
      <c r="AJ795" s="229" t="str">
        <f>IF(OR(A795="",AND(ISNUMBER(FIND("[", A795)), ISNUMBER(FIND("ALL", A795)), ISNUMBER(FIND("]", A795)))),"",MAX(AJ$3:AJ794)+1)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268"/>
      <c r="AA796" s="264"/>
      <c r="AB796" s="264"/>
      <c r="AC796" s="269"/>
      <c r="AD796" s="264"/>
      <c r="AE796" s="503"/>
      <c r="AF796" s="504"/>
      <c r="AG796" s="504"/>
      <c r="AH796" s="505"/>
      <c r="AJ796" s="229" t="str">
        <f>IF(OR(A796="",AND(ISNUMBER(FIND("[", A796)), ISNUMBER(FIND("ALL", A796)), ISNUMBER(FIND("]", A796)))),"",MAX(AJ$3:AJ795)+1)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268"/>
      <c r="AA797" s="264"/>
      <c r="AB797" s="264"/>
      <c r="AC797" s="269"/>
      <c r="AD797" s="264"/>
      <c r="AE797" s="503"/>
      <c r="AF797" s="504"/>
      <c r="AG797" s="504"/>
      <c r="AH797" s="505"/>
      <c r="AJ797" s="229" t="str">
        <f>IF(OR(A797="",AND(ISNUMBER(FIND("[", A797)), ISNUMBER(FIND("ALL", A797)), ISNUMBER(FIND("]", A797)))),"",MAX(AJ$3:AJ796)+1)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268"/>
      <c r="AA798" s="264"/>
      <c r="AB798" s="264"/>
      <c r="AC798" s="269"/>
      <c r="AD798" s="264"/>
      <c r="AE798" s="503"/>
      <c r="AF798" s="504"/>
      <c r="AG798" s="504"/>
      <c r="AH798" s="505"/>
      <c r="AJ798" s="229" t="str">
        <f>IF(OR(A798="",AND(ISNUMBER(FIND("[", A798)), ISNUMBER(FIND("ALL", A798)), ISNUMBER(FIND("]", A798)))),"",MAX(AJ$3:AJ797)+1)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268"/>
      <c r="AA799" s="264"/>
      <c r="AB799" s="264"/>
      <c r="AC799" s="269"/>
      <c r="AD799" s="264"/>
      <c r="AE799" s="503"/>
      <c r="AF799" s="504"/>
      <c r="AG799" s="504"/>
      <c r="AH799" s="505"/>
      <c r="AJ799" s="229" t="str">
        <f>IF(OR(A799="",AND(ISNUMBER(FIND("[", A799)), ISNUMBER(FIND("ALL", A799)), ISNUMBER(FIND("]", A799)))),"",MAX(AJ$3:AJ798)+1)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268"/>
      <c r="AA800" s="264"/>
      <c r="AB800" s="264"/>
      <c r="AC800" s="269"/>
      <c r="AD800" s="264"/>
      <c r="AE800" s="503"/>
      <c r="AF800" s="504"/>
      <c r="AG800" s="504"/>
      <c r="AH800" s="505"/>
      <c r="AJ800" s="229" t="str">
        <f>IF(OR(A800="",AND(ISNUMBER(FIND("[", A800)), ISNUMBER(FIND("ALL", A800)), ISNUMBER(FIND("]", A800)))),"",MAX(AJ$3:AJ799)+1)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268"/>
      <c r="AA801" s="264"/>
      <c r="AB801" s="264"/>
      <c r="AC801" s="269"/>
      <c r="AD801" s="264"/>
      <c r="AE801" s="503"/>
      <c r="AF801" s="504"/>
      <c r="AG801" s="504"/>
      <c r="AH801" s="505"/>
      <c r="AJ801" s="229" t="str">
        <f>IF(OR(A801="",AND(ISNUMBER(FIND("[", A801)), ISNUMBER(FIND("ALL", A801)), ISNUMBER(FIND("]", A801)))),"",MAX(AJ$3:AJ800)+1)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268"/>
      <c r="AA802" s="264"/>
      <c r="AB802" s="264"/>
      <c r="AC802" s="269"/>
      <c r="AD802" s="264"/>
      <c r="AE802" s="503"/>
      <c r="AF802" s="504"/>
      <c r="AG802" s="504"/>
      <c r="AH802" s="505"/>
      <c r="AJ802" s="229" t="str">
        <f>IF(OR(A802="",AND(ISNUMBER(FIND("[", A802)), ISNUMBER(FIND("ALL", A802)), ISNUMBER(FIND("]", A802)))),"",MAX(AJ$3:AJ801)+1)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268"/>
      <c r="AA803" s="264"/>
      <c r="AB803" s="264"/>
      <c r="AC803" s="269"/>
      <c r="AD803" s="264"/>
      <c r="AE803" s="503"/>
      <c r="AF803" s="504"/>
      <c r="AG803" s="504"/>
      <c r="AH803" s="505"/>
      <c r="AJ803" s="229" t="str">
        <f>IF(OR(A803="",AND(ISNUMBER(FIND("[", A803)), ISNUMBER(FIND("ALL", A803)), ISNUMBER(FIND("]", A803)))),"",MAX(AJ$3:AJ802)+1)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268"/>
      <c r="AA804" s="264"/>
      <c r="AB804" s="264"/>
      <c r="AC804" s="269"/>
      <c r="AD804" s="264"/>
      <c r="AE804" s="503"/>
      <c r="AF804" s="504"/>
      <c r="AG804" s="504"/>
      <c r="AH804" s="505"/>
      <c r="AJ804" s="229" t="str">
        <f>IF(OR(A804="",AND(ISNUMBER(FIND("[", A804)), ISNUMBER(FIND("ALL", A804)), ISNUMBER(FIND("]", A804)))),"",MAX(AJ$3:AJ803)+1)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268"/>
      <c r="AA805" s="264"/>
      <c r="AB805" s="264"/>
      <c r="AC805" s="269"/>
      <c r="AD805" s="264"/>
      <c r="AE805" s="503"/>
      <c r="AF805" s="504"/>
      <c r="AG805" s="504"/>
      <c r="AH805" s="505"/>
      <c r="AJ805" s="229" t="str">
        <f>IF(OR(A805="",AND(ISNUMBER(FIND("[", A805)), ISNUMBER(FIND("ALL", A805)), ISNUMBER(FIND("]", A805)))),"",MAX(AJ$3:AJ804)+1)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268"/>
      <c r="AA806" s="264"/>
      <c r="AB806" s="264"/>
      <c r="AC806" s="269"/>
      <c r="AD806" s="264"/>
      <c r="AE806" s="503"/>
      <c r="AF806" s="504"/>
      <c r="AG806" s="504"/>
      <c r="AH806" s="505"/>
      <c r="AJ806" s="229" t="str">
        <f>IF(OR(A806="",AND(ISNUMBER(FIND("[", A806)), ISNUMBER(FIND("ALL", A806)), ISNUMBER(FIND("]", A806)))),"",MAX(AJ$3:AJ805)+1)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268"/>
      <c r="AA807" s="264"/>
      <c r="AB807" s="264"/>
      <c r="AC807" s="269"/>
      <c r="AD807" s="264"/>
      <c r="AE807" s="503"/>
      <c r="AF807" s="504"/>
      <c r="AG807" s="504"/>
      <c r="AH807" s="505"/>
      <c r="AJ807" s="229" t="str">
        <f>IF(OR(A807="",AND(ISNUMBER(FIND("[", A807)), ISNUMBER(FIND("ALL", A807)), ISNUMBER(FIND("]", A807)))),"",MAX(AJ$3:AJ806)+1)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268"/>
      <c r="AA808" s="264"/>
      <c r="AB808" s="264"/>
      <c r="AC808" s="269"/>
      <c r="AD808" s="264"/>
      <c r="AE808" s="503"/>
      <c r="AF808" s="504"/>
      <c r="AG808" s="504"/>
      <c r="AH808" s="505"/>
      <c r="AJ808" s="229" t="str">
        <f>IF(OR(A808="",AND(ISNUMBER(FIND("[", A808)), ISNUMBER(FIND("ALL", A808)), ISNUMBER(FIND("]", A808)))),"",MAX(AJ$3:AJ807)+1)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268"/>
      <c r="AA809" s="264"/>
      <c r="AB809" s="264"/>
      <c r="AC809" s="269"/>
      <c r="AD809" s="264"/>
      <c r="AE809" s="503"/>
      <c r="AF809" s="504"/>
      <c r="AG809" s="504"/>
      <c r="AH809" s="505"/>
      <c r="AJ809" s="229" t="str">
        <f>IF(OR(A809="",AND(ISNUMBER(FIND("[", A809)), ISNUMBER(FIND("ALL", A809)), ISNUMBER(FIND("]", A809)))),"",MAX(AJ$3:AJ808)+1)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268"/>
      <c r="AA810" s="264"/>
      <c r="AB810" s="264"/>
      <c r="AC810" s="269"/>
      <c r="AD810" s="264"/>
      <c r="AE810" s="503"/>
      <c r="AF810" s="504"/>
      <c r="AG810" s="504"/>
      <c r="AH810" s="505"/>
      <c r="AJ810" s="229" t="str">
        <f>IF(OR(A810="",AND(ISNUMBER(FIND("[", A810)), ISNUMBER(FIND("ALL", A810)), ISNUMBER(FIND("]", A810)))),"",MAX(AJ$3:AJ809)+1)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268"/>
      <c r="AA811" s="264"/>
      <c r="AB811" s="264"/>
      <c r="AC811" s="269"/>
      <c r="AD811" s="264"/>
      <c r="AE811" s="503"/>
      <c r="AF811" s="504"/>
      <c r="AG811" s="504"/>
      <c r="AH811" s="505"/>
      <c r="AJ811" s="229" t="str">
        <f>IF(OR(A811="",AND(ISNUMBER(FIND("[", A811)), ISNUMBER(FIND("ALL", A811)), ISNUMBER(FIND("]", A811)))),"",MAX(AJ$3:AJ810)+1)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268"/>
      <c r="AA812" s="264"/>
      <c r="AB812" s="264"/>
      <c r="AC812" s="269"/>
      <c r="AD812" s="264"/>
      <c r="AE812" s="503"/>
      <c r="AF812" s="504"/>
      <c r="AG812" s="504"/>
      <c r="AH812" s="505"/>
      <c r="AJ812" s="229" t="str">
        <f>IF(OR(A812="",AND(ISNUMBER(FIND("[", A812)), ISNUMBER(FIND("ALL", A812)), ISNUMBER(FIND("]", A812)))),"",MAX(AJ$3:AJ811)+1)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268"/>
      <c r="AA813" s="264"/>
      <c r="AB813" s="264"/>
      <c r="AC813" s="269"/>
      <c r="AD813" s="264"/>
      <c r="AE813" s="503"/>
      <c r="AF813" s="504"/>
      <c r="AG813" s="504"/>
      <c r="AH813" s="505"/>
      <c r="AJ813" s="229" t="str">
        <f>IF(OR(A813="",AND(ISNUMBER(FIND("[", A813)), ISNUMBER(FIND("ALL", A813)), ISNUMBER(FIND("]", A813)))),"",MAX(AJ$3:AJ812)+1)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268"/>
      <c r="AA814" s="264"/>
      <c r="AB814" s="264"/>
      <c r="AC814" s="269"/>
      <c r="AD814" s="264"/>
      <c r="AE814" s="503"/>
      <c r="AF814" s="504"/>
      <c r="AG814" s="504"/>
      <c r="AH814" s="505"/>
      <c r="AJ814" s="229" t="str">
        <f>IF(OR(A814="",AND(ISNUMBER(FIND("[", A814)), ISNUMBER(FIND("ALL", A814)), ISNUMBER(FIND("]", A814)))),"",MAX(AJ$3:AJ813)+1)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268"/>
      <c r="AA815" s="264"/>
      <c r="AB815" s="264"/>
      <c r="AC815" s="269"/>
      <c r="AD815" s="264"/>
      <c r="AE815" s="503"/>
      <c r="AF815" s="504"/>
      <c r="AG815" s="504"/>
      <c r="AH815" s="505"/>
      <c r="AJ815" s="229" t="str">
        <f>IF(OR(A815="",AND(ISNUMBER(FIND("[", A815)), ISNUMBER(FIND("ALL", A815)), ISNUMBER(FIND("]", A815)))),"",MAX(AJ$3:AJ814)+1)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268"/>
      <c r="AA816" s="264"/>
      <c r="AB816" s="264"/>
      <c r="AC816" s="269"/>
      <c r="AD816" s="264"/>
      <c r="AE816" s="503"/>
      <c r="AF816" s="504"/>
      <c r="AG816" s="504"/>
      <c r="AH816" s="505"/>
      <c r="AJ816" s="229" t="str">
        <f>IF(OR(A816="",AND(ISNUMBER(FIND("[", A816)), ISNUMBER(FIND("ALL", A816)), ISNUMBER(FIND("]", A816)))),"",MAX(AJ$3:AJ815)+1)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268"/>
      <c r="AA817" s="264"/>
      <c r="AB817" s="264"/>
      <c r="AC817" s="269"/>
      <c r="AD817" s="264"/>
      <c r="AE817" s="503"/>
      <c r="AF817" s="504"/>
      <c r="AG817" s="504"/>
      <c r="AH817" s="505"/>
      <c r="AJ817" s="229" t="str">
        <f>IF(OR(A817="",AND(ISNUMBER(FIND("[", A817)), ISNUMBER(FIND("ALL", A817)), ISNUMBER(FIND("]", A817)))),"",MAX(AJ$3:AJ816)+1)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268"/>
      <c r="AA818" s="264"/>
      <c r="AB818" s="264"/>
      <c r="AC818" s="269"/>
      <c r="AD818" s="264"/>
      <c r="AE818" s="503"/>
      <c r="AF818" s="504"/>
      <c r="AG818" s="504"/>
      <c r="AH818" s="505"/>
      <c r="AJ818" s="229" t="str">
        <f>IF(OR(A818="",AND(ISNUMBER(FIND("[", A818)), ISNUMBER(FIND("ALL", A818)), ISNUMBER(FIND("]", A818)))),"",MAX(AJ$3:AJ817)+1)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268"/>
      <c r="AA819" s="264"/>
      <c r="AB819" s="264"/>
      <c r="AC819" s="269"/>
      <c r="AD819" s="264"/>
      <c r="AE819" s="503"/>
      <c r="AF819" s="504"/>
      <c r="AG819" s="504"/>
      <c r="AH819" s="505"/>
      <c r="AJ819" s="229" t="str">
        <f>IF(OR(A819="",AND(ISNUMBER(FIND("[", A819)), ISNUMBER(FIND("ALL", A819)), ISNUMBER(FIND("]", A819)))),"",MAX(AJ$3:AJ818)+1)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268"/>
      <c r="AA820" s="264"/>
      <c r="AB820" s="264"/>
      <c r="AC820" s="269"/>
      <c r="AD820" s="264"/>
      <c r="AE820" s="503"/>
      <c r="AF820" s="504"/>
      <c r="AG820" s="504"/>
      <c r="AH820" s="505"/>
      <c r="AJ820" s="229" t="str">
        <f>IF(OR(A820="",AND(ISNUMBER(FIND("[", A820)), ISNUMBER(FIND("ALL", A820)), ISNUMBER(FIND("]", A820)))),"",MAX(AJ$3:AJ819)+1)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268"/>
      <c r="AA821" s="264"/>
      <c r="AB821" s="264"/>
      <c r="AC821" s="269"/>
      <c r="AD821" s="264"/>
      <c r="AE821" s="503"/>
      <c r="AF821" s="504"/>
      <c r="AG821" s="504"/>
      <c r="AH821" s="505"/>
      <c r="AJ821" s="229" t="str">
        <f>IF(OR(A821="",AND(ISNUMBER(FIND("[", A821)), ISNUMBER(FIND("ALL", A821)), ISNUMBER(FIND("]", A821)))),"",MAX(AJ$3:AJ820)+1)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268"/>
      <c r="AA822" s="264"/>
      <c r="AB822" s="264"/>
      <c r="AC822" s="269"/>
      <c r="AD822" s="264"/>
      <c r="AE822" s="503"/>
      <c r="AF822" s="504"/>
      <c r="AG822" s="504"/>
      <c r="AH822" s="505"/>
      <c r="AJ822" s="229" t="str">
        <f>IF(OR(A822="",AND(ISNUMBER(FIND("[", A822)), ISNUMBER(FIND("ALL", A822)), ISNUMBER(FIND("]", A822)))),"",MAX(AJ$3:AJ821)+1)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268"/>
      <c r="AA823" s="264"/>
      <c r="AB823" s="264"/>
      <c r="AC823" s="269"/>
      <c r="AD823" s="264"/>
      <c r="AE823" s="503"/>
      <c r="AF823" s="504"/>
      <c r="AG823" s="504"/>
      <c r="AH823" s="505"/>
      <c r="AJ823" s="229" t="str">
        <f>IF(OR(A823="",AND(ISNUMBER(FIND("[", A823)), ISNUMBER(FIND("ALL", A823)), ISNUMBER(FIND("]", A823)))),"",MAX(AJ$3:AJ822)+1)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268"/>
      <c r="AA824" s="264"/>
      <c r="AB824" s="264"/>
      <c r="AC824" s="269"/>
      <c r="AD824" s="264"/>
      <c r="AE824" s="503"/>
      <c r="AF824" s="504"/>
      <c r="AG824" s="504"/>
      <c r="AH824" s="505"/>
      <c r="AJ824" s="229" t="str">
        <f>IF(OR(A824="",AND(ISNUMBER(FIND("[", A824)), ISNUMBER(FIND("ALL", A824)), ISNUMBER(FIND("]", A824)))),"",MAX(AJ$3:AJ823)+1)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268"/>
      <c r="AA825" s="264"/>
      <c r="AB825" s="264"/>
      <c r="AC825" s="269"/>
      <c r="AD825" s="264"/>
      <c r="AE825" s="503"/>
      <c r="AF825" s="504"/>
      <c r="AG825" s="504"/>
      <c r="AH825" s="505"/>
      <c r="AJ825" s="229" t="str">
        <f>IF(OR(A825="",AND(ISNUMBER(FIND("[", A825)), ISNUMBER(FIND("ALL", A825)), ISNUMBER(FIND("]", A825)))),"",MAX(AJ$3:AJ824)+1)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268"/>
      <c r="AA826" s="264"/>
      <c r="AB826" s="264"/>
      <c r="AC826" s="269"/>
      <c r="AD826" s="264"/>
      <c r="AE826" s="503"/>
      <c r="AF826" s="504"/>
      <c r="AG826" s="504"/>
      <c r="AH826" s="505"/>
      <c r="AJ826" s="229" t="str">
        <f>IF(OR(A826="",AND(ISNUMBER(FIND("[", A826)), ISNUMBER(FIND("ALL", A826)), ISNUMBER(FIND("]", A826)))),"",MAX(AJ$3:AJ825)+1)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268"/>
      <c r="AA827" s="264"/>
      <c r="AB827" s="264"/>
      <c r="AC827" s="269"/>
      <c r="AD827" s="264"/>
      <c r="AE827" s="503"/>
      <c r="AF827" s="504"/>
      <c r="AG827" s="504"/>
      <c r="AH827" s="505"/>
      <c r="AJ827" s="229" t="str">
        <f>IF(OR(A827="",AND(ISNUMBER(FIND("[", A827)), ISNUMBER(FIND("ALL", A827)), ISNUMBER(FIND("]", A827)))),"",MAX(AJ$3:AJ826)+1)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268"/>
      <c r="AA828" s="264"/>
      <c r="AB828" s="264"/>
      <c r="AC828" s="269"/>
      <c r="AD828" s="264"/>
      <c r="AE828" s="503"/>
      <c r="AF828" s="504"/>
      <c r="AG828" s="504"/>
      <c r="AH828" s="505"/>
      <c r="AJ828" s="229" t="str">
        <f>IF(OR(A828="",AND(ISNUMBER(FIND("[", A828)), ISNUMBER(FIND("ALL", A828)), ISNUMBER(FIND("]", A828)))),"",MAX(AJ$3:AJ827)+1)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268"/>
      <c r="AA829" s="264"/>
      <c r="AB829" s="264"/>
      <c r="AC829" s="269"/>
      <c r="AD829" s="264"/>
      <c r="AE829" s="503"/>
      <c r="AF829" s="504"/>
      <c r="AG829" s="504"/>
      <c r="AH829" s="505"/>
      <c r="AJ829" s="229" t="str">
        <f>IF(OR(A829="",AND(ISNUMBER(FIND("[", A829)), ISNUMBER(FIND("ALL", A829)), ISNUMBER(FIND("]", A829)))),"",MAX(AJ$3:AJ828)+1)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268"/>
      <c r="AA830" s="264"/>
      <c r="AB830" s="264"/>
      <c r="AC830" s="269"/>
      <c r="AD830" s="264"/>
      <c r="AE830" s="503"/>
      <c r="AF830" s="504"/>
      <c r="AG830" s="504"/>
      <c r="AH830" s="505"/>
      <c r="AJ830" s="229" t="str">
        <f>IF(OR(A830="",AND(ISNUMBER(FIND("[", A830)), ISNUMBER(FIND("ALL", A830)), ISNUMBER(FIND("]", A830)))),"",MAX(AJ$3:AJ829)+1)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268"/>
      <c r="AA831" s="264"/>
      <c r="AB831" s="264"/>
      <c r="AC831" s="269"/>
      <c r="AD831" s="264"/>
      <c r="AE831" s="503"/>
      <c r="AF831" s="504"/>
      <c r="AG831" s="504"/>
      <c r="AH831" s="505"/>
      <c r="AJ831" s="229" t="str">
        <f>IF(OR(A831="",AND(ISNUMBER(FIND("[", A831)), ISNUMBER(FIND("ALL", A831)), ISNUMBER(FIND("]", A831)))),"",MAX(AJ$3:AJ830)+1)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268"/>
      <c r="AA832" s="264"/>
      <c r="AB832" s="264"/>
      <c r="AC832" s="269"/>
      <c r="AD832" s="264"/>
      <c r="AE832" s="503"/>
      <c r="AF832" s="504"/>
      <c r="AG832" s="504"/>
      <c r="AH832" s="505"/>
      <c r="AJ832" s="229" t="str">
        <f>IF(OR(A832="",AND(ISNUMBER(FIND("[", A832)), ISNUMBER(FIND("ALL", A832)), ISNUMBER(FIND("]", A832)))),"",MAX(AJ$3:AJ831)+1)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268"/>
      <c r="AA833" s="264"/>
      <c r="AB833" s="264"/>
      <c r="AC833" s="269"/>
      <c r="AD833" s="264"/>
      <c r="AE833" s="503"/>
      <c r="AF833" s="504"/>
      <c r="AG833" s="504"/>
      <c r="AH833" s="505"/>
      <c r="AJ833" s="229" t="str">
        <f>IF(OR(A833="",AND(ISNUMBER(FIND("[", A833)), ISNUMBER(FIND("ALL", A833)), ISNUMBER(FIND("]", A833)))),"",MAX(AJ$3:AJ832)+1)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268"/>
      <c r="AA834" s="264"/>
      <c r="AB834" s="264"/>
      <c r="AC834" s="269"/>
      <c r="AD834" s="264"/>
      <c r="AE834" s="503"/>
      <c r="AF834" s="504"/>
      <c r="AG834" s="504"/>
      <c r="AH834" s="505"/>
      <c r="AJ834" s="229" t="str">
        <f>IF(OR(A834="",AND(ISNUMBER(FIND("[", A834)), ISNUMBER(FIND("ALL", A834)), ISNUMBER(FIND("]", A834)))),"",MAX(AJ$3:AJ833)+1)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268"/>
      <c r="AA835" s="264"/>
      <c r="AB835" s="264"/>
      <c r="AC835" s="269"/>
      <c r="AD835" s="264"/>
      <c r="AE835" s="503"/>
      <c r="AF835" s="504"/>
      <c r="AG835" s="504"/>
      <c r="AH835" s="505"/>
      <c r="AJ835" s="229" t="str">
        <f>IF(OR(A835="",AND(ISNUMBER(FIND("[", A835)), ISNUMBER(FIND("ALL", A835)), ISNUMBER(FIND("]", A835)))),"",MAX(AJ$3:AJ834)+1)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268"/>
      <c r="AA836" s="264"/>
      <c r="AB836" s="264"/>
      <c r="AC836" s="269"/>
      <c r="AD836" s="264"/>
      <c r="AE836" s="503"/>
      <c r="AF836" s="504"/>
      <c r="AG836" s="504"/>
      <c r="AH836" s="505"/>
      <c r="AJ836" s="229" t="str">
        <f>IF(OR(A836="",AND(ISNUMBER(FIND("[", A836)), ISNUMBER(FIND("ALL", A836)), ISNUMBER(FIND("]", A836)))),"",MAX(AJ$3:AJ835)+1)</f>
        <v/>
      </c>
      <c r="AK836" s="229" t="str">
        <f t="shared" ref="AK836:AK899" si="13">IFERROR(INDEX($A$4:$A$1000,MATCH(ROW()-ROW($AK$3),$AJ$4:$AJ$1000,0)),"")</f>
        <v/>
      </c>
    </row>
    <row r="837" spans="1:37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268"/>
      <c r="AA837" s="264"/>
      <c r="AB837" s="264"/>
      <c r="AC837" s="269"/>
      <c r="AD837" s="264"/>
      <c r="AE837" s="503"/>
      <c r="AF837" s="504"/>
      <c r="AG837" s="504"/>
      <c r="AH837" s="505"/>
      <c r="AJ837" s="229" t="str">
        <f>IF(OR(A837="",AND(ISNUMBER(FIND("[", A837)), ISNUMBER(FIND("ALL", A837)), ISNUMBER(FIND("]", A837)))),"",MAX(AJ$3:AJ836)+1)</f>
        <v/>
      </c>
      <c r="AK837" s="229" t="str">
        <f t="shared" si="13"/>
        <v/>
      </c>
    </row>
    <row r="838" spans="1:37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268"/>
      <c r="AA838" s="264"/>
      <c r="AB838" s="264"/>
      <c r="AC838" s="269"/>
      <c r="AD838" s="264"/>
      <c r="AE838" s="503"/>
      <c r="AF838" s="504"/>
      <c r="AG838" s="504"/>
      <c r="AH838" s="505"/>
      <c r="AJ838" s="229" t="str">
        <f>IF(OR(A838="",AND(ISNUMBER(FIND("[", A838)), ISNUMBER(FIND("ALL", A838)), ISNUMBER(FIND("]", A838)))),"",MAX(AJ$3:AJ837)+1)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268"/>
      <c r="AA839" s="264"/>
      <c r="AB839" s="264"/>
      <c r="AC839" s="269"/>
      <c r="AD839" s="264"/>
      <c r="AE839" s="503"/>
      <c r="AF839" s="504"/>
      <c r="AG839" s="504"/>
      <c r="AH839" s="505"/>
      <c r="AJ839" s="229" t="str">
        <f>IF(OR(A839="",AND(ISNUMBER(FIND("[", A839)), ISNUMBER(FIND("ALL", A839)), ISNUMBER(FIND("]", A839)))),"",MAX(AJ$3:AJ838)+1)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268"/>
      <c r="AA840" s="264"/>
      <c r="AB840" s="264"/>
      <c r="AC840" s="269"/>
      <c r="AD840" s="264"/>
      <c r="AE840" s="503"/>
      <c r="AF840" s="504"/>
      <c r="AG840" s="504"/>
      <c r="AH840" s="505"/>
      <c r="AJ840" s="229" t="str">
        <f>IF(OR(A840="",AND(ISNUMBER(FIND("[", A840)), ISNUMBER(FIND("ALL", A840)), ISNUMBER(FIND("]", A840)))),"",MAX(AJ$3:AJ839)+1)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268"/>
      <c r="AA841" s="264"/>
      <c r="AB841" s="264"/>
      <c r="AC841" s="269"/>
      <c r="AD841" s="264"/>
      <c r="AE841" s="503"/>
      <c r="AF841" s="504"/>
      <c r="AG841" s="504"/>
      <c r="AH841" s="505"/>
      <c r="AJ841" s="229" t="str">
        <f>IF(OR(A841="",AND(ISNUMBER(FIND("[", A841)), ISNUMBER(FIND("ALL", A841)), ISNUMBER(FIND("]", A841)))),"",MAX(AJ$3:AJ840)+1)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268"/>
      <c r="AA842" s="264"/>
      <c r="AB842" s="264"/>
      <c r="AC842" s="269"/>
      <c r="AD842" s="264"/>
      <c r="AE842" s="503"/>
      <c r="AF842" s="504"/>
      <c r="AG842" s="504"/>
      <c r="AH842" s="505"/>
      <c r="AJ842" s="229" t="str">
        <f>IF(OR(A842="",AND(ISNUMBER(FIND("[", A842)), ISNUMBER(FIND("ALL", A842)), ISNUMBER(FIND("]", A842)))),"",MAX(AJ$3:AJ841)+1)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268"/>
      <c r="AA843" s="264"/>
      <c r="AB843" s="264"/>
      <c r="AC843" s="269"/>
      <c r="AD843" s="264"/>
      <c r="AE843" s="503"/>
      <c r="AF843" s="504"/>
      <c r="AG843" s="504"/>
      <c r="AH843" s="505"/>
      <c r="AJ843" s="229" t="str">
        <f>IF(OR(A843="",AND(ISNUMBER(FIND("[", A843)), ISNUMBER(FIND("ALL", A843)), ISNUMBER(FIND("]", A843)))),"",MAX(AJ$3:AJ842)+1)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268"/>
      <c r="AA844" s="264"/>
      <c r="AB844" s="264"/>
      <c r="AC844" s="269"/>
      <c r="AD844" s="264"/>
      <c r="AE844" s="503"/>
      <c r="AF844" s="504"/>
      <c r="AG844" s="504"/>
      <c r="AH844" s="505"/>
      <c r="AJ844" s="229" t="str">
        <f>IF(OR(A844="",AND(ISNUMBER(FIND("[", A844)), ISNUMBER(FIND("ALL", A844)), ISNUMBER(FIND("]", A844)))),"",MAX(AJ$3:AJ843)+1)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268"/>
      <c r="AA845" s="264"/>
      <c r="AB845" s="264"/>
      <c r="AC845" s="269"/>
      <c r="AD845" s="264"/>
      <c r="AE845" s="503"/>
      <c r="AF845" s="504"/>
      <c r="AG845" s="504"/>
      <c r="AH845" s="505"/>
      <c r="AJ845" s="229" t="str">
        <f>IF(OR(A845="",AND(ISNUMBER(FIND("[", A845)), ISNUMBER(FIND("ALL", A845)), ISNUMBER(FIND("]", A845)))),"",MAX(AJ$3:AJ844)+1)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268"/>
      <c r="AA846" s="264"/>
      <c r="AB846" s="264"/>
      <c r="AC846" s="269"/>
      <c r="AD846" s="264"/>
      <c r="AE846" s="503"/>
      <c r="AF846" s="504"/>
      <c r="AG846" s="504"/>
      <c r="AH846" s="505"/>
      <c r="AJ846" s="229" t="str">
        <f>IF(OR(A846="",AND(ISNUMBER(FIND("[", A846)), ISNUMBER(FIND("ALL", A846)), ISNUMBER(FIND("]", A846)))),"",MAX(AJ$3:AJ845)+1)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268"/>
      <c r="AA847" s="264"/>
      <c r="AB847" s="264"/>
      <c r="AC847" s="269"/>
      <c r="AD847" s="264"/>
      <c r="AE847" s="503"/>
      <c r="AF847" s="504"/>
      <c r="AG847" s="504"/>
      <c r="AH847" s="505"/>
      <c r="AJ847" s="229" t="str">
        <f>IF(OR(A847="",AND(ISNUMBER(FIND("[", A847)), ISNUMBER(FIND("ALL", A847)), ISNUMBER(FIND("]", A847)))),"",MAX(AJ$3:AJ846)+1)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268"/>
      <c r="AA848" s="264"/>
      <c r="AB848" s="264"/>
      <c r="AC848" s="269"/>
      <c r="AD848" s="264"/>
      <c r="AE848" s="503"/>
      <c r="AF848" s="504"/>
      <c r="AG848" s="504"/>
      <c r="AH848" s="505"/>
      <c r="AJ848" s="229" t="str">
        <f>IF(OR(A848="",AND(ISNUMBER(FIND("[", A848)), ISNUMBER(FIND("ALL", A848)), ISNUMBER(FIND("]", A848)))),"",MAX(AJ$3:AJ847)+1)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268"/>
      <c r="AA849" s="264"/>
      <c r="AB849" s="264"/>
      <c r="AC849" s="269"/>
      <c r="AD849" s="264"/>
      <c r="AE849" s="503"/>
      <c r="AF849" s="504"/>
      <c r="AG849" s="504"/>
      <c r="AH849" s="505"/>
      <c r="AJ849" s="229" t="str">
        <f>IF(OR(A849="",AND(ISNUMBER(FIND("[", A849)), ISNUMBER(FIND("ALL", A849)), ISNUMBER(FIND("]", A849)))),"",MAX(AJ$3:AJ848)+1)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268"/>
      <c r="AA850" s="264"/>
      <c r="AB850" s="264"/>
      <c r="AC850" s="269"/>
      <c r="AD850" s="264"/>
      <c r="AE850" s="503"/>
      <c r="AF850" s="504"/>
      <c r="AG850" s="504"/>
      <c r="AH850" s="505"/>
      <c r="AJ850" s="229" t="str">
        <f>IF(OR(A850="",AND(ISNUMBER(FIND("[", A850)), ISNUMBER(FIND("ALL", A850)), ISNUMBER(FIND("]", A850)))),"",MAX(AJ$3:AJ849)+1)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268"/>
      <c r="AA851" s="264"/>
      <c r="AB851" s="264"/>
      <c r="AC851" s="269"/>
      <c r="AD851" s="264"/>
      <c r="AE851" s="503"/>
      <c r="AF851" s="504"/>
      <c r="AG851" s="504"/>
      <c r="AH851" s="505"/>
      <c r="AJ851" s="229" t="str">
        <f>IF(OR(A851="",AND(ISNUMBER(FIND("[", A851)), ISNUMBER(FIND("ALL", A851)), ISNUMBER(FIND("]", A851)))),"",MAX(AJ$3:AJ850)+1)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268"/>
      <c r="AA852" s="264"/>
      <c r="AB852" s="264"/>
      <c r="AC852" s="269"/>
      <c r="AD852" s="264"/>
      <c r="AE852" s="503"/>
      <c r="AF852" s="504"/>
      <c r="AG852" s="504"/>
      <c r="AH852" s="505"/>
      <c r="AJ852" s="229" t="str">
        <f>IF(OR(A852="",AND(ISNUMBER(FIND("[", A852)), ISNUMBER(FIND("ALL", A852)), ISNUMBER(FIND("]", A852)))),"",MAX(AJ$3:AJ851)+1)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268"/>
      <c r="AA853" s="264"/>
      <c r="AB853" s="264"/>
      <c r="AC853" s="269"/>
      <c r="AD853" s="264"/>
      <c r="AE853" s="503"/>
      <c r="AF853" s="504"/>
      <c r="AG853" s="504"/>
      <c r="AH853" s="505"/>
      <c r="AJ853" s="229" t="str">
        <f>IF(OR(A853="",AND(ISNUMBER(FIND("[", A853)), ISNUMBER(FIND("ALL", A853)), ISNUMBER(FIND("]", A853)))),"",MAX(AJ$3:AJ852)+1)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268"/>
      <c r="AA854" s="264"/>
      <c r="AB854" s="264"/>
      <c r="AC854" s="269"/>
      <c r="AD854" s="264"/>
      <c r="AE854" s="503"/>
      <c r="AF854" s="504"/>
      <c r="AG854" s="504"/>
      <c r="AH854" s="505"/>
      <c r="AJ854" s="229" t="str">
        <f>IF(OR(A854="",AND(ISNUMBER(FIND("[", A854)), ISNUMBER(FIND("ALL", A854)), ISNUMBER(FIND("]", A854)))),"",MAX(AJ$3:AJ853)+1)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268"/>
      <c r="AA855" s="264"/>
      <c r="AB855" s="264"/>
      <c r="AC855" s="269"/>
      <c r="AD855" s="264"/>
      <c r="AE855" s="503"/>
      <c r="AF855" s="504"/>
      <c r="AG855" s="504"/>
      <c r="AH855" s="505"/>
      <c r="AJ855" s="229" t="str">
        <f>IF(OR(A855="",AND(ISNUMBER(FIND("[", A855)), ISNUMBER(FIND("ALL", A855)), ISNUMBER(FIND("]", A855)))),"",MAX(AJ$3:AJ854)+1)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268"/>
      <c r="AA856" s="264"/>
      <c r="AB856" s="264"/>
      <c r="AC856" s="269"/>
      <c r="AD856" s="264"/>
      <c r="AE856" s="503"/>
      <c r="AF856" s="504"/>
      <c r="AG856" s="504"/>
      <c r="AH856" s="505"/>
      <c r="AJ856" s="229" t="str">
        <f>IF(OR(A856="",AND(ISNUMBER(FIND("[", A856)), ISNUMBER(FIND("ALL", A856)), ISNUMBER(FIND("]", A856)))),"",MAX(AJ$3:AJ855)+1)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268"/>
      <c r="AA857" s="264"/>
      <c r="AB857" s="264"/>
      <c r="AC857" s="269"/>
      <c r="AD857" s="264"/>
      <c r="AE857" s="503"/>
      <c r="AF857" s="504"/>
      <c r="AG857" s="504"/>
      <c r="AH857" s="505"/>
      <c r="AJ857" s="229" t="str">
        <f>IF(OR(A857="",AND(ISNUMBER(FIND("[", A857)), ISNUMBER(FIND("ALL", A857)), ISNUMBER(FIND("]", A857)))),"",MAX(AJ$3:AJ856)+1)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268"/>
      <c r="AA858" s="264"/>
      <c r="AB858" s="264"/>
      <c r="AC858" s="269"/>
      <c r="AD858" s="264"/>
      <c r="AE858" s="503"/>
      <c r="AF858" s="504"/>
      <c r="AG858" s="504"/>
      <c r="AH858" s="505"/>
      <c r="AJ858" s="229" t="str">
        <f>IF(OR(A858="",AND(ISNUMBER(FIND("[", A858)), ISNUMBER(FIND("ALL", A858)), ISNUMBER(FIND("]", A858)))),"",MAX(AJ$3:AJ857)+1)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268"/>
      <c r="AA859" s="264"/>
      <c r="AB859" s="264"/>
      <c r="AC859" s="269"/>
      <c r="AD859" s="264"/>
      <c r="AE859" s="503"/>
      <c r="AF859" s="504"/>
      <c r="AG859" s="504"/>
      <c r="AH859" s="505"/>
      <c r="AJ859" s="229" t="str">
        <f>IF(OR(A859="",AND(ISNUMBER(FIND("[", A859)), ISNUMBER(FIND("ALL", A859)), ISNUMBER(FIND("]", A859)))),"",MAX(AJ$3:AJ858)+1)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268"/>
      <c r="AA860" s="264"/>
      <c r="AB860" s="264"/>
      <c r="AC860" s="269"/>
      <c r="AD860" s="264"/>
      <c r="AE860" s="503"/>
      <c r="AF860" s="504"/>
      <c r="AG860" s="504"/>
      <c r="AH860" s="505"/>
      <c r="AJ860" s="229" t="str">
        <f>IF(OR(A860="",AND(ISNUMBER(FIND("[", A860)), ISNUMBER(FIND("ALL", A860)), ISNUMBER(FIND("]", A860)))),"",MAX(AJ$3:AJ859)+1)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268"/>
      <c r="AA861" s="264"/>
      <c r="AB861" s="264"/>
      <c r="AC861" s="269"/>
      <c r="AD861" s="264"/>
      <c r="AE861" s="503"/>
      <c r="AF861" s="504"/>
      <c r="AG861" s="504"/>
      <c r="AH861" s="505"/>
      <c r="AJ861" s="229" t="str">
        <f>IF(OR(A861="",AND(ISNUMBER(FIND("[", A861)), ISNUMBER(FIND("ALL", A861)), ISNUMBER(FIND("]", A861)))),"",MAX(AJ$3:AJ860)+1)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268"/>
      <c r="AA862" s="264"/>
      <c r="AB862" s="264"/>
      <c r="AC862" s="269"/>
      <c r="AD862" s="264"/>
      <c r="AE862" s="503"/>
      <c r="AF862" s="504"/>
      <c r="AG862" s="504"/>
      <c r="AH862" s="505"/>
      <c r="AJ862" s="229" t="str">
        <f>IF(OR(A862="",AND(ISNUMBER(FIND("[", A862)), ISNUMBER(FIND("ALL", A862)), ISNUMBER(FIND("]", A862)))),"",MAX(AJ$3:AJ861)+1)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268"/>
      <c r="AA863" s="264"/>
      <c r="AB863" s="264"/>
      <c r="AC863" s="269"/>
      <c r="AD863" s="264"/>
      <c r="AE863" s="503"/>
      <c r="AF863" s="504"/>
      <c r="AG863" s="504"/>
      <c r="AH863" s="505"/>
      <c r="AJ863" s="229" t="str">
        <f>IF(OR(A863="",AND(ISNUMBER(FIND("[", A863)), ISNUMBER(FIND("ALL", A863)), ISNUMBER(FIND("]", A863)))),"",MAX(AJ$3:AJ862)+1)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268"/>
      <c r="AA864" s="264"/>
      <c r="AB864" s="264"/>
      <c r="AC864" s="269"/>
      <c r="AD864" s="264"/>
      <c r="AE864" s="503"/>
      <c r="AF864" s="504"/>
      <c r="AG864" s="504"/>
      <c r="AH864" s="505"/>
      <c r="AJ864" s="229" t="str">
        <f>IF(OR(A864="",AND(ISNUMBER(FIND("[", A864)), ISNUMBER(FIND("ALL", A864)), ISNUMBER(FIND("]", A864)))),"",MAX(AJ$3:AJ863)+1)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268"/>
      <c r="AA865" s="264"/>
      <c r="AB865" s="264"/>
      <c r="AC865" s="269"/>
      <c r="AD865" s="264"/>
      <c r="AE865" s="503"/>
      <c r="AF865" s="504"/>
      <c r="AG865" s="504"/>
      <c r="AH865" s="505"/>
      <c r="AJ865" s="229" t="str">
        <f>IF(OR(A865="",AND(ISNUMBER(FIND("[", A865)), ISNUMBER(FIND("ALL", A865)), ISNUMBER(FIND("]", A865)))),"",MAX(AJ$3:AJ864)+1)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268"/>
      <c r="AA866" s="264"/>
      <c r="AB866" s="264"/>
      <c r="AC866" s="269"/>
      <c r="AD866" s="264"/>
      <c r="AE866" s="503"/>
      <c r="AF866" s="504"/>
      <c r="AG866" s="504"/>
      <c r="AH866" s="505"/>
      <c r="AJ866" s="229" t="str">
        <f>IF(OR(A866="",AND(ISNUMBER(FIND("[", A866)), ISNUMBER(FIND("ALL", A866)), ISNUMBER(FIND("]", A866)))),"",MAX(AJ$3:AJ865)+1)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268"/>
      <c r="AA867" s="264"/>
      <c r="AB867" s="264"/>
      <c r="AC867" s="269"/>
      <c r="AD867" s="264"/>
      <c r="AE867" s="503"/>
      <c r="AF867" s="504"/>
      <c r="AG867" s="504"/>
      <c r="AH867" s="505"/>
      <c r="AJ867" s="229" t="str">
        <f>IF(OR(A867="",AND(ISNUMBER(FIND("[", A867)), ISNUMBER(FIND("ALL", A867)), ISNUMBER(FIND("]", A867)))),"",MAX(AJ$3:AJ866)+1)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268"/>
      <c r="AA868" s="264"/>
      <c r="AB868" s="264"/>
      <c r="AC868" s="269"/>
      <c r="AD868" s="264"/>
      <c r="AE868" s="503"/>
      <c r="AF868" s="504"/>
      <c r="AG868" s="504"/>
      <c r="AH868" s="505"/>
      <c r="AJ868" s="229" t="str">
        <f>IF(OR(A868="",AND(ISNUMBER(FIND("[", A868)), ISNUMBER(FIND("ALL", A868)), ISNUMBER(FIND("]", A868)))),"",MAX(AJ$3:AJ867)+1)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268"/>
      <c r="AA869" s="264"/>
      <c r="AB869" s="264"/>
      <c r="AC869" s="269"/>
      <c r="AD869" s="264"/>
      <c r="AE869" s="503"/>
      <c r="AF869" s="504"/>
      <c r="AG869" s="504"/>
      <c r="AH869" s="505"/>
      <c r="AJ869" s="229" t="str">
        <f>IF(OR(A869="",AND(ISNUMBER(FIND("[", A869)), ISNUMBER(FIND("ALL", A869)), ISNUMBER(FIND("]", A869)))),"",MAX(AJ$3:AJ868)+1)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268"/>
      <c r="AA870" s="264"/>
      <c r="AB870" s="264"/>
      <c r="AC870" s="269"/>
      <c r="AD870" s="264"/>
      <c r="AE870" s="503"/>
      <c r="AF870" s="504"/>
      <c r="AG870" s="504"/>
      <c r="AH870" s="505"/>
      <c r="AJ870" s="229" t="str">
        <f>IF(OR(A870="",AND(ISNUMBER(FIND("[", A870)), ISNUMBER(FIND("ALL", A870)), ISNUMBER(FIND("]", A870)))),"",MAX(AJ$3:AJ869)+1)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268"/>
      <c r="AA871" s="264"/>
      <c r="AB871" s="264"/>
      <c r="AC871" s="269"/>
      <c r="AD871" s="264"/>
      <c r="AE871" s="503"/>
      <c r="AF871" s="504"/>
      <c r="AG871" s="504"/>
      <c r="AH871" s="505"/>
      <c r="AJ871" s="229" t="str">
        <f>IF(OR(A871="",AND(ISNUMBER(FIND("[", A871)), ISNUMBER(FIND("ALL", A871)), ISNUMBER(FIND("]", A871)))),"",MAX(AJ$3:AJ870)+1)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268"/>
      <c r="AA872" s="264"/>
      <c r="AB872" s="264"/>
      <c r="AC872" s="269"/>
      <c r="AD872" s="264"/>
      <c r="AE872" s="503"/>
      <c r="AF872" s="504"/>
      <c r="AG872" s="504"/>
      <c r="AH872" s="505"/>
      <c r="AJ872" s="229" t="str">
        <f>IF(OR(A872="",AND(ISNUMBER(FIND("[", A872)), ISNUMBER(FIND("ALL", A872)), ISNUMBER(FIND("]", A872)))),"",MAX(AJ$3:AJ871)+1)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268"/>
      <c r="AA873" s="264"/>
      <c r="AB873" s="264"/>
      <c r="AC873" s="269"/>
      <c r="AD873" s="264"/>
      <c r="AE873" s="503"/>
      <c r="AF873" s="504"/>
      <c r="AG873" s="504"/>
      <c r="AH873" s="505"/>
      <c r="AJ873" s="229" t="str">
        <f>IF(OR(A873="",AND(ISNUMBER(FIND("[", A873)), ISNUMBER(FIND("ALL", A873)), ISNUMBER(FIND("]", A873)))),"",MAX(AJ$3:AJ872)+1)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268"/>
      <c r="AA874" s="264"/>
      <c r="AB874" s="264"/>
      <c r="AC874" s="269"/>
      <c r="AD874" s="264"/>
      <c r="AE874" s="503"/>
      <c r="AF874" s="504"/>
      <c r="AG874" s="504"/>
      <c r="AH874" s="505"/>
      <c r="AJ874" s="229" t="str">
        <f>IF(OR(A874="",AND(ISNUMBER(FIND("[", A874)), ISNUMBER(FIND("ALL", A874)), ISNUMBER(FIND("]", A874)))),"",MAX(AJ$3:AJ873)+1)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268"/>
      <c r="AA875" s="264"/>
      <c r="AB875" s="264"/>
      <c r="AC875" s="269"/>
      <c r="AD875" s="264"/>
      <c r="AE875" s="503"/>
      <c r="AF875" s="504"/>
      <c r="AG875" s="504"/>
      <c r="AH875" s="505"/>
      <c r="AJ875" s="229" t="str">
        <f>IF(OR(A875="",AND(ISNUMBER(FIND("[", A875)), ISNUMBER(FIND("ALL", A875)), ISNUMBER(FIND("]", A875)))),"",MAX(AJ$3:AJ874)+1)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268"/>
      <c r="AA876" s="264"/>
      <c r="AB876" s="264"/>
      <c r="AC876" s="269"/>
      <c r="AD876" s="264"/>
      <c r="AE876" s="503"/>
      <c r="AF876" s="504"/>
      <c r="AG876" s="504"/>
      <c r="AH876" s="505"/>
      <c r="AJ876" s="229" t="str">
        <f>IF(OR(A876="",AND(ISNUMBER(FIND("[", A876)), ISNUMBER(FIND("ALL", A876)), ISNUMBER(FIND("]", A876)))),"",MAX(AJ$3:AJ875)+1)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268"/>
      <c r="AA877" s="264"/>
      <c r="AB877" s="264"/>
      <c r="AC877" s="269"/>
      <c r="AD877" s="264"/>
      <c r="AE877" s="503"/>
      <c r="AF877" s="504"/>
      <c r="AG877" s="504"/>
      <c r="AH877" s="505"/>
      <c r="AJ877" s="229" t="str">
        <f>IF(OR(A877="",AND(ISNUMBER(FIND("[", A877)), ISNUMBER(FIND("ALL", A877)), ISNUMBER(FIND("]", A877)))),"",MAX(AJ$3:AJ876)+1)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268"/>
      <c r="AA878" s="264"/>
      <c r="AB878" s="264"/>
      <c r="AC878" s="269"/>
      <c r="AD878" s="264"/>
      <c r="AE878" s="503"/>
      <c r="AF878" s="504"/>
      <c r="AG878" s="504"/>
      <c r="AH878" s="505"/>
      <c r="AJ878" s="229" t="str">
        <f>IF(OR(A878="",AND(ISNUMBER(FIND("[", A878)), ISNUMBER(FIND("ALL", A878)), ISNUMBER(FIND("]", A878)))),"",MAX(AJ$3:AJ877)+1)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268"/>
      <c r="AA879" s="264"/>
      <c r="AB879" s="264"/>
      <c r="AC879" s="269"/>
      <c r="AD879" s="264"/>
      <c r="AE879" s="503"/>
      <c r="AF879" s="504"/>
      <c r="AG879" s="504"/>
      <c r="AH879" s="505"/>
      <c r="AJ879" s="229" t="str">
        <f>IF(OR(A879="",AND(ISNUMBER(FIND("[", A879)), ISNUMBER(FIND("ALL", A879)), ISNUMBER(FIND("]", A879)))),"",MAX(AJ$3:AJ878)+1)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268"/>
      <c r="AA880" s="264"/>
      <c r="AB880" s="264"/>
      <c r="AC880" s="269"/>
      <c r="AD880" s="264"/>
      <c r="AE880" s="503"/>
      <c r="AF880" s="504"/>
      <c r="AG880" s="504"/>
      <c r="AH880" s="505"/>
      <c r="AJ880" s="229" t="str">
        <f>IF(OR(A880="",AND(ISNUMBER(FIND("[", A880)), ISNUMBER(FIND("ALL", A880)), ISNUMBER(FIND("]", A880)))),"",MAX(AJ$3:AJ879)+1)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268"/>
      <c r="AA881" s="264"/>
      <c r="AB881" s="264"/>
      <c r="AC881" s="269"/>
      <c r="AD881" s="264"/>
      <c r="AE881" s="503"/>
      <c r="AF881" s="504"/>
      <c r="AG881" s="504"/>
      <c r="AH881" s="505"/>
      <c r="AJ881" s="229" t="str">
        <f>IF(OR(A881="",AND(ISNUMBER(FIND("[", A881)), ISNUMBER(FIND("ALL", A881)), ISNUMBER(FIND("]", A881)))),"",MAX(AJ$3:AJ880)+1)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268"/>
      <c r="AA882" s="264"/>
      <c r="AB882" s="264"/>
      <c r="AC882" s="269"/>
      <c r="AD882" s="264"/>
      <c r="AE882" s="503"/>
      <c r="AF882" s="504"/>
      <c r="AG882" s="504"/>
      <c r="AH882" s="505"/>
      <c r="AJ882" s="229" t="str">
        <f>IF(OR(A882="",AND(ISNUMBER(FIND("[", A882)), ISNUMBER(FIND("ALL", A882)), ISNUMBER(FIND("]", A882)))),"",MAX(AJ$3:AJ881)+1)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268"/>
      <c r="AA883" s="264"/>
      <c r="AB883" s="264"/>
      <c r="AC883" s="269"/>
      <c r="AD883" s="264"/>
      <c r="AE883" s="503"/>
      <c r="AF883" s="504"/>
      <c r="AG883" s="504"/>
      <c r="AH883" s="505"/>
      <c r="AJ883" s="229" t="str">
        <f>IF(OR(A883="",AND(ISNUMBER(FIND("[", A883)), ISNUMBER(FIND("ALL", A883)), ISNUMBER(FIND("]", A883)))),"",MAX(AJ$3:AJ882)+1)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268"/>
      <c r="AA884" s="264"/>
      <c r="AB884" s="264"/>
      <c r="AC884" s="269"/>
      <c r="AD884" s="264"/>
      <c r="AE884" s="503"/>
      <c r="AF884" s="504"/>
      <c r="AG884" s="504"/>
      <c r="AH884" s="505"/>
      <c r="AJ884" s="229" t="str">
        <f>IF(OR(A884="",AND(ISNUMBER(FIND("[", A884)), ISNUMBER(FIND("ALL", A884)), ISNUMBER(FIND("]", A884)))),"",MAX(AJ$3:AJ883)+1)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268"/>
      <c r="AA885" s="264"/>
      <c r="AB885" s="264"/>
      <c r="AC885" s="269"/>
      <c r="AD885" s="264"/>
      <c r="AE885" s="503"/>
      <c r="AF885" s="504"/>
      <c r="AG885" s="504"/>
      <c r="AH885" s="505"/>
      <c r="AJ885" s="229" t="str">
        <f>IF(OR(A885="",AND(ISNUMBER(FIND("[", A885)), ISNUMBER(FIND("ALL", A885)), ISNUMBER(FIND("]", A885)))),"",MAX(AJ$3:AJ884)+1)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268"/>
      <c r="AA886" s="264"/>
      <c r="AB886" s="264"/>
      <c r="AC886" s="269"/>
      <c r="AD886" s="264"/>
      <c r="AE886" s="503"/>
      <c r="AF886" s="504"/>
      <c r="AG886" s="504"/>
      <c r="AH886" s="505"/>
      <c r="AJ886" s="229" t="str">
        <f>IF(OR(A886="",AND(ISNUMBER(FIND("[", A886)), ISNUMBER(FIND("ALL", A886)), ISNUMBER(FIND("]", A886)))),"",MAX(AJ$3:AJ885)+1)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268"/>
      <c r="AA887" s="264"/>
      <c r="AB887" s="264"/>
      <c r="AC887" s="269"/>
      <c r="AD887" s="264"/>
      <c r="AE887" s="503"/>
      <c r="AF887" s="504"/>
      <c r="AG887" s="504"/>
      <c r="AH887" s="505"/>
      <c r="AJ887" s="229" t="str">
        <f>IF(OR(A887="",AND(ISNUMBER(FIND("[", A887)), ISNUMBER(FIND("ALL", A887)), ISNUMBER(FIND("]", A887)))),"",MAX(AJ$3:AJ886)+1)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268"/>
      <c r="AA888" s="264"/>
      <c r="AB888" s="264"/>
      <c r="AC888" s="269"/>
      <c r="AD888" s="264"/>
      <c r="AE888" s="503"/>
      <c r="AF888" s="504"/>
      <c r="AG888" s="504"/>
      <c r="AH888" s="505"/>
      <c r="AJ888" s="229" t="str">
        <f>IF(OR(A888="",AND(ISNUMBER(FIND("[", A888)), ISNUMBER(FIND("ALL", A888)), ISNUMBER(FIND("]", A888)))),"",MAX(AJ$3:AJ887)+1)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268"/>
      <c r="AA889" s="264"/>
      <c r="AB889" s="264"/>
      <c r="AC889" s="269"/>
      <c r="AD889" s="264"/>
      <c r="AE889" s="503"/>
      <c r="AF889" s="504"/>
      <c r="AG889" s="504"/>
      <c r="AH889" s="505"/>
      <c r="AJ889" s="229" t="str">
        <f>IF(OR(A889="",AND(ISNUMBER(FIND("[", A889)), ISNUMBER(FIND("ALL", A889)), ISNUMBER(FIND("]", A889)))),"",MAX(AJ$3:AJ888)+1)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268"/>
      <c r="AA890" s="264"/>
      <c r="AB890" s="264"/>
      <c r="AC890" s="269"/>
      <c r="AD890" s="264"/>
      <c r="AE890" s="503"/>
      <c r="AF890" s="504"/>
      <c r="AG890" s="504"/>
      <c r="AH890" s="505"/>
      <c r="AJ890" s="229" t="str">
        <f>IF(OR(A890="",AND(ISNUMBER(FIND("[", A890)), ISNUMBER(FIND("ALL", A890)), ISNUMBER(FIND("]", A890)))),"",MAX(AJ$3:AJ889)+1)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268"/>
      <c r="AA891" s="264"/>
      <c r="AB891" s="264"/>
      <c r="AC891" s="269"/>
      <c r="AD891" s="264"/>
      <c r="AE891" s="503"/>
      <c r="AF891" s="504"/>
      <c r="AG891" s="504"/>
      <c r="AH891" s="505"/>
      <c r="AJ891" s="229" t="str">
        <f>IF(OR(A891="",AND(ISNUMBER(FIND("[", A891)), ISNUMBER(FIND("ALL", A891)), ISNUMBER(FIND("]", A891)))),"",MAX(AJ$3:AJ890)+1)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268"/>
      <c r="AA892" s="264"/>
      <c r="AB892" s="264"/>
      <c r="AC892" s="269"/>
      <c r="AD892" s="264"/>
      <c r="AE892" s="503"/>
      <c r="AF892" s="504"/>
      <c r="AG892" s="504"/>
      <c r="AH892" s="505"/>
      <c r="AJ892" s="229" t="str">
        <f>IF(OR(A892="",AND(ISNUMBER(FIND("[", A892)), ISNUMBER(FIND("ALL", A892)), ISNUMBER(FIND("]", A892)))),"",MAX(AJ$3:AJ891)+1)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268"/>
      <c r="AA893" s="264"/>
      <c r="AB893" s="264"/>
      <c r="AC893" s="269"/>
      <c r="AD893" s="264"/>
      <c r="AE893" s="503"/>
      <c r="AF893" s="504"/>
      <c r="AG893" s="504"/>
      <c r="AH893" s="505"/>
      <c r="AJ893" s="229" t="str">
        <f>IF(OR(A893="",AND(ISNUMBER(FIND("[", A893)), ISNUMBER(FIND("ALL", A893)), ISNUMBER(FIND("]", A893)))),"",MAX(AJ$3:AJ892)+1)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268"/>
      <c r="AA894" s="264"/>
      <c r="AB894" s="264"/>
      <c r="AC894" s="269"/>
      <c r="AD894" s="264"/>
      <c r="AE894" s="503"/>
      <c r="AF894" s="504"/>
      <c r="AG894" s="504"/>
      <c r="AH894" s="505"/>
      <c r="AJ894" s="229" t="str">
        <f>IF(OR(A894="",AND(ISNUMBER(FIND("[", A894)), ISNUMBER(FIND("ALL", A894)), ISNUMBER(FIND("]", A894)))),"",MAX(AJ$3:AJ893)+1)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268"/>
      <c r="AA895" s="264"/>
      <c r="AB895" s="264"/>
      <c r="AC895" s="269"/>
      <c r="AD895" s="264"/>
      <c r="AE895" s="503"/>
      <c r="AF895" s="504"/>
      <c r="AG895" s="504"/>
      <c r="AH895" s="505"/>
      <c r="AJ895" s="229" t="str">
        <f>IF(OR(A895="",AND(ISNUMBER(FIND("[", A895)), ISNUMBER(FIND("ALL", A895)), ISNUMBER(FIND("]", A895)))),"",MAX(AJ$3:AJ894)+1)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268"/>
      <c r="AA896" s="264"/>
      <c r="AB896" s="264"/>
      <c r="AC896" s="269"/>
      <c r="AD896" s="264"/>
      <c r="AE896" s="503"/>
      <c r="AF896" s="504"/>
      <c r="AG896" s="504"/>
      <c r="AH896" s="505"/>
      <c r="AJ896" s="229" t="str">
        <f>IF(OR(A896="",AND(ISNUMBER(FIND("[", A896)), ISNUMBER(FIND("ALL", A896)), ISNUMBER(FIND("]", A896)))),"",MAX(AJ$3:AJ895)+1)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268"/>
      <c r="AA897" s="264"/>
      <c r="AB897" s="264"/>
      <c r="AC897" s="269"/>
      <c r="AD897" s="264"/>
      <c r="AE897" s="503"/>
      <c r="AF897" s="504"/>
      <c r="AG897" s="504"/>
      <c r="AH897" s="505"/>
      <c r="AJ897" s="229" t="str">
        <f>IF(OR(A897="",AND(ISNUMBER(FIND("[", A897)), ISNUMBER(FIND("ALL", A897)), ISNUMBER(FIND("]", A897)))),"",MAX(AJ$3:AJ896)+1)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268"/>
      <c r="AA898" s="264"/>
      <c r="AB898" s="264"/>
      <c r="AC898" s="269"/>
      <c r="AD898" s="264"/>
      <c r="AE898" s="503"/>
      <c r="AF898" s="504"/>
      <c r="AG898" s="504"/>
      <c r="AH898" s="505"/>
      <c r="AJ898" s="229" t="str">
        <f>IF(OR(A898="",AND(ISNUMBER(FIND("[", A898)), ISNUMBER(FIND("ALL", A898)), ISNUMBER(FIND("]", A898)))),"",MAX(AJ$3:AJ897)+1)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268"/>
      <c r="AA899" s="264"/>
      <c r="AB899" s="264"/>
      <c r="AC899" s="269"/>
      <c r="AD899" s="264"/>
      <c r="AE899" s="503"/>
      <c r="AF899" s="504"/>
      <c r="AG899" s="504"/>
      <c r="AH899" s="505"/>
      <c r="AJ899" s="229" t="str">
        <f>IF(OR(A899="",AND(ISNUMBER(FIND("[", A899)), ISNUMBER(FIND("ALL", A899)), ISNUMBER(FIND("]", A899)))),"",MAX(AJ$3:AJ898)+1)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268"/>
      <c r="AA900" s="264"/>
      <c r="AB900" s="264"/>
      <c r="AC900" s="269"/>
      <c r="AD900" s="264"/>
      <c r="AE900" s="503"/>
      <c r="AF900" s="504"/>
      <c r="AG900" s="504"/>
      <c r="AH900" s="505"/>
      <c r="AJ900" s="229" t="str">
        <f>IF(OR(A900="",AND(ISNUMBER(FIND("[", A900)), ISNUMBER(FIND("ALL", A900)), ISNUMBER(FIND("]", A900)))),"",MAX(AJ$3:AJ899)+1)</f>
        <v/>
      </c>
      <c r="AK900" s="229" t="str">
        <f t="shared" ref="AK900:AK963" si="14">IFERROR(INDEX($A$4:$A$1000,MATCH(ROW()-ROW($AK$3),$AJ$4:$AJ$1000,0)),"")</f>
        <v/>
      </c>
    </row>
    <row r="901" spans="1:37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268"/>
      <c r="AA901" s="264"/>
      <c r="AB901" s="264"/>
      <c r="AC901" s="269"/>
      <c r="AD901" s="264"/>
      <c r="AE901" s="503"/>
      <c r="AF901" s="504"/>
      <c r="AG901" s="504"/>
      <c r="AH901" s="505"/>
      <c r="AJ901" s="229" t="str">
        <f>IF(OR(A901="",AND(ISNUMBER(FIND("[", A901)), ISNUMBER(FIND("ALL", A901)), ISNUMBER(FIND("]", A901)))),"",MAX(AJ$3:AJ900)+1)</f>
        <v/>
      </c>
      <c r="AK901" s="229" t="str">
        <f t="shared" si="14"/>
        <v/>
      </c>
    </row>
    <row r="902" spans="1:37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268"/>
      <c r="AA902" s="264"/>
      <c r="AB902" s="264"/>
      <c r="AC902" s="269"/>
      <c r="AD902" s="264"/>
      <c r="AE902" s="503"/>
      <c r="AF902" s="504"/>
      <c r="AG902" s="504"/>
      <c r="AH902" s="505"/>
      <c r="AJ902" s="229" t="str">
        <f>IF(OR(A902="",AND(ISNUMBER(FIND("[", A902)), ISNUMBER(FIND("ALL", A902)), ISNUMBER(FIND("]", A902)))),"",MAX(AJ$3:AJ901)+1)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268"/>
      <c r="AA903" s="264"/>
      <c r="AB903" s="264"/>
      <c r="AC903" s="269"/>
      <c r="AD903" s="264"/>
      <c r="AE903" s="503"/>
      <c r="AF903" s="504"/>
      <c r="AG903" s="504"/>
      <c r="AH903" s="505"/>
      <c r="AJ903" s="229" t="str">
        <f>IF(OR(A903="",AND(ISNUMBER(FIND("[", A903)), ISNUMBER(FIND("ALL", A903)), ISNUMBER(FIND("]", A903)))),"",MAX(AJ$3:AJ902)+1)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268"/>
      <c r="AA904" s="264"/>
      <c r="AB904" s="264"/>
      <c r="AC904" s="269"/>
      <c r="AD904" s="264"/>
      <c r="AE904" s="503"/>
      <c r="AF904" s="504"/>
      <c r="AG904" s="504"/>
      <c r="AH904" s="505"/>
      <c r="AJ904" s="229" t="str">
        <f>IF(OR(A904="",AND(ISNUMBER(FIND("[", A904)), ISNUMBER(FIND("ALL", A904)), ISNUMBER(FIND("]", A904)))),"",MAX(AJ$3:AJ903)+1)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268"/>
      <c r="AA905" s="264"/>
      <c r="AB905" s="264"/>
      <c r="AC905" s="269"/>
      <c r="AD905" s="264"/>
      <c r="AE905" s="503"/>
      <c r="AF905" s="504"/>
      <c r="AG905" s="504"/>
      <c r="AH905" s="505"/>
      <c r="AJ905" s="229" t="str">
        <f>IF(OR(A905="",AND(ISNUMBER(FIND("[", A905)), ISNUMBER(FIND("ALL", A905)), ISNUMBER(FIND("]", A905)))),"",MAX(AJ$3:AJ904)+1)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268"/>
      <c r="AA906" s="264"/>
      <c r="AB906" s="264"/>
      <c r="AC906" s="269"/>
      <c r="AD906" s="264"/>
      <c r="AE906" s="503"/>
      <c r="AF906" s="504"/>
      <c r="AG906" s="504"/>
      <c r="AH906" s="505"/>
      <c r="AJ906" s="229" t="str">
        <f>IF(OR(A906="",AND(ISNUMBER(FIND("[", A906)), ISNUMBER(FIND("ALL", A906)), ISNUMBER(FIND("]", A906)))),"",MAX(AJ$3:AJ905)+1)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268"/>
      <c r="AA907" s="264"/>
      <c r="AB907" s="264"/>
      <c r="AC907" s="269"/>
      <c r="AD907" s="264"/>
      <c r="AE907" s="503"/>
      <c r="AF907" s="504"/>
      <c r="AG907" s="504"/>
      <c r="AH907" s="505"/>
      <c r="AJ907" s="229" t="str">
        <f>IF(OR(A907="",AND(ISNUMBER(FIND("[", A907)), ISNUMBER(FIND("ALL", A907)), ISNUMBER(FIND("]", A907)))),"",MAX(AJ$3:AJ906)+1)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268"/>
      <c r="AA908" s="264"/>
      <c r="AB908" s="264"/>
      <c r="AC908" s="269"/>
      <c r="AD908" s="264"/>
      <c r="AE908" s="503"/>
      <c r="AF908" s="504"/>
      <c r="AG908" s="504"/>
      <c r="AH908" s="505"/>
      <c r="AJ908" s="229" t="str">
        <f>IF(OR(A908="",AND(ISNUMBER(FIND("[", A908)), ISNUMBER(FIND("ALL", A908)), ISNUMBER(FIND("]", A908)))),"",MAX(AJ$3:AJ907)+1)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268"/>
      <c r="AA909" s="264"/>
      <c r="AB909" s="264"/>
      <c r="AC909" s="269"/>
      <c r="AD909" s="264"/>
      <c r="AE909" s="503"/>
      <c r="AF909" s="504"/>
      <c r="AG909" s="504"/>
      <c r="AH909" s="505"/>
      <c r="AJ909" s="229" t="str">
        <f>IF(OR(A909="",AND(ISNUMBER(FIND("[", A909)), ISNUMBER(FIND("ALL", A909)), ISNUMBER(FIND("]", A909)))),"",MAX(AJ$3:AJ908)+1)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268"/>
      <c r="AA910" s="264"/>
      <c r="AB910" s="264"/>
      <c r="AC910" s="269"/>
      <c r="AD910" s="264"/>
      <c r="AE910" s="503"/>
      <c r="AF910" s="504"/>
      <c r="AG910" s="504"/>
      <c r="AH910" s="505"/>
      <c r="AJ910" s="229" t="str">
        <f>IF(OR(A910="",AND(ISNUMBER(FIND("[", A910)), ISNUMBER(FIND("ALL", A910)), ISNUMBER(FIND("]", A910)))),"",MAX(AJ$3:AJ909)+1)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268"/>
      <c r="AA911" s="264"/>
      <c r="AB911" s="264"/>
      <c r="AC911" s="269"/>
      <c r="AD911" s="264"/>
      <c r="AE911" s="503"/>
      <c r="AF911" s="504"/>
      <c r="AG911" s="504"/>
      <c r="AH911" s="505"/>
      <c r="AJ911" s="229" t="str">
        <f>IF(OR(A911="",AND(ISNUMBER(FIND("[", A911)), ISNUMBER(FIND("ALL", A911)), ISNUMBER(FIND("]", A911)))),"",MAX(AJ$3:AJ910)+1)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268"/>
      <c r="AA912" s="264"/>
      <c r="AB912" s="264"/>
      <c r="AC912" s="269"/>
      <c r="AD912" s="264"/>
      <c r="AE912" s="503"/>
      <c r="AF912" s="504"/>
      <c r="AG912" s="504"/>
      <c r="AH912" s="505"/>
      <c r="AJ912" s="229" t="str">
        <f>IF(OR(A912="",AND(ISNUMBER(FIND("[", A912)), ISNUMBER(FIND("ALL", A912)), ISNUMBER(FIND("]", A912)))),"",MAX(AJ$3:AJ911)+1)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268"/>
      <c r="AA913" s="264"/>
      <c r="AB913" s="264"/>
      <c r="AC913" s="269"/>
      <c r="AD913" s="264"/>
      <c r="AE913" s="503"/>
      <c r="AF913" s="504"/>
      <c r="AG913" s="504"/>
      <c r="AH913" s="505"/>
      <c r="AJ913" s="229" t="str">
        <f>IF(OR(A913="",AND(ISNUMBER(FIND("[", A913)), ISNUMBER(FIND("ALL", A913)), ISNUMBER(FIND("]", A913)))),"",MAX(AJ$3:AJ912)+1)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268"/>
      <c r="AA914" s="264"/>
      <c r="AB914" s="264"/>
      <c r="AC914" s="269"/>
      <c r="AD914" s="264"/>
      <c r="AE914" s="503"/>
      <c r="AF914" s="504"/>
      <c r="AG914" s="504"/>
      <c r="AH914" s="505"/>
      <c r="AJ914" s="229" t="str">
        <f>IF(OR(A914="",AND(ISNUMBER(FIND("[", A914)), ISNUMBER(FIND("ALL", A914)), ISNUMBER(FIND("]", A914)))),"",MAX(AJ$3:AJ913)+1)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268"/>
      <c r="AA915" s="264"/>
      <c r="AB915" s="264"/>
      <c r="AC915" s="269"/>
      <c r="AD915" s="264"/>
      <c r="AE915" s="503"/>
      <c r="AF915" s="504"/>
      <c r="AG915" s="504"/>
      <c r="AH915" s="505"/>
      <c r="AJ915" s="229" t="str">
        <f>IF(OR(A915="",AND(ISNUMBER(FIND("[", A915)), ISNUMBER(FIND("ALL", A915)), ISNUMBER(FIND("]", A915)))),"",MAX(AJ$3:AJ914)+1)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268"/>
      <c r="AA916" s="264"/>
      <c r="AB916" s="264"/>
      <c r="AC916" s="269"/>
      <c r="AD916" s="264"/>
      <c r="AE916" s="503"/>
      <c r="AF916" s="504"/>
      <c r="AG916" s="504"/>
      <c r="AH916" s="505"/>
      <c r="AJ916" s="229" t="str">
        <f>IF(OR(A916="",AND(ISNUMBER(FIND("[", A916)), ISNUMBER(FIND("ALL", A916)), ISNUMBER(FIND("]", A916)))),"",MAX(AJ$3:AJ915)+1)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268"/>
      <c r="AA917" s="264"/>
      <c r="AB917" s="264"/>
      <c r="AC917" s="269"/>
      <c r="AD917" s="264"/>
      <c r="AE917" s="503"/>
      <c r="AF917" s="504"/>
      <c r="AG917" s="504"/>
      <c r="AH917" s="505"/>
      <c r="AJ917" s="229" t="str">
        <f>IF(OR(A917="",AND(ISNUMBER(FIND("[", A917)), ISNUMBER(FIND("ALL", A917)), ISNUMBER(FIND("]", A917)))),"",MAX(AJ$3:AJ916)+1)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268"/>
      <c r="AA918" s="264"/>
      <c r="AB918" s="264"/>
      <c r="AC918" s="269"/>
      <c r="AD918" s="264"/>
      <c r="AE918" s="503"/>
      <c r="AF918" s="504"/>
      <c r="AG918" s="504"/>
      <c r="AH918" s="505"/>
      <c r="AJ918" s="229" t="str">
        <f>IF(OR(A918="",AND(ISNUMBER(FIND("[", A918)), ISNUMBER(FIND("ALL", A918)), ISNUMBER(FIND("]", A918)))),"",MAX(AJ$3:AJ917)+1)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268"/>
      <c r="AA919" s="264"/>
      <c r="AB919" s="264"/>
      <c r="AC919" s="269"/>
      <c r="AD919" s="264"/>
      <c r="AE919" s="503"/>
      <c r="AF919" s="504"/>
      <c r="AG919" s="504"/>
      <c r="AH919" s="505"/>
      <c r="AJ919" s="229" t="str">
        <f>IF(OR(A919="",AND(ISNUMBER(FIND("[", A919)), ISNUMBER(FIND("ALL", A919)), ISNUMBER(FIND("]", A919)))),"",MAX(AJ$3:AJ918)+1)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268"/>
      <c r="AA920" s="264"/>
      <c r="AB920" s="264"/>
      <c r="AC920" s="269"/>
      <c r="AD920" s="264"/>
      <c r="AE920" s="503"/>
      <c r="AF920" s="504"/>
      <c r="AG920" s="504"/>
      <c r="AH920" s="505"/>
      <c r="AJ920" s="229" t="str">
        <f>IF(OR(A920="",AND(ISNUMBER(FIND("[", A920)), ISNUMBER(FIND("ALL", A920)), ISNUMBER(FIND("]", A920)))),"",MAX(AJ$3:AJ919)+1)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268"/>
      <c r="AA921" s="264"/>
      <c r="AB921" s="264"/>
      <c r="AC921" s="269"/>
      <c r="AD921" s="264"/>
      <c r="AE921" s="503"/>
      <c r="AF921" s="504"/>
      <c r="AG921" s="504"/>
      <c r="AH921" s="505"/>
      <c r="AJ921" s="229" t="str">
        <f>IF(OR(A921="",AND(ISNUMBER(FIND("[", A921)), ISNUMBER(FIND("ALL", A921)), ISNUMBER(FIND("]", A921)))),"",MAX(AJ$3:AJ920)+1)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268"/>
      <c r="AA922" s="264"/>
      <c r="AB922" s="264"/>
      <c r="AC922" s="269"/>
      <c r="AD922" s="264"/>
      <c r="AE922" s="503"/>
      <c r="AF922" s="504"/>
      <c r="AG922" s="504"/>
      <c r="AH922" s="505"/>
      <c r="AJ922" s="229" t="str">
        <f>IF(OR(A922="",AND(ISNUMBER(FIND("[", A922)), ISNUMBER(FIND("ALL", A922)), ISNUMBER(FIND("]", A922)))),"",MAX(AJ$3:AJ921)+1)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268"/>
      <c r="AA923" s="264"/>
      <c r="AB923" s="264"/>
      <c r="AC923" s="269"/>
      <c r="AD923" s="264"/>
      <c r="AE923" s="503"/>
      <c r="AF923" s="504"/>
      <c r="AG923" s="504"/>
      <c r="AH923" s="505"/>
      <c r="AJ923" s="229" t="str">
        <f>IF(OR(A923="",AND(ISNUMBER(FIND("[", A923)), ISNUMBER(FIND("ALL", A923)), ISNUMBER(FIND("]", A923)))),"",MAX(AJ$3:AJ922)+1)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268"/>
      <c r="AA924" s="264"/>
      <c r="AB924" s="264"/>
      <c r="AC924" s="269"/>
      <c r="AD924" s="264"/>
      <c r="AE924" s="503"/>
      <c r="AF924" s="504"/>
      <c r="AG924" s="504"/>
      <c r="AH924" s="505"/>
      <c r="AJ924" s="229" t="str">
        <f>IF(OR(A924="",AND(ISNUMBER(FIND("[", A924)), ISNUMBER(FIND("ALL", A924)), ISNUMBER(FIND("]", A924)))),"",MAX(AJ$3:AJ923)+1)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268"/>
      <c r="AA925" s="264"/>
      <c r="AB925" s="264"/>
      <c r="AC925" s="269"/>
      <c r="AD925" s="264"/>
      <c r="AE925" s="503"/>
      <c r="AF925" s="504"/>
      <c r="AG925" s="504"/>
      <c r="AH925" s="505"/>
      <c r="AJ925" s="229" t="str">
        <f>IF(OR(A925="",AND(ISNUMBER(FIND("[", A925)), ISNUMBER(FIND("ALL", A925)), ISNUMBER(FIND("]", A925)))),"",MAX(AJ$3:AJ924)+1)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268"/>
      <c r="AA926" s="264"/>
      <c r="AB926" s="264"/>
      <c r="AC926" s="269"/>
      <c r="AD926" s="264"/>
      <c r="AE926" s="503"/>
      <c r="AF926" s="504"/>
      <c r="AG926" s="504"/>
      <c r="AH926" s="505"/>
      <c r="AJ926" s="229" t="str">
        <f>IF(OR(A926="",AND(ISNUMBER(FIND("[", A926)), ISNUMBER(FIND("ALL", A926)), ISNUMBER(FIND("]", A926)))),"",MAX(AJ$3:AJ925)+1)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268"/>
      <c r="AA927" s="264"/>
      <c r="AB927" s="264"/>
      <c r="AC927" s="269"/>
      <c r="AD927" s="264"/>
      <c r="AE927" s="503"/>
      <c r="AF927" s="504"/>
      <c r="AG927" s="504"/>
      <c r="AH927" s="505"/>
      <c r="AJ927" s="229" t="str">
        <f>IF(OR(A927="",AND(ISNUMBER(FIND("[", A927)), ISNUMBER(FIND("ALL", A927)), ISNUMBER(FIND("]", A927)))),"",MAX(AJ$3:AJ926)+1)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268"/>
      <c r="AA928" s="264"/>
      <c r="AB928" s="264"/>
      <c r="AC928" s="269"/>
      <c r="AD928" s="264"/>
      <c r="AE928" s="503"/>
      <c r="AF928" s="504"/>
      <c r="AG928" s="504"/>
      <c r="AH928" s="505"/>
      <c r="AJ928" s="229" t="str">
        <f>IF(OR(A928="",AND(ISNUMBER(FIND("[", A928)), ISNUMBER(FIND("ALL", A928)), ISNUMBER(FIND("]", A928)))),"",MAX(AJ$3:AJ927)+1)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268"/>
      <c r="AA929" s="264"/>
      <c r="AB929" s="264"/>
      <c r="AC929" s="269"/>
      <c r="AD929" s="264"/>
      <c r="AE929" s="503"/>
      <c r="AF929" s="504"/>
      <c r="AG929" s="504"/>
      <c r="AH929" s="505"/>
      <c r="AJ929" s="229" t="str">
        <f>IF(OR(A929="",AND(ISNUMBER(FIND("[", A929)), ISNUMBER(FIND("ALL", A929)), ISNUMBER(FIND("]", A929)))),"",MAX(AJ$3:AJ928)+1)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268"/>
      <c r="AA930" s="264"/>
      <c r="AB930" s="264"/>
      <c r="AC930" s="269"/>
      <c r="AD930" s="264"/>
      <c r="AE930" s="503"/>
      <c r="AF930" s="504"/>
      <c r="AG930" s="504"/>
      <c r="AH930" s="505"/>
      <c r="AJ930" s="229" t="str">
        <f>IF(OR(A930="",AND(ISNUMBER(FIND("[", A930)), ISNUMBER(FIND("ALL", A930)), ISNUMBER(FIND("]", A930)))),"",MAX(AJ$3:AJ929)+1)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268"/>
      <c r="AA931" s="264"/>
      <c r="AB931" s="264"/>
      <c r="AC931" s="269"/>
      <c r="AD931" s="264"/>
      <c r="AE931" s="503"/>
      <c r="AF931" s="504"/>
      <c r="AG931" s="504"/>
      <c r="AH931" s="505"/>
      <c r="AJ931" s="229" t="str">
        <f>IF(OR(A931="",AND(ISNUMBER(FIND("[", A931)), ISNUMBER(FIND("ALL", A931)), ISNUMBER(FIND("]", A931)))),"",MAX(AJ$3:AJ930)+1)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268"/>
      <c r="AA932" s="264"/>
      <c r="AB932" s="264"/>
      <c r="AC932" s="269"/>
      <c r="AD932" s="264"/>
      <c r="AE932" s="503"/>
      <c r="AF932" s="504"/>
      <c r="AG932" s="504"/>
      <c r="AH932" s="505"/>
      <c r="AJ932" s="229" t="str">
        <f>IF(OR(A932="",AND(ISNUMBER(FIND("[", A932)), ISNUMBER(FIND("ALL", A932)), ISNUMBER(FIND("]", A932)))),"",MAX(AJ$3:AJ931)+1)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268"/>
      <c r="AA933" s="264"/>
      <c r="AB933" s="264"/>
      <c r="AC933" s="269"/>
      <c r="AD933" s="264"/>
      <c r="AE933" s="503"/>
      <c r="AF933" s="504"/>
      <c r="AG933" s="504"/>
      <c r="AH933" s="505"/>
      <c r="AJ933" s="229" t="str">
        <f>IF(OR(A933="",AND(ISNUMBER(FIND("[", A933)), ISNUMBER(FIND("ALL", A933)), ISNUMBER(FIND("]", A933)))),"",MAX(AJ$3:AJ932)+1)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268"/>
      <c r="AA934" s="264"/>
      <c r="AB934" s="264"/>
      <c r="AC934" s="269"/>
      <c r="AD934" s="264"/>
      <c r="AE934" s="503"/>
      <c r="AF934" s="504"/>
      <c r="AG934" s="504"/>
      <c r="AH934" s="505"/>
      <c r="AJ934" s="229" t="str">
        <f>IF(OR(A934="",AND(ISNUMBER(FIND("[", A934)), ISNUMBER(FIND("ALL", A934)), ISNUMBER(FIND("]", A934)))),"",MAX(AJ$3:AJ933)+1)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268"/>
      <c r="AA935" s="264"/>
      <c r="AB935" s="264"/>
      <c r="AC935" s="269"/>
      <c r="AD935" s="264"/>
      <c r="AE935" s="503"/>
      <c r="AF935" s="504"/>
      <c r="AG935" s="504"/>
      <c r="AH935" s="505"/>
      <c r="AJ935" s="229" t="str">
        <f>IF(OR(A935="",AND(ISNUMBER(FIND("[", A935)), ISNUMBER(FIND("ALL", A935)), ISNUMBER(FIND("]", A935)))),"",MAX(AJ$3:AJ934)+1)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268"/>
      <c r="AA936" s="264"/>
      <c r="AB936" s="264"/>
      <c r="AC936" s="269"/>
      <c r="AD936" s="264"/>
      <c r="AE936" s="503"/>
      <c r="AF936" s="504"/>
      <c r="AG936" s="504"/>
      <c r="AH936" s="505"/>
      <c r="AJ936" s="229" t="str">
        <f>IF(OR(A936="",AND(ISNUMBER(FIND("[", A936)), ISNUMBER(FIND("ALL", A936)), ISNUMBER(FIND("]", A936)))),"",MAX(AJ$3:AJ935)+1)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268"/>
      <c r="AA937" s="264"/>
      <c r="AB937" s="264"/>
      <c r="AC937" s="269"/>
      <c r="AD937" s="264"/>
      <c r="AE937" s="503"/>
      <c r="AF937" s="504"/>
      <c r="AG937" s="504"/>
      <c r="AH937" s="505"/>
      <c r="AJ937" s="229" t="str">
        <f>IF(OR(A937="",AND(ISNUMBER(FIND("[", A937)), ISNUMBER(FIND("ALL", A937)), ISNUMBER(FIND("]", A937)))),"",MAX(AJ$3:AJ936)+1)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268"/>
      <c r="AA938" s="264"/>
      <c r="AB938" s="264"/>
      <c r="AC938" s="269"/>
      <c r="AD938" s="264"/>
      <c r="AE938" s="503"/>
      <c r="AF938" s="504"/>
      <c r="AG938" s="504"/>
      <c r="AH938" s="505"/>
      <c r="AJ938" s="229" t="str">
        <f>IF(OR(A938="",AND(ISNUMBER(FIND("[", A938)), ISNUMBER(FIND("ALL", A938)), ISNUMBER(FIND("]", A938)))),"",MAX(AJ$3:AJ937)+1)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268"/>
      <c r="AA939" s="264"/>
      <c r="AB939" s="264"/>
      <c r="AC939" s="269"/>
      <c r="AD939" s="264"/>
      <c r="AE939" s="503"/>
      <c r="AF939" s="504"/>
      <c r="AG939" s="504"/>
      <c r="AH939" s="505"/>
      <c r="AJ939" s="229" t="str">
        <f>IF(OR(A939="",AND(ISNUMBER(FIND("[", A939)), ISNUMBER(FIND("ALL", A939)), ISNUMBER(FIND("]", A939)))),"",MAX(AJ$3:AJ938)+1)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268"/>
      <c r="AA940" s="264"/>
      <c r="AB940" s="264"/>
      <c r="AC940" s="269"/>
      <c r="AD940" s="264"/>
      <c r="AE940" s="503"/>
      <c r="AF940" s="504"/>
      <c r="AG940" s="504"/>
      <c r="AH940" s="505"/>
      <c r="AJ940" s="229" t="str">
        <f>IF(OR(A940="",AND(ISNUMBER(FIND("[", A940)), ISNUMBER(FIND("ALL", A940)), ISNUMBER(FIND("]", A940)))),"",MAX(AJ$3:AJ939)+1)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268"/>
      <c r="AA941" s="264"/>
      <c r="AB941" s="264"/>
      <c r="AC941" s="269"/>
      <c r="AD941" s="264"/>
      <c r="AE941" s="503"/>
      <c r="AF941" s="504"/>
      <c r="AG941" s="504"/>
      <c r="AH941" s="505"/>
      <c r="AJ941" s="229" t="str">
        <f>IF(OR(A941="",AND(ISNUMBER(FIND("[", A941)), ISNUMBER(FIND("ALL", A941)), ISNUMBER(FIND("]", A941)))),"",MAX(AJ$3:AJ940)+1)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268"/>
      <c r="AA942" s="264"/>
      <c r="AB942" s="264"/>
      <c r="AC942" s="269"/>
      <c r="AD942" s="264"/>
      <c r="AE942" s="503"/>
      <c r="AF942" s="504"/>
      <c r="AG942" s="504"/>
      <c r="AH942" s="505"/>
      <c r="AJ942" s="229" t="str">
        <f>IF(OR(A942="",AND(ISNUMBER(FIND("[", A942)), ISNUMBER(FIND("ALL", A942)), ISNUMBER(FIND("]", A942)))),"",MAX(AJ$3:AJ941)+1)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268"/>
      <c r="AA943" s="264"/>
      <c r="AB943" s="264"/>
      <c r="AC943" s="269"/>
      <c r="AD943" s="264"/>
      <c r="AE943" s="503"/>
      <c r="AF943" s="504"/>
      <c r="AG943" s="504"/>
      <c r="AH943" s="505"/>
      <c r="AJ943" s="229" t="str">
        <f>IF(OR(A943="",AND(ISNUMBER(FIND("[", A943)), ISNUMBER(FIND("ALL", A943)), ISNUMBER(FIND("]", A943)))),"",MAX(AJ$3:AJ942)+1)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268"/>
      <c r="AA944" s="264"/>
      <c r="AB944" s="264"/>
      <c r="AC944" s="269"/>
      <c r="AD944" s="264"/>
      <c r="AE944" s="503"/>
      <c r="AF944" s="504"/>
      <c r="AG944" s="504"/>
      <c r="AH944" s="505"/>
      <c r="AJ944" s="229" t="str">
        <f>IF(OR(A944="",AND(ISNUMBER(FIND("[", A944)), ISNUMBER(FIND("ALL", A944)), ISNUMBER(FIND("]", A944)))),"",MAX(AJ$3:AJ943)+1)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268"/>
      <c r="AA945" s="264"/>
      <c r="AB945" s="264"/>
      <c r="AC945" s="269"/>
      <c r="AD945" s="264"/>
      <c r="AE945" s="503"/>
      <c r="AF945" s="504"/>
      <c r="AG945" s="504"/>
      <c r="AH945" s="505"/>
      <c r="AJ945" s="229" t="str">
        <f>IF(OR(A945="",AND(ISNUMBER(FIND("[", A945)), ISNUMBER(FIND("ALL", A945)), ISNUMBER(FIND("]", A945)))),"",MAX(AJ$3:AJ944)+1)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268"/>
      <c r="AA946" s="264"/>
      <c r="AB946" s="264"/>
      <c r="AC946" s="269"/>
      <c r="AD946" s="264"/>
      <c r="AE946" s="503"/>
      <c r="AF946" s="504"/>
      <c r="AG946" s="504"/>
      <c r="AH946" s="505"/>
      <c r="AJ946" s="229" t="str">
        <f>IF(OR(A946="",AND(ISNUMBER(FIND("[", A946)), ISNUMBER(FIND("ALL", A946)), ISNUMBER(FIND("]", A946)))),"",MAX(AJ$3:AJ945)+1)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268"/>
      <c r="AA947" s="264"/>
      <c r="AB947" s="264"/>
      <c r="AC947" s="269"/>
      <c r="AD947" s="264"/>
      <c r="AE947" s="503"/>
      <c r="AF947" s="504"/>
      <c r="AG947" s="504"/>
      <c r="AH947" s="505"/>
      <c r="AJ947" s="229" t="str">
        <f>IF(OR(A947="",AND(ISNUMBER(FIND("[", A947)), ISNUMBER(FIND("ALL", A947)), ISNUMBER(FIND("]", A947)))),"",MAX(AJ$3:AJ946)+1)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268"/>
      <c r="AA948" s="264"/>
      <c r="AB948" s="264"/>
      <c r="AC948" s="269"/>
      <c r="AD948" s="264"/>
      <c r="AE948" s="503"/>
      <c r="AF948" s="504"/>
      <c r="AG948" s="504"/>
      <c r="AH948" s="505"/>
      <c r="AJ948" s="229" t="str">
        <f>IF(OR(A948="",AND(ISNUMBER(FIND("[", A948)), ISNUMBER(FIND("ALL", A948)), ISNUMBER(FIND("]", A948)))),"",MAX(AJ$3:AJ947)+1)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268"/>
      <c r="AA949" s="264"/>
      <c r="AB949" s="264"/>
      <c r="AC949" s="269"/>
      <c r="AD949" s="264"/>
      <c r="AE949" s="503"/>
      <c r="AF949" s="504"/>
      <c r="AG949" s="504"/>
      <c r="AH949" s="505"/>
      <c r="AJ949" s="229" t="str">
        <f>IF(OR(A949="",AND(ISNUMBER(FIND("[", A949)), ISNUMBER(FIND("ALL", A949)), ISNUMBER(FIND("]", A949)))),"",MAX(AJ$3:AJ948)+1)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268"/>
      <c r="AA950" s="264"/>
      <c r="AB950" s="264"/>
      <c r="AC950" s="269"/>
      <c r="AD950" s="264"/>
      <c r="AE950" s="503"/>
      <c r="AF950" s="504"/>
      <c r="AG950" s="504"/>
      <c r="AH950" s="505"/>
      <c r="AJ950" s="229" t="str">
        <f>IF(OR(A950="",AND(ISNUMBER(FIND("[", A950)), ISNUMBER(FIND("ALL", A950)), ISNUMBER(FIND("]", A950)))),"",MAX(AJ$3:AJ949)+1)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268"/>
      <c r="AA951" s="264"/>
      <c r="AB951" s="264"/>
      <c r="AC951" s="269"/>
      <c r="AD951" s="264"/>
      <c r="AE951" s="503"/>
      <c r="AF951" s="504"/>
      <c r="AG951" s="504"/>
      <c r="AH951" s="505"/>
      <c r="AJ951" s="229" t="str">
        <f>IF(OR(A951="",AND(ISNUMBER(FIND("[", A951)), ISNUMBER(FIND("ALL", A951)), ISNUMBER(FIND("]", A951)))),"",MAX(AJ$3:AJ950)+1)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268"/>
      <c r="AA952" s="264"/>
      <c r="AB952" s="264"/>
      <c r="AC952" s="269"/>
      <c r="AD952" s="264"/>
      <c r="AE952" s="503"/>
      <c r="AF952" s="504"/>
      <c r="AG952" s="504"/>
      <c r="AH952" s="505"/>
      <c r="AJ952" s="229" t="str">
        <f>IF(OR(A952="",AND(ISNUMBER(FIND("[", A952)), ISNUMBER(FIND("ALL", A952)), ISNUMBER(FIND("]", A952)))),"",MAX(AJ$3:AJ951)+1)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268"/>
      <c r="AA953" s="264"/>
      <c r="AB953" s="264"/>
      <c r="AC953" s="269"/>
      <c r="AD953" s="264"/>
      <c r="AE953" s="503"/>
      <c r="AF953" s="504"/>
      <c r="AG953" s="504"/>
      <c r="AH953" s="505"/>
      <c r="AJ953" s="229" t="str">
        <f>IF(OR(A953="",AND(ISNUMBER(FIND("[", A953)), ISNUMBER(FIND("ALL", A953)), ISNUMBER(FIND("]", A953)))),"",MAX(AJ$3:AJ952)+1)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268"/>
      <c r="AA954" s="264"/>
      <c r="AB954" s="264"/>
      <c r="AC954" s="269"/>
      <c r="AD954" s="264"/>
      <c r="AE954" s="503"/>
      <c r="AF954" s="504"/>
      <c r="AG954" s="504"/>
      <c r="AH954" s="505"/>
      <c r="AJ954" s="229" t="str">
        <f>IF(OR(A954="",AND(ISNUMBER(FIND("[", A954)), ISNUMBER(FIND("ALL", A954)), ISNUMBER(FIND("]", A954)))),"",MAX(AJ$3:AJ953)+1)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268"/>
      <c r="AA955" s="264"/>
      <c r="AB955" s="264"/>
      <c r="AC955" s="269"/>
      <c r="AD955" s="264"/>
      <c r="AE955" s="503"/>
      <c r="AF955" s="504"/>
      <c r="AG955" s="504"/>
      <c r="AH955" s="505"/>
      <c r="AJ955" s="229" t="str">
        <f>IF(OR(A955="",AND(ISNUMBER(FIND("[", A955)), ISNUMBER(FIND("ALL", A955)), ISNUMBER(FIND("]", A955)))),"",MAX(AJ$3:AJ954)+1)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268"/>
      <c r="AA956" s="264"/>
      <c r="AB956" s="264"/>
      <c r="AC956" s="269"/>
      <c r="AD956" s="264"/>
      <c r="AE956" s="503"/>
      <c r="AF956" s="504"/>
      <c r="AG956" s="504"/>
      <c r="AH956" s="505"/>
      <c r="AJ956" s="229" t="str">
        <f>IF(OR(A956="",AND(ISNUMBER(FIND("[", A956)), ISNUMBER(FIND("ALL", A956)), ISNUMBER(FIND("]", A956)))),"",MAX(AJ$3:AJ955)+1)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268"/>
      <c r="AA957" s="264"/>
      <c r="AB957" s="264"/>
      <c r="AC957" s="269"/>
      <c r="AD957" s="264"/>
      <c r="AE957" s="503"/>
      <c r="AF957" s="504"/>
      <c r="AG957" s="504"/>
      <c r="AH957" s="505"/>
      <c r="AJ957" s="229" t="str">
        <f>IF(OR(A957="",AND(ISNUMBER(FIND("[", A957)), ISNUMBER(FIND("ALL", A957)), ISNUMBER(FIND("]", A957)))),"",MAX(AJ$3:AJ956)+1)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268"/>
      <c r="AA958" s="264"/>
      <c r="AB958" s="264"/>
      <c r="AC958" s="269"/>
      <c r="AD958" s="264"/>
      <c r="AE958" s="503"/>
      <c r="AF958" s="504"/>
      <c r="AG958" s="504"/>
      <c r="AH958" s="505"/>
      <c r="AJ958" s="229" t="str">
        <f>IF(OR(A958="",AND(ISNUMBER(FIND("[", A958)), ISNUMBER(FIND("ALL", A958)), ISNUMBER(FIND("]", A958)))),"",MAX(AJ$3:AJ957)+1)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268"/>
      <c r="AA959" s="264"/>
      <c r="AB959" s="264"/>
      <c r="AC959" s="269"/>
      <c r="AD959" s="264"/>
      <c r="AE959" s="503"/>
      <c r="AF959" s="504"/>
      <c r="AG959" s="504"/>
      <c r="AH959" s="505"/>
      <c r="AJ959" s="229" t="str">
        <f>IF(OR(A959="",AND(ISNUMBER(FIND("[", A959)), ISNUMBER(FIND("ALL", A959)), ISNUMBER(FIND("]", A959)))),"",MAX(AJ$3:AJ958)+1)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268"/>
      <c r="AA960" s="264"/>
      <c r="AB960" s="264"/>
      <c r="AC960" s="269"/>
      <c r="AD960" s="264"/>
      <c r="AE960" s="503"/>
      <c r="AF960" s="504"/>
      <c r="AG960" s="504"/>
      <c r="AH960" s="505"/>
      <c r="AJ960" s="229" t="str">
        <f>IF(OR(A960="",AND(ISNUMBER(FIND("[", A960)), ISNUMBER(FIND("ALL", A960)), ISNUMBER(FIND("]", A960)))),"",MAX(AJ$3:AJ959)+1)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268"/>
      <c r="AA961" s="264"/>
      <c r="AB961" s="264"/>
      <c r="AC961" s="269"/>
      <c r="AD961" s="264"/>
      <c r="AE961" s="503"/>
      <c r="AF961" s="504"/>
      <c r="AG961" s="504"/>
      <c r="AH961" s="505"/>
      <c r="AJ961" s="229" t="str">
        <f>IF(OR(A961="",AND(ISNUMBER(FIND("[", A961)), ISNUMBER(FIND("ALL", A961)), ISNUMBER(FIND("]", A961)))),"",MAX(AJ$3:AJ960)+1)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268"/>
      <c r="AA962" s="264"/>
      <c r="AB962" s="264"/>
      <c r="AC962" s="269"/>
      <c r="AD962" s="264"/>
      <c r="AE962" s="503"/>
      <c r="AF962" s="504"/>
      <c r="AG962" s="504"/>
      <c r="AH962" s="505"/>
      <c r="AJ962" s="229" t="str">
        <f>IF(OR(A962="",AND(ISNUMBER(FIND("[", A962)), ISNUMBER(FIND("ALL", A962)), ISNUMBER(FIND("]", A962)))),"",MAX(AJ$3:AJ961)+1)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268"/>
      <c r="AA963" s="264"/>
      <c r="AB963" s="264"/>
      <c r="AC963" s="269"/>
      <c r="AD963" s="264"/>
      <c r="AE963" s="503"/>
      <c r="AF963" s="504"/>
      <c r="AG963" s="504"/>
      <c r="AH963" s="505"/>
      <c r="AJ963" s="229" t="str">
        <f>IF(OR(A963="",AND(ISNUMBER(FIND("[", A963)), ISNUMBER(FIND("ALL", A963)), ISNUMBER(FIND("]", A963)))),"",MAX(AJ$3:AJ962)+1)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268"/>
      <c r="AA964" s="264"/>
      <c r="AB964" s="264"/>
      <c r="AC964" s="269"/>
      <c r="AD964" s="264"/>
      <c r="AE964" s="503"/>
      <c r="AF964" s="504"/>
      <c r="AG964" s="504"/>
      <c r="AH964" s="505"/>
      <c r="AJ964" s="229" t="str">
        <f>IF(OR(A964="",AND(ISNUMBER(FIND("[", A964)), ISNUMBER(FIND("ALL", A964)), ISNUMBER(FIND("]", A964)))),"",MAX(AJ$3:AJ963)+1)</f>
        <v/>
      </c>
      <c r="AK964" s="229" t="str">
        <f t="shared" ref="AK964:AK1000" si="15">IFERROR(INDEX($A$4:$A$1000,MATCH(ROW()-ROW($AK$3),$AJ$4:$AJ$1000,0)),"")</f>
        <v/>
      </c>
    </row>
    <row r="965" spans="1:37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268"/>
      <c r="AA965" s="264"/>
      <c r="AB965" s="264"/>
      <c r="AC965" s="269"/>
      <c r="AD965" s="264"/>
      <c r="AE965" s="503"/>
      <c r="AF965" s="504"/>
      <c r="AG965" s="504"/>
      <c r="AH965" s="505"/>
      <c r="AJ965" s="229" t="str">
        <f>IF(OR(A965="",AND(ISNUMBER(FIND("[", A965)), ISNUMBER(FIND("ALL", A965)), ISNUMBER(FIND("]", A965)))),"",MAX(AJ$3:AJ964)+1)</f>
        <v/>
      </c>
      <c r="AK965" s="229" t="str">
        <f t="shared" si="15"/>
        <v/>
      </c>
    </row>
    <row r="966" spans="1:37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268"/>
      <c r="AA966" s="264"/>
      <c r="AB966" s="264"/>
      <c r="AC966" s="269"/>
      <c r="AD966" s="264"/>
      <c r="AE966" s="503"/>
      <c r="AF966" s="504"/>
      <c r="AG966" s="504"/>
      <c r="AH966" s="505"/>
      <c r="AJ966" s="229" t="str">
        <f>IF(OR(A966="",AND(ISNUMBER(FIND("[", A966)), ISNUMBER(FIND("ALL", A966)), ISNUMBER(FIND("]", A966)))),"",MAX(AJ$3:AJ965)+1)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268"/>
      <c r="AA967" s="264"/>
      <c r="AB967" s="264"/>
      <c r="AC967" s="269"/>
      <c r="AD967" s="264"/>
      <c r="AE967" s="503"/>
      <c r="AF967" s="504"/>
      <c r="AG967" s="504"/>
      <c r="AH967" s="505"/>
      <c r="AJ967" s="229" t="str">
        <f>IF(OR(A967="",AND(ISNUMBER(FIND("[", A967)), ISNUMBER(FIND("ALL", A967)), ISNUMBER(FIND("]", A967)))),"",MAX(AJ$3:AJ966)+1)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268"/>
      <c r="AA968" s="264"/>
      <c r="AB968" s="264"/>
      <c r="AC968" s="269"/>
      <c r="AD968" s="264"/>
      <c r="AE968" s="503"/>
      <c r="AF968" s="504"/>
      <c r="AG968" s="504"/>
      <c r="AH968" s="505"/>
      <c r="AJ968" s="229" t="str">
        <f>IF(OR(A968="",AND(ISNUMBER(FIND("[", A968)), ISNUMBER(FIND("ALL", A968)), ISNUMBER(FIND("]", A968)))),"",MAX(AJ$3:AJ967)+1)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268"/>
      <c r="AA969" s="264"/>
      <c r="AB969" s="264"/>
      <c r="AC969" s="269"/>
      <c r="AD969" s="264"/>
      <c r="AE969" s="503"/>
      <c r="AF969" s="504"/>
      <c r="AG969" s="504"/>
      <c r="AH969" s="505"/>
      <c r="AJ969" s="229" t="str">
        <f>IF(OR(A969="",AND(ISNUMBER(FIND("[", A969)), ISNUMBER(FIND("ALL", A969)), ISNUMBER(FIND("]", A969)))),"",MAX(AJ$3:AJ968)+1)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268"/>
      <c r="AA970" s="264"/>
      <c r="AB970" s="264"/>
      <c r="AC970" s="269"/>
      <c r="AD970" s="264"/>
      <c r="AE970" s="503"/>
      <c r="AF970" s="504"/>
      <c r="AG970" s="504"/>
      <c r="AH970" s="505"/>
      <c r="AJ970" s="229" t="str">
        <f>IF(OR(A970="",AND(ISNUMBER(FIND("[", A970)), ISNUMBER(FIND("ALL", A970)), ISNUMBER(FIND("]", A970)))),"",MAX(AJ$3:AJ969)+1)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268"/>
      <c r="AA971" s="264"/>
      <c r="AB971" s="264"/>
      <c r="AC971" s="269"/>
      <c r="AD971" s="264"/>
      <c r="AE971" s="503"/>
      <c r="AF971" s="504"/>
      <c r="AG971" s="504"/>
      <c r="AH971" s="505"/>
      <c r="AJ971" s="229" t="str">
        <f>IF(OR(A971="",AND(ISNUMBER(FIND("[", A971)), ISNUMBER(FIND("ALL", A971)), ISNUMBER(FIND("]", A971)))),"",MAX(AJ$3:AJ970)+1)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268"/>
      <c r="AA972" s="264"/>
      <c r="AB972" s="264"/>
      <c r="AC972" s="269"/>
      <c r="AD972" s="264"/>
      <c r="AE972" s="503"/>
      <c r="AF972" s="504"/>
      <c r="AG972" s="504"/>
      <c r="AH972" s="505"/>
      <c r="AJ972" s="229" t="str">
        <f>IF(OR(A972="",AND(ISNUMBER(FIND("[", A972)), ISNUMBER(FIND("ALL", A972)), ISNUMBER(FIND("]", A972)))),"",MAX(AJ$3:AJ971)+1)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268"/>
      <c r="AA973" s="264"/>
      <c r="AB973" s="264"/>
      <c r="AC973" s="269"/>
      <c r="AD973" s="264"/>
      <c r="AE973" s="503"/>
      <c r="AF973" s="504"/>
      <c r="AG973" s="504"/>
      <c r="AH973" s="505"/>
      <c r="AJ973" s="229" t="str">
        <f>IF(OR(A973="",AND(ISNUMBER(FIND("[", A973)), ISNUMBER(FIND("ALL", A973)), ISNUMBER(FIND("]", A973)))),"",MAX(AJ$3:AJ972)+1)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268"/>
      <c r="AA974" s="264"/>
      <c r="AB974" s="264"/>
      <c r="AC974" s="269"/>
      <c r="AD974" s="264"/>
      <c r="AE974" s="503"/>
      <c r="AF974" s="504"/>
      <c r="AG974" s="504"/>
      <c r="AH974" s="505"/>
      <c r="AJ974" s="229" t="str">
        <f>IF(OR(A974="",AND(ISNUMBER(FIND("[", A974)), ISNUMBER(FIND("ALL", A974)), ISNUMBER(FIND("]", A974)))),"",MAX(AJ$3:AJ973)+1)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268"/>
      <c r="AA975" s="264"/>
      <c r="AB975" s="264"/>
      <c r="AC975" s="269"/>
      <c r="AD975" s="264"/>
      <c r="AE975" s="503"/>
      <c r="AF975" s="504"/>
      <c r="AG975" s="504"/>
      <c r="AH975" s="505"/>
      <c r="AJ975" s="229" t="str">
        <f>IF(OR(A975="",AND(ISNUMBER(FIND("[", A975)), ISNUMBER(FIND("ALL", A975)), ISNUMBER(FIND("]", A975)))),"",MAX(AJ$3:AJ974)+1)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268"/>
      <c r="AA976" s="264"/>
      <c r="AB976" s="264"/>
      <c r="AC976" s="269"/>
      <c r="AD976" s="264"/>
      <c r="AE976" s="503"/>
      <c r="AF976" s="504"/>
      <c r="AG976" s="504"/>
      <c r="AH976" s="505"/>
      <c r="AJ976" s="229" t="str">
        <f>IF(OR(A976="",AND(ISNUMBER(FIND("[", A976)), ISNUMBER(FIND("ALL", A976)), ISNUMBER(FIND("]", A976)))),"",MAX(AJ$3:AJ975)+1)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268"/>
      <c r="AA977" s="264"/>
      <c r="AB977" s="264"/>
      <c r="AC977" s="269"/>
      <c r="AD977" s="264"/>
      <c r="AE977" s="503"/>
      <c r="AF977" s="504"/>
      <c r="AG977" s="504"/>
      <c r="AH977" s="505"/>
      <c r="AJ977" s="229" t="str">
        <f>IF(OR(A977="",AND(ISNUMBER(FIND("[", A977)), ISNUMBER(FIND("ALL", A977)), ISNUMBER(FIND("]", A977)))),"",MAX(AJ$3:AJ976)+1)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268"/>
      <c r="AA978" s="264"/>
      <c r="AB978" s="264"/>
      <c r="AC978" s="269"/>
      <c r="AD978" s="264"/>
      <c r="AE978" s="503"/>
      <c r="AF978" s="504"/>
      <c r="AG978" s="504"/>
      <c r="AH978" s="505"/>
      <c r="AJ978" s="229" t="str">
        <f>IF(OR(A978="",AND(ISNUMBER(FIND("[", A978)), ISNUMBER(FIND("ALL", A978)), ISNUMBER(FIND("]", A978)))),"",MAX(AJ$3:AJ977)+1)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268"/>
      <c r="AA979" s="264"/>
      <c r="AB979" s="264"/>
      <c r="AC979" s="269"/>
      <c r="AD979" s="264"/>
      <c r="AE979" s="503"/>
      <c r="AF979" s="504"/>
      <c r="AG979" s="504"/>
      <c r="AH979" s="505"/>
      <c r="AJ979" s="229" t="str">
        <f>IF(OR(A979="",AND(ISNUMBER(FIND("[", A979)), ISNUMBER(FIND("ALL", A979)), ISNUMBER(FIND("]", A979)))),"",MAX(AJ$3:AJ978)+1)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268"/>
      <c r="AA980" s="264"/>
      <c r="AB980" s="264"/>
      <c r="AC980" s="269"/>
      <c r="AD980" s="264"/>
      <c r="AE980" s="503"/>
      <c r="AF980" s="504"/>
      <c r="AG980" s="504"/>
      <c r="AH980" s="505"/>
      <c r="AJ980" s="229" t="str">
        <f>IF(OR(A980="",AND(ISNUMBER(FIND("[", A980)), ISNUMBER(FIND("ALL", A980)), ISNUMBER(FIND("]", A980)))),"",MAX(AJ$3:AJ979)+1)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268"/>
      <c r="AA981" s="264"/>
      <c r="AB981" s="264"/>
      <c r="AC981" s="269"/>
      <c r="AD981" s="264"/>
      <c r="AE981" s="503"/>
      <c r="AF981" s="504"/>
      <c r="AG981" s="504"/>
      <c r="AH981" s="505"/>
      <c r="AJ981" s="229" t="str">
        <f>IF(OR(A981="",AND(ISNUMBER(FIND("[", A981)), ISNUMBER(FIND("ALL", A981)), ISNUMBER(FIND("]", A981)))),"",MAX(AJ$3:AJ980)+1)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268"/>
      <c r="AA982" s="264"/>
      <c r="AB982" s="264"/>
      <c r="AC982" s="269"/>
      <c r="AD982" s="264"/>
      <c r="AE982" s="503"/>
      <c r="AF982" s="504"/>
      <c r="AG982" s="504"/>
      <c r="AH982" s="505"/>
      <c r="AJ982" s="229" t="str">
        <f>IF(OR(A982="",AND(ISNUMBER(FIND("[", A982)), ISNUMBER(FIND("ALL", A982)), ISNUMBER(FIND("]", A982)))),"",MAX(AJ$3:AJ981)+1)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268"/>
      <c r="AA983" s="264"/>
      <c r="AB983" s="264"/>
      <c r="AC983" s="269"/>
      <c r="AD983" s="264"/>
      <c r="AE983" s="503"/>
      <c r="AF983" s="504"/>
      <c r="AG983" s="504"/>
      <c r="AH983" s="505"/>
      <c r="AJ983" s="229" t="str">
        <f>IF(OR(A983="",AND(ISNUMBER(FIND("[", A983)), ISNUMBER(FIND("ALL", A983)), ISNUMBER(FIND("]", A983)))),"",MAX(AJ$3:AJ982)+1)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268"/>
      <c r="AA984" s="264"/>
      <c r="AB984" s="264"/>
      <c r="AC984" s="269"/>
      <c r="AD984" s="264"/>
      <c r="AE984" s="503"/>
      <c r="AF984" s="504"/>
      <c r="AG984" s="504"/>
      <c r="AH984" s="505"/>
      <c r="AJ984" s="229" t="str">
        <f>IF(OR(A984="",AND(ISNUMBER(FIND("[", A984)), ISNUMBER(FIND("ALL", A984)), ISNUMBER(FIND("]", A984)))),"",MAX(AJ$3:AJ983)+1)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268"/>
      <c r="AA985" s="264"/>
      <c r="AB985" s="264"/>
      <c r="AC985" s="269"/>
      <c r="AD985" s="264"/>
      <c r="AE985" s="503"/>
      <c r="AF985" s="504"/>
      <c r="AG985" s="504"/>
      <c r="AH985" s="505"/>
      <c r="AJ985" s="229" t="str">
        <f>IF(OR(A985="",AND(ISNUMBER(FIND("[", A985)), ISNUMBER(FIND("ALL", A985)), ISNUMBER(FIND("]", A985)))),"",MAX(AJ$3:AJ984)+1)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268"/>
      <c r="AA986" s="264"/>
      <c r="AB986" s="264"/>
      <c r="AC986" s="269"/>
      <c r="AD986" s="264"/>
      <c r="AE986" s="503"/>
      <c r="AF986" s="504"/>
      <c r="AG986" s="504"/>
      <c r="AH986" s="505"/>
      <c r="AJ986" s="229" t="str">
        <f>IF(OR(A986="",AND(ISNUMBER(FIND("[", A986)), ISNUMBER(FIND("ALL", A986)), ISNUMBER(FIND("]", A986)))),"",MAX(AJ$3:AJ985)+1)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268"/>
      <c r="AA987" s="264"/>
      <c r="AB987" s="264"/>
      <c r="AC987" s="269"/>
      <c r="AD987" s="264"/>
      <c r="AE987" s="503"/>
      <c r="AF987" s="504"/>
      <c r="AG987" s="504"/>
      <c r="AH987" s="505"/>
      <c r="AJ987" s="229" t="str">
        <f>IF(OR(A987="",AND(ISNUMBER(FIND("[", A987)), ISNUMBER(FIND("ALL", A987)), ISNUMBER(FIND("]", A987)))),"",MAX(AJ$3:AJ986)+1)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268"/>
      <c r="AA988" s="264"/>
      <c r="AB988" s="264"/>
      <c r="AC988" s="269"/>
      <c r="AD988" s="264"/>
      <c r="AE988" s="503"/>
      <c r="AF988" s="504"/>
      <c r="AG988" s="504"/>
      <c r="AH988" s="505"/>
      <c r="AJ988" s="229" t="str">
        <f>IF(OR(A988="",AND(ISNUMBER(FIND("[", A988)), ISNUMBER(FIND("ALL", A988)), ISNUMBER(FIND("]", A988)))),"",MAX(AJ$3:AJ987)+1)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268"/>
      <c r="AA989" s="264"/>
      <c r="AB989" s="264"/>
      <c r="AC989" s="269"/>
      <c r="AD989" s="264"/>
      <c r="AE989" s="503"/>
      <c r="AF989" s="504"/>
      <c r="AG989" s="504"/>
      <c r="AH989" s="505"/>
      <c r="AJ989" s="229" t="str">
        <f>IF(OR(A989="",AND(ISNUMBER(FIND("[", A989)), ISNUMBER(FIND("ALL", A989)), ISNUMBER(FIND("]", A989)))),"",MAX(AJ$3:AJ988)+1)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268"/>
      <c r="AA990" s="264"/>
      <c r="AB990" s="264"/>
      <c r="AC990" s="269"/>
      <c r="AD990" s="264"/>
      <c r="AE990" s="503"/>
      <c r="AF990" s="504"/>
      <c r="AG990" s="504"/>
      <c r="AH990" s="505"/>
      <c r="AJ990" s="229" t="str">
        <f>IF(OR(A990="",AND(ISNUMBER(FIND("[", A990)), ISNUMBER(FIND("ALL", A990)), ISNUMBER(FIND("]", A990)))),"",MAX(AJ$3:AJ989)+1)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268"/>
      <c r="AA991" s="264"/>
      <c r="AB991" s="264"/>
      <c r="AC991" s="269"/>
      <c r="AD991" s="264"/>
      <c r="AE991" s="503"/>
      <c r="AF991" s="504"/>
      <c r="AG991" s="504"/>
      <c r="AH991" s="505"/>
      <c r="AJ991" s="229" t="str">
        <f>IF(OR(A991="",AND(ISNUMBER(FIND("[", A991)), ISNUMBER(FIND("ALL", A991)), ISNUMBER(FIND("]", A991)))),"",MAX(AJ$3:AJ990)+1)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268"/>
      <c r="AA992" s="264"/>
      <c r="AB992" s="264"/>
      <c r="AC992" s="269"/>
      <c r="AD992" s="264"/>
      <c r="AE992" s="503"/>
      <c r="AF992" s="504"/>
      <c r="AG992" s="504"/>
      <c r="AH992" s="505"/>
      <c r="AJ992" s="229" t="str">
        <f>IF(OR(A992="",AND(ISNUMBER(FIND("[", A992)), ISNUMBER(FIND("ALL", A992)), ISNUMBER(FIND("]", A992)))),"",MAX(AJ$3:AJ991)+1)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268"/>
      <c r="AA993" s="264"/>
      <c r="AB993" s="264"/>
      <c r="AC993" s="269"/>
      <c r="AD993" s="264"/>
      <c r="AE993" s="503"/>
      <c r="AF993" s="504"/>
      <c r="AG993" s="504"/>
      <c r="AH993" s="505"/>
      <c r="AJ993" s="229" t="str">
        <f>IF(OR(A993="",AND(ISNUMBER(FIND("[", A993)), ISNUMBER(FIND("ALL", A993)), ISNUMBER(FIND("]", A993)))),"",MAX(AJ$3:AJ992)+1)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268"/>
      <c r="AA994" s="264"/>
      <c r="AB994" s="264"/>
      <c r="AC994" s="269"/>
      <c r="AD994" s="264"/>
      <c r="AE994" s="503"/>
      <c r="AF994" s="504"/>
      <c r="AG994" s="504"/>
      <c r="AH994" s="505"/>
      <c r="AJ994" s="229" t="str">
        <f>IF(OR(A994="",AND(ISNUMBER(FIND("[", A994)), ISNUMBER(FIND("ALL", A994)), ISNUMBER(FIND("]", A994)))),"",MAX(AJ$3:AJ993)+1)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268"/>
      <c r="AA995" s="264"/>
      <c r="AB995" s="264"/>
      <c r="AC995" s="269"/>
      <c r="AD995" s="264"/>
      <c r="AE995" s="503"/>
      <c r="AF995" s="504"/>
      <c r="AG995" s="504"/>
      <c r="AH995" s="505"/>
      <c r="AJ995" s="229" t="str">
        <f>IF(OR(A995="",AND(ISNUMBER(FIND("[", A995)), ISNUMBER(FIND("ALL", A995)), ISNUMBER(FIND("]", A995)))),"",MAX(AJ$3:AJ994)+1)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268"/>
      <c r="AA996" s="264"/>
      <c r="AB996" s="264"/>
      <c r="AC996" s="269"/>
      <c r="AD996" s="264"/>
      <c r="AE996" s="503"/>
      <c r="AF996" s="504"/>
      <c r="AG996" s="504"/>
      <c r="AH996" s="505"/>
      <c r="AJ996" s="229" t="str">
        <f>IF(OR(A996="",AND(ISNUMBER(FIND("[", A996)), ISNUMBER(FIND("ALL", A996)), ISNUMBER(FIND("]", A996)))),"",MAX(AJ$3:AJ995)+1)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268"/>
      <c r="AA997" s="264"/>
      <c r="AB997" s="264"/>
      <c r="AC997" s="269"/>
      <c r="AD997" s="264"/>
      <c r="AE997" s="503"/>
      <c r="AF997" s="504"/>
      <c r="AG997" s="504"/>
      <c r="AH997" s="505"/>
      <c r="AJ997" s="229" t="str">
        <f>IF(OR(A997="",AND(ISNUMBER(FIND("[", A997)), ISNUMBER(FIND("ALL", A997)), ISNUMBER(FIND("]", A997)))),"",MAX(AJ$3:AJ996)+1)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268"/>
      <c r="AA998" s="264"/>
      <c r="AB998" s="264"/>
      <c r="AC998" s="269"/>
      <c r="AD998" s="264"/>
      <c r="AE998" s="503"/>
      <c r="AF998" s="504"/>
      <c r="AG998" s="504"/>
      <c r="AH998" s="505"/>
      <c r="AJ998" s="229" t="str">
        <f>IF(OR(A998="",AND(ISNUMBER(FIND("[", A998)), ISNUMBER(FIND("ALL", A998)), ISNUMBER(FIND("]", A998)))),"",MAX(AJ$3:AJ997)+1)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268"/>
      <c r="AA999" s="264"/>
      <c r="AB999" s="264"/>
      <c r="AC999" s="269"/>
      <c r="AD999" s="264"/>
      <c r="AE999" s="503"/>
      <c r="AF999" s="504"/>
      <c r="AG999" s="504"/>
      <c r="AH999" s="505"/>
      <c r="AJ999" s="229" t="str">
        <f>IF(OR(A999="",AND(ISNUMBER(FIND("[", A999)), ISNUMBER(FIND("ALL", A999)), ISNUMBER(FIND("]", A999)))),"",MAX(AJ$3:AJ998)+1)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268"/>
      <c r="AA1000" s="264"/>
      <c r="AB1000" s="264"/>
      <c r="AC1000" s="269"/>
      <c r="AD1000" s="264"/>
      <c r="AE1000" s="503"/>
      <c r="AF1000" s="504"/>
      <c r="AG1000" s="504"/>
      <c r="AH1000" s="505"/>
      <c r="AJ1000" s="229" t="str">
        <f>IF(OR(A1000="",AND(ISNUMBER(FIND("[", A1000)), ISNUMBER(FIND("ALL", A1000)), ISNUMBER(FIND("]", A1000)))),"",MAX(AJ$3:AJ999)+1)</f>
        <v/>
      </c>
      <c r="AK1000" s="229" t="str">
        <f t="shared" si="15"/>
        <v/>
      </c>
    </row>
  </sheetData>
  <mergeCells count="1017"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</mergeCells>
  <dataValidations count="5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  <dataValidation type="list" allowBlank="1" showInputMessage="1" showErrorMessage="1" sqref="B4:B1000">
      <formula1>OFFSET(BaseTypesList,0,0,COUNTA(BaseTypesList),1)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1" t="str">
        <f ca="1">IF(ISBLANK(INDIRECT("Cover!D3")),"",INDIRECT("Cover!D3"))</f>
        <v>*</v>
      </c>
      <c r="C1" s="511"/>
      <c r="D1" s="511"/>
      <c r="E1" s="511"/>
      <c r="F1" s="304" t="s">
        <v>28</v>
      </c>
      <c r="G1" s="363" t="str">
        <f ca="1">IF(ISBLANK(INDIRECT("Cover!O2")),"",INDIRECT("Cover!O2"))</f>
        <v>*</v>
      </c>
      <c r="H1" s="363"/>
      <c r="I1" s="364"/>
      <c r="AA1" s="510"/>
      <c r="AB1" s="510"/>
      <c r="AC1" s="510"/>
    </row>
    <row r="2" spans="1:29" ht="16.5" thickBot="1" x14ac:dyDescent="0.25">
      <c r="A2" s="307" t="s">
        <v>27</v>
      </c>
      <c r="B2" s="512" t="str">
        <f ca="1">IF(ISBLANK(INDIRECT("Cover!D4")),"",INDIRECT("Cover!D4"))</f>
        <v>*</v>
      </c>
      <c r="C2" s="512"/>
      <c r="D2" s="512"/>
      <c r="E2" s="512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0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08"/>
      <c r="D5" s="309"/>
      <c r="E5" s="308"/>
      <c r="F5" s="310"/>
    </row>
    <row r="6" spans="1:29" x14ac:dyDescent="0.2">
      <c r="B6" s="299"/>
      <c r="C6" s="308"/>
      <c r="D6" s="309"/>
      <c r="E6" s="308"/>
      <c r="F6" s="310"/>
    </row>
    <row r="7" spans="1:29" x14ac:dyDescent="0.2">
      <c r="B7" s="299"/>
      <c r="C7" s="308"/>
      <c r="D7" s="309"/>
      <c r="E7" s="308"/>
      <c r="F7" s="310"/>
    </row>
    <row r="8" spans="1:29" x14ac:dyDescent="0.2">
      <c r="B8" s="299"/>
      <c r="C8" s="308"/>
      <c r="D8" s="309"/>
      <c r="E8" s="308"/>
      <c r="F8" s="310"/>
    </row>
    <row r="9" spans="1:29" x14ac:dyDescent="0.2">
      <c r="B9" s="299"/>
      <c r="C9" s="308"/>
      <c r="D9" s="309"/>
      <c r="E9" s="308"/>
      <c r="F9" s="310"/>
    </row>
    <row r="10" spans="1:29" x14ac:dyDescent="0.2">
      <c r="B10" s="299"/>
      <c r="C10" s="308"/>
      <c r="D10" s="309"/>
      <c r="E10" s="308"/>
      <c r="F10" s="310"/>
    </row>
    <row r="11" spans="1:29" x14ac:dyDescent="0.2">
      <c r="B11" s="299"/>
      <c r="C11" s="308"/>
      <c r="D11" s="309"/>
      <c r="E11" s="308"/>
      <c r="F11" s="310"/>
    </row>
    <row r="12" spans="1:29" x14ac:dyDescent="0.2">
      <c r="B12" s="299"/>
      <c r="C12" s="308"/>
      <c r="D12" s="309"/>
      <c r="E12" s="308"/>
      <c r="F12" s="310"/>
    </row>
    <row r="13" spans="1:29" x14ac:dyDescent="0.2">
      <c r="B13" s="299"/>
      <c r="C13" s="308"/>
      <c r="D13" s="309"/>
      <c r="E13" s="308"/>
      <c r="F13" s="310"/>
    </row>
    <row r="14" spans="1:29" x14ac:dyDescent="0.2">
      <c r="B14" s="299"/>
      <c r="C14" s="308"/>
      <c r="D14" s="309"/>
      <c r="E14" s="308"/>
      <c r="F14" s="310"/>
    </row>
    <row r="15" spans="1:29" x14ac:dyDescent="0.2">
      <c r="B15" s="299"/>
      <c r="C15" s="308"/>
      <c r="D15" s="309"/>
      <c r="E15" s="308"/>
      <c r="F15" s="310"/>
    </row>
    <row r="16" spans="1:29" x14ac:dyDescent="0.2">
      <c r="B16" s="299"/>
      <c r="C16" s="308"/>
      <c r="D16" s="309"/>
      <c r="E16" s="308"/>
      <c r="F16" s="310"/>
    </row>
    <row r="17" spans="2:6" x14ac:dyDescent="0.2">
      <c r="B17" s="299"/>
      <c r="C17" s="308"/>
      <c r="D17" s="309"/>
      <c r="E17" s="308"/>
      <c r="F17" s="310"/>
    </row>
    <row r="18" spans="2:6" x14ac:dyDescent="0.2">
      <c r="B18" s="299"/>
      <c r="C18" s="308"/>
      <c r="D18" s="309"/>
      <c r="E18" s="308"/>
      <c r="F18" s="310"/>
    </row>
    <row r="19" spans="2:6" x14ac:dyDescent="0.2">
      <c r="B19" s="299"/>
      <c r="C19" s="308"/>
      <c r="D19" s="309"/>
      <c r="E19" s="308"/>
      <c r="F19" s="310"/>
    </row>
    <row r="20" spans="2:6" x14ac:dyDescent="0.2">
      <c r="B20" s="299"/>
      <c r="C20" s="308"/>
      <c r="D20" s="309"/>
      <c r="E20" s="308"/>
      <c r="F20" s="310"/>
    </row>
    <row r="21" spans="2:6" x14ac:dyDescent="0.2">
      <c r="B21" s="299"/>
      <c r="C21" s="308"/>
      <c r="D21" s="309"/>
      <c r="E21" s="308"/>
      <c r="F21" s="310"/>
    </row>
    <row r="22" spans="2:6" x14ac:dyDescent="0.2">
      <c r="B22" s="299"/>
      <c r="C22" s="308"/>
      <c r="D22" s="309"/>
      <c r="E22" s="308"/>
      <c r="F22" s="310"/>
    </row>
    <row r="23" spans="2:6" x14ac:dyDescent="0.2">
      <c r="B23" s="299"/>
      <c r="C23" s="308"/>
      <c r="D23" s="309"/>
      <c r="E23" s="308"/>
      <c r="F23" s="310"/>
    </row>
    <row r="24" spans="2:6" x14ac:dyDescent="0.2">
      <c r="B24" s="299"/>
      <c r="C24" s="308"/>
      <c r="D24" s="309"/>
      <c r="E24" s="308"/>
      <c r="F24" s="310"/>
    </row>
    <row r="25" spans="2:6" x14ac:dyDescent="0.2">
      <c r="B25" s="299"/>
      <c r="C25" s="308"/>
      <c r="D25" s="309"/>
      <c r="E25" s="308"/>
      <c r="F25" s="310"/>
    </row>
    <row r="26" spans="2:6" x14ac:dyDescent="0.2">
      <c r="B26" s="299"/>
      <c r="C26" s="308"/>
      <c r="D26" s="309"/>
      <c r="E26" s="308"/>
      <c r="F26" s="310"/>
    </row>
    <row r="27" spans="2:6" x14ac:dyDescent="0.2">
      <c r="B27" s="299"/>
      <c r="C27" s="308"/>
      <c r="D27" s="309"/>
      <c r="E27" s="308"/>
      <c r="F27" s="310"/>
    </row>
    <row r="28" spans="2:6" x14ac:dyDescent="0.2">
      <c r="B28" s="299"/>
      <c r="C28" s="308"/>
      <c r="D28" s="309"/>
      <c r="E28" s="308"/>
      <c r="F28" s="310"/>
    </row>
    <row r="29" spans="2:6" x14ac:dyDescent="0.2">
      <c r="B29" s="299"/>
      <c r="C29" s="308"/>
      <c r="D29" s="309"/>
      <c r="E29" s="308"/>
      <c r="F29" s="310"/>
    </row>
    <row r="30" spans="2:6" x14ac:dyDescent="0.2">
      <c r="B30" s="299"/>
      <c r="C30" s="308"/>
      <c r="D30" s="309"/>
      <c r="E30" s="308"/>
      <c r="F30" s="310"/>
    </row>
    <row r="31" spans="2:6" x14ac:dyDescent="0.2">
      <c r="B31" s="299"/>
      <c r="C31" s="308"/>
      <c r="D31" s="309"/>
      <c r="E31" s="308"/>
      <c r="F31" s="310"/>
    </row>
    <row r="32" spans="2:6" x14ac:dyDescent="0.2">
      <c r="B32" s="299"/>
      <c r="C32" s="308"/>
      <c r="D32" s="309"/>
      <c r="E32" s="308"/>
      <c r="F32" s="310"/>
    </row>
    <row r="33" spans="2:6" x14ac:dyDescent="0.2">
      <c r="B33" s="299"/>
      <c r="C33" s="308"/>
      <c r="D33" s="309"/>
      <c r="E33" s="308"/>
      <c r="F33" s="310"/>
    </row>
    <row r="34" spans="2:6" x14ac:dyDescent="0.2">
      <c r="B34" s="299"/>
      <c r="C34" s="308"/>
      <c r="D34" s="309"/>
      <c r="E34" s="308"/>
      <c r="F34" s="310"/>
    </row>
    <row r="35" spans="2:6" x14ac:dyDescent="0.2">
      <c r="B35" s="299"/>
      <c r="C35" s="308"/>
      <c r="D35" s="309"/>
      <c r="E35" s="308"/>
      <c r="F35" s="310"/>
    </row>
    <row r="36" spans="2:6" x14ac:dyDescent="0.2">
      <c r="B36" s="299"/>
      <c r="C36" s="308"/>
      <c r="D36" s="309"/>
      <c r="E36" s="308"/>
      <c r="F36" s="310"/>
    </row>
    <row r="37" spans="2:6" x14ac:dyDescent="0.2">
      <c r="B37" s="299"/>
      <c r="C37" s="308"/>
      <c r="D37" s="309"/>
      <c r="E37" s="308"/>
      <c r="F37" s="310"/>
    </row>
    <row r="38" spans="2:6" x14ac:dyDescent="0.2">
      <c r="B38" s="299"/>
      <c r="C38" s="308"/>
      <c r="D38" s="309"/>
      <c r="E38" s="308"/>
      <c r="F38" s="310"/>
    </row>
    <row r="39" spans="2:6" x14ac:dyDescent="0.2">
      <c r="B39" s="299"/>
      <c r="C39" s="308"/>
      <c r="D39" s="309"/>
      <c r="E39" s="308"/>
      <c r="F39" s="310"/>
    </row>
    <row r="40" spans="2:6" x14ac:dyDescent="0.2">
      <c r="B40" s="299"/>
      <c r="C40" s="308"/>
      <c r="D40" s="309"/>
      <c r="E40" s="308"/>
      <c r="F40" s="310"/>
    </row>
    <row r="41" spans="2:6" x14ac:dyDescent="0.2">
      <c r="B41" s="299"/>
      <c r="C41" s="308"/>
      <c r="D41" s="309"/>
      <c r="E41" s="308"/>
      <c r="F41" s="310"/>
    </row>
    <row r="42" spans="2:6" x14ac:dyDescent="0.2">
      <c r="B42" s="299"/>
      <c r="C42" s="308"/>
      <c r="D42" s="309"/>
      <c r="E42" s="308"/>
      <c r="F42" s="310"/>
    </row>
    <row r="43" spans="2:6" x14ac:dyDescent="0.2">
      <c r="B43" s="299"/>
      <c r="C43" s="308"/>
      <c r="D43" s="309"/>
      <c r="E43" s="308"/>
      <c r="F43" s="310"/>
    </row>
    <row r="44" spans="2:6" x14ac:dyDescent="0.2">
      <c r="B44" s="299"/>
      <c r="C44" s="308"/>
      <c r="D44" s="309"/>
      <c r="E44" s="308"/>
      <c r="F44" s="310"/>
    </row>
    <row r="45" spans="2:6" x14ac:dyDescent="0.2">
      <c r="B45" s="299"/>
      <c r="C45" s="308"/>
      <c r="D45" s="309"/>
      <c r="E45" s="308"/>
      <c r="F45" s="310"/>
    </row>
    <row r="46" spans="2:6" x14ac:dyDescent="0.2">
      <c r="B46" s="299"/>
      <c r="C46" s="308"/>
      <c r="D46" s="309"/>
      <c r="E46" s="308"/>
      <c r="F46" s="310"/>
    </row>
    <row r="47" spans="2:6" x14ac:dyDescent="0.2">
      <c r="B47" s="299"/>
      <c r="C47" s="308"/>
      <c r="D47" s="309"/>
      <c r="E47" s="308"/>
      <c r="F47" s="310"/>
    </row>
    <row r="48" spans="2:6" x14ac:dyDescent="0.2">
      <c r="B48" s="299"/>
      <c r="C48" s="308"/>
      <c r="D48" s="309"/>
      <c r="E48" s="308"/>
      <c r="F48" s="310"/>
    </row>
    <row r="49" spans="2:6" x14ac:dyDescent="0.2">
      <c r="B49" s="299"/>
      <c r="C49" s="308"/>
      <c r="D49" s="309"/>
      <c r="E49" s="308"/>
      <c r="F49" s="310"/>
    </row>
    <row r="50" spans="2:6" x14ac:dyDescent="0.2">
      <c r="B50" s="299"/>
      <c r="C50" s="308"/>
      <c r="D50" s="309"/>
      <c r="E50" s="308"/>
      <c r="F50" s="310"/>
    </row>
    <row r="51" spans="2:6" x14ac:dyDescent="0.2">
      <c r="B51" s="299"/>
      <c r="C51" s="308"/>
      <c r="D51" s="309"/>
      <c r="E51" s="308"/>
      <c r="F51" s="310"/>
    </row>
    <row r="52" spans="2:6" x14ac:dyDescent="0.2">
      <c r="B52" s="299"/>
      <c r="C52" s="308"/>
      <c r="D52" s="309"/>
      <c r="E52" s="308"/>
      <c r="F52" s="310"/>
    </row>
    <row r="53" spans="2:6" x14ac:dyDescent="0.2">
      <c r="B53" s="299"/>
      <c r="C53" s="308"/>
      <c r="D53" s="309"/>
      <c r="E53" s="308"/>
      <c r="F53" s="310"/>
    </row>
    <row r="54" spans="2:6" x14ac:dyDescent="0.2">
      <c r="B54" s="299"/>
      <c r="C54" s="308"/>
      <c r="D54" s="309"/>
      <c r="E54" s="308"/>
      <c r="F54" s="310"/>
    </row>
    <row r="55" spans="2:6" x14ac:dyDescent="0.2">
      <c r="B55" s="299"/>
      <c r="C55" s="308"/>
      <c r="D55" s="309"/>
      <c r="E55" s="308"/>
      <c r="F55" s="310"/>
    </row>
    <row r="56" spans="2:6" x14ac:dyDescent="0.2">
      <c r="B56" s="299"/>
      <c r="C56" s="308"/>
      <c r="D56" s="309"/>
      <c r="E56" s="308"/>
      <c r="F56" s="310"/>
    </row>
    <row r="57" spans="2:6" x14ac:dyDescent="0.2">
      <c r="B57" s="299"/>
      <c r="C57" s="308"/>
      <c r="D57" s="309"/>
      <c r="E57" s="308"/>
      <c r="F57" s="310"/>
    </row>
    <row r="58" spans="2:6" x14ac:dyDescent="0.2">
      <c r="B58" s="299"/>
      <c r="C58" s="308"/>
      <c r="D58" s="309"/>
      <c r="E58" s="308"/>
      <c r="F58" s="310"/>
    </row>
    <row r="59" spans="2:6" x14ac:dyDescent="0.2">
      <c r="B59" s="299"/>
      <c r="C59" s="308"/>
      <c r="D59" s="309" t="s">
        <v>82</v>
      </c>
      <c r="E59" s="308"/>
      <c r="F59" s="310"/>
    </row>
    <row r="60" spans="2:6" x14ac:dyDescent="0.2">
      <c r="B60" s="299"/>
      <c r="C60" s="308"/>
      <c r="D60" s="309" t="s">
        <v>82</v>
      </c>
      <c r="E60" s="308"/>
      <c r="F60" s="310"/>
    </row>
    <row r="61" spans="2:6" x14ac:dyDescent="0.2">
      <c r="B61" s="299"/>
      <c r="C61" s="308"/>
      <c r="D61" s="309" t="s">
        <v>82</v>
      </c>
      <c r="E61" s="308"/>
      <c r="F61" s="310"/>
    </row>
    <row r="62" spans="2:6" x14ac:dyDescent="0.2">
      <c r="B62" s="299"/>
      <c r="C62" s="308"/>
      <c r="D62" s="309" t="s">
        <v>82</v>
      </c>
      <c r="E62" s="308"/>
      <c r="F62" s="310"/>
    </row>
    <row r="63" spans="2:6" x14ac:dyDescent="0.2">
      <c r="B63" s="299"/>
      <c r="C63" s="308"/>
      <c r="D63" s="309" t="s">
        <v>82</v>
      </c>
      <c r="E63" s="308"/>
      <c r="F63" s="310"/>
    </row>
    <row r="64" spans="2:6" x14ac:dyDescent="0.2">
      <c r="B64" s="299"/>
      <c r="C64" s="308"/>
      <c r="D64" s="309" t="s">
        <v>82</v>
      </c>
      <c r="E64" s="308"/>
      <c r="F64" s="310"/>
    </row>
    <row r="65" spans="2:6" x14ac:dyDescent="0.2">
      <c r="B65" s="299"/>
      <c r="C65" s="308"/>
      <c r="D65" s="309" t="s">
        <v>82</v>
      </c>
      <c r="E65" s="308"/>
      <c r="F65" s="310"/>
    </row>
    <row r="66" spans="2:6" x14ac:dyDescent="0.2">
      <c r="B66" s="299"/>
      <c r="C66" s="308"/>
      <c r="D66" s="309" t="s">
        <v>82</v>
      </c>
      <c r="E66" s="308"/>
      <c r="F66" s="310"/>
    </row>
    <row r="67" spans="2:6" x14ac:dyDescent="0.2">
      <c r="B67" s="299"/>
      <c r="C67" s="308"/>
      <c r="D67" s="309" t="s">
        <v>82</v>
      </c>
      <c r="E67" s="308"/>
      <c r="F67" s="310"/>
    </row>
    <row r="68" spans="2:6" x14ac:dyDescent="0.2">
      <c r="B68" s="299"/>
      <c r="C68" s="308"/>
      <c r="D68" s="309" t="s">
        <v>82</v>
      </c>
      <c r="E68" s="308"/>
      <c r="F68" s="310"/>
    </row>
    <row r="69" spans="2:6" x14ac:dyDescent="0.2">
      <c r="B69" s="299"/>
      <c r="C69" s="308"/>
      <c r="D69" s="309" t="s">
        <v>82</v>
      </c>
      <c r="E69" s="308"/>
      <c r="F69" s="310"/>
    </row>
    <row r="70" spans="2:6" x14ac:dyDescent="0.2">
      <c r="B70" s="299"/>
      <c r="C70" s="308"/>
      <c r="D70" s="309" t="s">
        <v>82</v>
      </c>
      <c r="E70" s="308"/>
      <c r="F70" s="310"/>
    </row>
    <row r="71" spans="2:6" x14ac:dyDescent="0.2">
      <c r="B71" s="299"/>
      <c r="C71" s="308"/>
      <c r="D71" s="309" t="s">
        <v>82</v>
      </c>
      <c r="E71" s="308"/>
      <c r="F71" s="310"/>
    </row>
    <row r="72" spans="2:6" x14ac:dyDescent="0.2">
      <c r="B72" s="299"/>
      <c r="C72" s="308"/>
      <c r="D72" s="309" t="s">
        <v>82</v>
      </c>
      <c r="E72" s="308"/>
      <c r="F72" s="310"/>
    </row>
    <row r="73" spans="2:6" x14ac:dyDescent="0.2">
      <c r="B73" s="299"/>
      <c r="C73" s="308"/>
      <c r="D73" s="309" t="s">
        <v>82</v>
      </c>
      <c r="E73" s="308"/>
      <c r="F73" s="310"/>
    </row>
    <row r="74" spans="2:6" x14ac:dyDescent="0.2">
      <c r="B74" s="299"/>
      <c r="C74" s="308"/>
      <c r="D74" s="309" t="s">
        <v>82</v>
      </c>
      <c r="E74" s="308"/>
      <c r="F74" s="310"/>
    </row>
    <row r="75" spans="2:6" x14ac:dyDescent="0.2">
      <c r="B75" s="299"/>
      <c r="C75" s="308"/>
      <c r="D75" s="309" t="s">
        <v>82</v>
      </c>
      <c r="E75" s="308"/>
      <c r="F75" s="310"/>
    </row>
    <row r="76" spans="2:6" x14ac:dyDescent="0.2">
      <c r="B76" s="299"/>
      <c r="C76" s="308"/>
      <c r="D76" s="309" t="s">
        <v>82</v>
      </c>
      <c r="E76" s="308"/>
      <c r="F76" s="310"/>
    </row>
    <row r="77" spans="2:6" x14ac:dyDescent="0.2">
      <c r="B77" s="299"/>
      <c r="C77" s="308"/>
      <c r="D77" s="309" t="s">
        <v>82</v>
      </c>
      <c r="E77" s="308"/>
      <c r="F77" s="310"/>
    </row>
    <row r="78" spans="2:6" x14ac:dyDescent="0.2">
      <c r="B78" s="299"/>
      <c r="C78" s="308"/>
      <c r="D78" s="309" t="s">
        <v>82</v>
      </c>
      <c r="E78" s="308"/>
      <c r="F78" s="310"/>
    </row>
    <row r="79" spans="2:6" x14ac:dyDescent="0.2">
      <c r="B79" s="299"/>
      <c r="C79" s="308"/>
      <c r="D79" s="309" t="s">
        <v>82</v>
      </c>
      <c r="E79" s="308"/>
      <c r="F79" s="310"/>
    </row>
    <row r="80" spans="2:6" x14ac:dyDescent="0.2">
      <c r="B80" s="299"/>
      <c r="C80" s="308"/>
      <c r="D80" s="309" t="s">
        <v>82</v>
      </c>
      <c r="E80" s="308"/>
      <c r="F80" s="310"/>
    </row>
    <row r="81" spans="2:6" x14ac:dyDescent="0.2">
      <c r="B81" s="299"/>
      <c r="C81" s="308"/>
      <c r="D81" s="309" t="s">
        <v>82</v>
      </c>
      <c r="E81" s="308"/>
      <c r="F81" s="310"/>
    </row>
    <row r="82" spans="2:6" x14ac:dyDescent="0.2">
      <c r="B82" s="299"/>
      <c r="C82" s="308"/>
      <c r="D82" s="309" t="s">
        <v>82</v>
      </c>
      <c r="E82" s="308"/>
      <c r="F82" s="310"/>
    </row>
    <row r="83" spans="2:6" x14ac:dyDescent="0.2">
      <c r="B83" s="299"/>
      <c r="C83" s="308"/>
      <c r="D83" s="309" t="s">
        <v>82</v>
      </c>
      <c r="E83" s="308"/>
      <c r="F83" s="310"/>
    </row>
    <row r="84" spans="2:6" x14ac:dyDescent="0.2">
      <c r="B84" s="299"/>
      <c r="C84" s="308"/>
      <c r="D84" s="309" t="s">
        <v>82</v>
      </c>
      <c r="E84" s="308"/>
      <c r="F84" s="310"/>
    </row>
    <row r="85" spans="2:6" x14ac:dyDescent="0.2">
      <c r="B85" s="299"/>
      <c r="C85" s="308"/>
      <c r="D85" s="309" t="s">
        <v>82</v>
      </c>
      <c r="E85" s="308"/>
      <c r="F85" s="310"/>
    </row>
    <row r="86" spans="2:6" x14ac:dyDescent="0.2">
      <c r="B86" s="299"/>
      <c r="C86" s="308"/>
      <c r="D86" s="309" t="s">
        <v>82</v>
      </c>
      <c r="E86" s="308"/>
      <c r="F86" s="310"/>
    </row>
    <row r="87" spans="2:6" x14ac:dyDescent="0.2">
      <c r="B87" s="299"/>
      <c r="C87" s="308"/>
      <c r="D87" s="309" t="s">
        <v>82</v>
      </c>
      <c r="E87" s="308"/>
      <c r="F87" s="310"/>
    </row>
    <row r="88" spans="2:6" x14ac:dyDescent="0.2">
      <c r="B88" s="299"/>
      <c r="C88" s="308"/>
      <c r="D88" s="309" t="s">
        <v>82</v>
      </c>
      <c r="E88" s="308"/>
      <c r="F88" s="310"/>
    </row>
    <row r="89" spans="2:6" x14ac:dyDescent="0.2">
      <c r="B89" s="299"/>
      <c r="C89" s="308"/>
      <c r="D89" s="309" t="s">
        <v>82</v>
      </c>
      <c r="E89" s="308"/>
      <c r="F89" s="310"/>
    </row>
    <row r="90" spans="2:6" x14ac:dyDescent="0.2">
      <c r="B90" s="299"/>
      <c r="C90" s="308"/>
      <c r="D90" s="309" t="s">
        <v>82</v>
      </c>
      <c r="E90" s="308"/>
      <c r="F90" s="310"/>
    </row>
    <row r="91" spans="2:6" x14ac:dyDescent="0.2">
      <c r="B91" s="299"/>
      <c r="C91" s="308"/>
      <c r="D91" s="309" t="s">
        <v>82</v>
      </c>
      <c r="E91" s="308"/>
      <c r="F91" s="310"/>
    </row>
    <row r="92" spans="2:6" x14ac:dyDescent="0.2">
      <c r="B92" s="299"/>
      <c r="C92" s="308"/>
      <c r="D92" s="309" t="s">
        <v>82</v>
      </c>
      <c r="E92" s="308"/>
      <c r="F92" s="310"/>
    </row>
    <row r="93" spans="2:6" x14ac:dyDescent="0.2">
      <c r="B93" s="299"/>
      <c r="C93" s="308"/>
      <c r="D93" s="309" t="s">
        <v>82</v>
      </c>
      <c r="E93" s="308"/>
      <c r="F93" s="310"/>
    </row>
    <row r="94" spans="2:6" x14ac:dyDescent="0.2">
      <c r="B94" s="299"/>
      <c r="C94" s="308"/>
      <c r="D94" s="309" t="s">
        <v>82</v>
      </c>
      <c r="E94" s="308"/>
      <c r="F94" s="310"/>
    </row>
    <row r="95" spans="2:6" x14ac:dyDescent="0.2">
      <c r="B95" s="299"/>
      <c r="C95" s="308"/>
      <c r="D95" s="309" t="s">
        <v>82</v>
      </c>
      <c r="E95" s="308"/>
      <c r="F95" s="310"/>
    </row>
    <row r="96" spans="2:6" x14ac:dyDescent="0.2">
      <c r="B96" s="299"/>
      <c r="C96" s="308"/>
      <c r="D96" s="309" t="s">
        <v>82</v>
      </c>
      <c r="E96" s="308"/>
      <c r="F96" s="310"/>
    </row>
    <row r="97" spans="2:6" x14ac:dyDescent="0.2">
      <c r="B97" s="299"/>
      <c r="C97" s="308"/>
      <c r="D97" s="309" t="s">
        <v>82</v>
      </c>
      <c r="E97" s="308"/>
      <c r="F97" s="310"/>
    </row>
    <row r="98" spans="2:6" x14ac:dyDescent="0.2">
      <c r="B98" s="299"/>
      <c r="C98" s="308"/>
      <c r="D98" s="309" t="s">
        <v>82</v>
      </c>
      <c r="E98" s="308"/>
      <c r="F98" s="310"/>
    </row>
    <row r="99" spans="2:6" x14ac:dyDescent="0.2">
      <c r="B99" s="299"/>
      <c r="C99" s="308"/>
      <c r="D99" s="309" t="s">
        <v>82</v>
      </c>
      <c r="E99" s="308"/>
      <c r="F99" s="310"/>
    </row>
    <row r="100" spans="2:6" x14ac:dyDescent="0.2">
      <c r="B100" s="299"/>
      <c r="C100" s="308"/>
      <c r="D100" s="309" t="s">
        <v>82</v>
      </c>
      <c r="E100" s="308"/>
      <c r="F100" s="310"/>
    </row>
    <row r="101" spans="2:6" x14ac:dyDescent="0.2">
      <c r="B101" s="299"/>
      <c r="C101" s="308"/>
      <c r="D101" s="309" t="s">
        <v>82</v>
      </c>
      <c r="E101" s="308"/>
      <c r="F101" s="310"/>
    </row>
    <row r="102" spans="2:6" x14ac:dyDescent="0.2">
      <c r="B102" s="299"/>
      <c r="C102" s="308"/>
      <c r="D102" s="309" t="s">
        <v>82</v>
      </c>
      <c r="E102" s="308"/>
      <c r="F102" s="310"/>
    </row>
    <row r="103" spans="2:6" ht="13.5" thickBot="1" x14ac:dyDescent="0.25">
      <c r="B103" s="300"/>
      <c r="C103" s="311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1">
    <dataValidation type="list" allowBlank="1" showInputMessage="1" showErrorMessage="1" sqref="D5:D103">
      <formula1>"',H,X"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209</v>
      </c>
      <c r="C2" s="316" t="s">
        <v>210</v>
      </c>
      <c r="D2"/>
      <c r="E2" s="318"/>
      <c r="G2" s="316" t="s">
        <v>144</v>
      </c>
      <c r="H2" s="317" t="s">
        <v>146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146</v>
      </c>
      <c r="F3" s="314"/>
      <c r="G3" s="316" t="s">
        <v>208</v>
      </c>
      <c r="H3" s="314" t="s">
        <v>146</v>
      </c>
      <c r="J3" s="316"/>
      <c r="Q3" s="314"/>
    </row>
    <row r="4" spans="2:19" x14ac:dyDescent="0.2">
      <c r="B4" s="316" t="s">
        <v>146</v>
      </c>
      <c r="C4" s="314" t="s">
        <v>146</v>
      </c>
      <c r="D4"/>
      <c r="E4" s="318" t="s">
        <v>147</v>
      </c>
    </row>
    <row r="5" spans="2:19" x14ac:dyDescent="0.2">
      <c r="B5" s="314" t="s">
        <v>147</v>
      </c>
      <c r="C5" s="314" t="s">
        <v>147</v>
      </c>
      <c r="D5"/>
      <c r="E5" s="318" t="s">
        <v>148</v>
      </c>
    </row>
    <row r="6" spans="2:19" x14ac:dyDescent="0.2">
      <c r="B6" s="314" t="s">
        <v>148</v>
      </c>
      <c r="C6" s="314" t="s">
        <v>149</v>
      </c>
      <c r="D6"/>
      <c r="E6" s="318" t="s">
        <v>156</v>
      </c>
      <c r="H6" s="316"/>
      <c r="J6" s="316" t="s">
        <v>211</v>
      </c>
      <c r="K6" s="316" t="str">
        <f ca="1">INDIRECT("ProjectTypes[Type]")</f>
        <v>Bank</v>
      </c>
      <c r="M6" s="316" t="s">
        <v>221</v>
      </c>
    </row>
    <row r="7" spans="2:19" x14ac:dyDescent="0.2">
      <c r="B7" s="314" t="s">
        <v>148</v>
      </c>
      <c r="C7" s="314" t="s">
        <v>150</v>
      </c>
      <c r="D7"/>
      <c r="E7" s="318" t="s">
        <v>157</v>
      </c>
      <c r="J7" s="316" t="s">
        <v>212</v>
      </c>
      <c r="K7">
        <f ca="1">MATCH(INDIRECT("H2"),INDIRECT("ProjectTypes[Category]"),0)-1</f>
        <v>1</v>
      </c>
      <c r="L7" s="316" t="s">
        <v>212</v>
      </c>
      <c r="M7" s="316" t="s">
        <v>220</v>
      </c>
    </row>
    <row r="8" spans="2:19" x14ac:dyDescent="0.2">
      <c r="B8" s="314" t="s">
        <v>148</v>
      </c>
      <c r="C8" s="314" t="s">
        <v>151</v>
      </c>
      <c r="D8"/>
      <c r="E8" s="318" t="s">
        <v>159</v>
      </c>
      <c r="H8" s="316"/>
      <c r="J8" s="316" t="s">
        <v>213</v>
      </c>
      <c r="K8">
        <v>0</v>
      </c>
      <c r="L8" s="316" t="s">
        <v>217</v>
      </c>
      <c r="M8" s="316" t="s">
        <v>218</v>
      </c>
    </row>
    <row r="9" spans="2:19" x14ac:dyDescent="0.2">
      <c r="B9" s="314" t="s">
        <v>148</v>
      </c>
      <c r="C9" s="314" t="s">
        <v>152</v>
      </c>
      <c r="D9"/>
      <c r="E9" s="318" t="s">
        <v>158</v>
      </c>
      <c r="J9" s="316" t="s">
        <v>214</v>
      </c>
      <c r="K9">
        <f ca="1">COUNTIF(INDIRECT("ProjectTypes[Category]"),INDIRECT("H2"))</f>
        <v>1</v>
      </c>
      <c r="L9" s="316" t="s">
        <v>212</v>
      </c>
      <c r="M9" s="316" t="s">
        <v>219</v>
      </c>
    </row>
    <row r="10" spans="2:19" x14ac:dyDescent="0.2">
      <c r="B10" s="314" t="s">
        <v>148</v>
      </c>
      <c r="C10" s="314" t="s">
        <v>153</v>
      </c>
      <c r="D10"/>
      <c r="E10" s="318" t="s">
        <v>160</v>
      </c>
      <c r="I10" s="316"/>
      <c r="J10" s="316" t="s">
        <v>215</v>
      </c>
      <c r="K10" s="316">
        <v>1</v>
      </c>
      <c r="L10" s="316" t="s">
        <v>216</v>
      </c>
    </row>
    <row r="11" spans="2:19" x14ac:dyDescent="0.2">
      <c r="B11" s="314" t="s">
        <v>148</v>
      </c>
      <c r="C11" s="314" t="s">
        <v>154</v>
      </c>
      <c r="D11"/>
      <c r="E11" s="318" t="s">
        <v>145</v>
      </c>
      <c r="I11" s="316"/>
      <c r="J11" s="316"/>
      <c r="K11" s="316"/>
    </row>
    <row r="12" spans="2:19" x14ac:dyDescent="0.2">
      <c r="B12" s="314" t="s">
        <v>148</v>
      </c>
      <c r="C12" s="314" t="s">
        <v>155</v>
      </c>
      <c r="D12"/>
      <c r="E12" s="318" t="s">
        <v>161</v>
      </c>
      <c r="I12" s="316"/>
      <c r="J12" s="316"/>
      <c r="K12" s="316"/>
    </row>
    <row r="13" spans="2:19" x14ac:dyDescent="0.2">
      <c r="B13" s="314" t="s">
        <v>156</v>
      </c>
      <c r="C13" s="314" t="s">
        <v>156</v>
      </c>
      <c r="D13"/>
      <c r="E13" s="318" t="s">
        <v>162</v>
      </c>
      <c r="I13" s="316"/>
      <c r="J13" s="316"/>
      <c r="K13" s="316"/>
    </row>
    <row r="14" spans="2:19" x14ac:dyDescent="0.2">
      <c r="B14" s="314" t="s">
        <v>157</v>
      </c>
      <c r="C14" s="314" t="s">
        <v>169</v>
      </c>
      <c r="D14"/>
      <c r="E14" s="318" t="s">
        <v>163</v>
      </c>
      <c r="I14" s="316"/>
      <c r="J14" s="316"/>
      <c r="K14" s="316"/>
    </row>
    <row r="15" spans="2:19" x14ac:dyDescent="0.2">
      <c r="B15" s="314" t="s">
        <v>157</v>
      </c>
      <c r="C15" s="314" t="s">
        <v>170</v>
      </c>
      <c r="D15"/>
      <c r="E15" s="318" t="s">
        <v>164</v>
      </c>
      <c r="I15" s="316"/>
      <c r="J15" s="316"/>
      <c r="K15" s="316"/>
    </row>
    <row r="16" spans="2:19" x14ac:dyDescent="0.2">
      <c r="B16" s="314" t="s">
        <v>157</v>
      </c>
      <c r="C16" s="314" t="s">
        <v>171</v>
      </c>
      <c r="D16"/>
      <c r="E16" s="318" t="s">
        <v>165</v>
      </c>
      <c r="I16" s="316"/>
      <c r="J16" s="316"/>
      <c r="K16" s="316"/>
    </row>
    <row r="17" spans="2:11" x14ac:dyDescent="0.2">
      <c r="B17" s="314" t="s">
        <v>157</v>
      </c>
      <c r="C17" s="314" t="s">
        <v>172</v>
      </c>
      <c r="D17"/>
      <c r="E17" s="318" t="s">
        <v>166</v>
      </c>
      <c r="I17" s="316"/>
      <c r="J17" s="316"/>
      <c r="K17" s="316"/>
    </row>
    <row r="18" spans="2:11" x14ac:dyDescent="0.2">
      <c r="B18" s="314" t="s">
        <v>157</v>
      </c>
      <c r="C18" s="314" t="s">
        <v>173</v>
      </c>
      <c r="D18"/>
      <c r="E18" s="318" t="s">
        <v>167</v>
      </c>
    </row>
    <row r="19" spans="2:11" x14ac:dyDescent="0.2">
      <c r="B19" s="314" t="s">
        <v>157</v>
      </c>
      <c r="C19" s="314" t="s">
        <v>174</v>
      </c>
      <c r="D19"/>
      <c r="E19" s="318" t="s">
        <v>168</v>
      </c>
    </row>
    <row r="20" spans="2:11" x14ac:dyDescent="0.2">
      <c r="B20" s="314" t="s">
        <v>159</v>
      </c>
      <c r="C20" s="314" t="s">
        <v>159</v>
      </c>
      <c r="D20"/>
    </row>
    <row r="21" spans="2:11" x14ac:dyDescent="0.2">
      <c r="B21" s="314" t="s">
        <v>158</v>
      </c>
      <c r="C21" s="314" t="s">
        <v>175</v>
      </c>
      <c r="D21"/>
    </row>
    <row r="22" spans="2:11" x14ac:dyDescent="0.2">
      <c r="B22" s="314" t="s">
        <v>158</v>
      </c>
      <c r="C22" s="314" t="s">
        <v>176</v>
      </c>
      <c r="D22"/>
    </row>
    <row r="23" spans="2:11" x14ac:dyDescent="0.2">
      <c r="B23" s="314" t="s">
        <v>160</v>
      </c>
      <c r="C23" s="314" t="s">
        <v>160</v>
      </c>
      <c r="D23"/>
    </row>
    <row r="24" spans="2:11" x14ac:dyDescent="0.2">
      <c r="B24" s="314" t="s">
        <v>145</v>
      </c>
      <c r="C24" s="314" t="s">
        <v>177</v>
      </c>
      <c r="D24"/>
    </row>
    <row r="25" spans="2:11" x14ac:dyDescent="0.2">
      <c r="B25" s="314" t="s">
        <v>145</v>
      </c>
      <c r="C25" s="314" t="s">
        <v>178</v>
      </c>
      <c r="D25"/>
    </row>
    <row r="26" spans="2:11" x14ac:dyDescent="0.2">
      <c r="B26" s="314" t="s">
        <v>145</v>
      </c>
      <c r="C26" s="314" t="s">
        <v>179</v>
      </c>
      <c r="D26"/>
    </row>
    <row r="27" spans="2:11" x14ac:dyDescent="0.2">
      <c r="B27" s="314" t="s">
        <v>161</v>
      </c>
      <c r="C27" s="314" t="s">
        <v>180</v>
      </c>
      <c r="D27"/>
    </row>
    <row r="28" spans="2:11" x14ac:dyDescent="0.2">
      <c r="B28" s="314" t="s">
        <v>162</v>
      </c>
      <c r="C28" s="314" t="s">
        <v>181</v>
      </c>
      <c r="D28"/>
    </row>
    <row r="29" spans="2:11" x14ac:dyDescent="0.2">
      <c r="B29" s="314" t="s">
        <v>162</v>
      </c>
      <c r="C29" s="314" t="s">
        <v>182</v>
      </c>
      <c r="D29"/>
    </row>
    <row r="30" spans="2:11" x14ac:dyDescent="0.2">
      <c r="B30" s="314" t="s">
        <v>162</v>
      </c>
      <c r="C30" s="314" t="s">
        <v>183</v>
      </c>
      <c r="D30"/>
    </row>
    <row r="31" spans="2:11" x14ac:dyDescent="0.2">
      <c r="B31" s="314" t="s">
        <v>163</v>
      </c>
      <c r="C31" s="314" t="s">
        <v>184</v>
      </c>
      <c r="D31"/>
    </row>
    <row r="32" spans="2:11" x14ac:dyDescent="0.2">
      <c r="B32" s="314" t="s">
        <v>164</v>
      </c>
      <c r="C32" s="314" t="s">
        <v>185</v>
      </c>
      <c r="D32"/>
    </row>
    <row r="33" spans="2:4" x14ac:dyDescent="0.2">
      <c r="B33" s="314" t="s">
        <v>164</v>
      </c>
      <c r="C33" s="314" t="s">
        <v>186</v>
      </c>
      <c r="D33"/>
    </row>
    <row r="34" spans="2:4" x14ac:dyDescent="0.2">
      <c r="B34" s="314" t="s">
        <v>164</v>
      </c>
      <c r="C34" s="314" t="s">
        <v>187</v>
      </c>
      <c r="D34"/>
    </row>
    <row r="35" spans="2:4" x14ac:dyDescent="0.2">
      <c r="B35" s="314" t="s">
        <v>165</v>
      </c>
      <c r="C35" s="314" t="s">
        <v>188</v>
      </c>
      <c r="D35"/>
    </row>
    <row r="36" spans="2:4" x14ac:dyDescent="0.2">
      <c r="B36" s="314" t="s">
        <v>165</v>
      </c>
      <c r="C36" s="314" t="s">
        <v>189</v>
      </c>
      <c r="D36"/>
    </row>
    <row r="37" spans="2:4" x14ac:dyDescent="0.2">
      <c r="B37" s="314" t="s">
        <v>165</v>
      </c>
      <c r="C37" s="314" t="s">
        <v>190</v>
      </c>
      <c r="D37"/>
    </row>
    <row r="38" spans="2:4" x14ac:dyDescent="0.2">
      <c r="B38" s="314" t="s">
        <v>165</v>
      </c>
      <c r="C38" s="314" t="s">
        <v>191</v>
      </c>
      <c r="D38"/>
    </row>
    <row r="39" spans="2:4" x14ac:dyDescent="0.2">
      <c r="B39" s="314" t="s">
        <v>165</v>
      </c>
      <c r="C39" s="314" t="s">
        <v>192</v>
      </c>
      <c r="D39"/>
    </row>
    <row r="40" spans="2:4" x14ac:dyDescent="0.2">
      <c r="B40" s="314" t="s">
        <v>165</v>
      </c>
      <c r="C40" s="314" t="s">
        <v>193</v>
      </c>
      <c r="D40"/>
    </row>
    <row r="41" spans="2:4" x14ac:dyDescent="0.2">
      <c r="B41" s="314" t="s">
        <v>165</v>
      </c>
      <c r="C41" s="314" t="s">
        <v>194</v>
      </c>
      <c r="D41"/>
    </row>
    <row r="42" spans="2:4" x14ac:dyDescent="0.2">
      <c r="B42" s="314" t="s">
        <v>165</v>
      </c>
      <c r="C42" s="314" t="s">
        <v>195</v>
      </c>
      <c r="D42"/>
    </row>
    <row r="43" spans="2:4" x14ac:dyDescent="0.2">
      <c r="B43" s="314" t="s">
        <v>165</v>
      </c>
      <c r="C43" s="314" t="s">
        <v>196</v>
      </c>
      <c r="D43"/>
    </row>
    <row r="44" spans="2:4" x14ac:dyDescent="0.2">
      <c r="B44" s="314" t="s">
        <v>165</v>
      </c>
      <c r="C44" s="314" t="s">
        <v>197</v>
      </c>
      <c r="D44"/>
    </row>
    <row r="45" spans="2:4" x14ac:dyDescent="0.2">
      <c r="B45" s="314" t="s">
        <v>166</v>
      </c>
      <c r="C45" s="314" t="s">
        <v>166</v>
      </c>
      <c r="D45"/>
    </row>
    <row r="46" spans="2:4" x14ac:dyDescent="0.2">
      <c r="B46" s="314" t="s">
        <v>167</v>
      </c>
      <c r="C46" s="314" t="s">
        <v>198</v>
      </c>
      <c r="D46"/>
    </row>
    <row r="47" spans="2:4" x14ac:dyDescent="0.2">
      <c r="B47" s="314" t="s">
        <v>167</v>
      </c>
      <c r="C47" s="314" t="s">
        <v>199</v>
      </c>
      <c r="D47"/>
    </row>
    <row r="48" spans="2:4" x14ac:dyDescent="0.2">
      <c r="B48" s="314" t="s">
        <v>167</v>
      </c>
      <c r="C48" s="314" t="s">
        <v>200</v>
      </c>
      <c r="D48"/>
    </row>
    <row r="49" spans="2:4" x14ac:dyDescent="0.2">
      <c r="B49" s="314" t="s">
        <v>167</v>
      </c>
      <c r="C49" s="314" t="s">
        <v>201</v>
      </c>
      <c r="D49"/>
    </row>
    <row r="50" spans="2:4" x14ac:dyDescent="0.2">
      <c r="B50" s="314" t="s">
        <v>167</v>
      </c>
      <c r="C50" s="314" t="s">
        <v>202</v>
      </c>
      <c r="D50"/>
    </row>
    <row r="51" spans="2:4" x14ac:dyDescent="0.2">
      <c r="B51" s="314" t="s">
        <v>168</v>
      </c>
      <c r="C51" s="314" t="s">
        <v>203</v>
      </c>
      <c r="D51"/>
    </row>
    <row r="52" spans="2:4" x14ac:dyDescent="0.2">
      <c r="B52" s="314" t="s">
        <v>168</v>
      </c>
      <c r="C52" s="314" t="s">
        <v>204</v>
      </c>
      <c r="D52"/>
    </row>
    <row r="53" spans="2:4" x14ac:dyDescent="0.2">
      <c r="B53" s="314" t="s">
        <v>168</v>
      </c>
      <c r="C53" s="314" t="s">
        <v>205</v>
      </c>
      <c r="D53"/>
    </row>
    <row r="54" spans="2:4" x14ac:dyDescent="0.2">
      <c r="B54" s="314" t="s">
        <v>168</v>
      </c>
      <c r="C54" s="314" t="s">
        <v>206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13" t="s">
        <v>89</v>
      </c>
      <c r="B1" s="513"/>
      <c r="C1" s="513"/>
      <c r="D1" s="513"/>
      <c r="E1" s="513"/>
      <c r="F1" s="513"/>
    </row>
    <row r="2" spans="1:6" ht="47.25" customHeight="1" x14ac:dyDescent="0.2">
      <c r="A2" s="513"/>
      <c r="B2" s="513"/>
      <c r="C2" s="513"/>
      <c r="D2" s="513"/>
      <c r="E2" s="513"/>
      <c r="F2" s="513"/>
    </row>
    <row r="3" spans="1:6" ht="18" customHeight="1" x14ac:dyDescent="0.2">
      <c r="A3" s="524" t="s">
        <v>117</v>
      </c>
      <c r="B3" s="524"/>
      <c r="C3" s="524"/>
      <c r="D3" s="210"/>
      <c r="E3" s="209" t="s">
        <v>90</v>
      </c>
      <c r="F3" s="211"/>
    </row>
    <row r="4" spans="1:6" ht="18" customHeight="1" x14ac:dyDescent="0.2">
      <c r="A4" s="524" t="s">
        <v>118</v>
      </c>
      <c r="B4" s="524"/>
      <c r="C4" s="524"/>
      <c r="D4" s="212"/>
      <c r="E4" s="209" t="s">
        <v>91</v>
      </c>
      <c r="F4" s="211"/>
    </row>
    <row r="5" spans="1:6" ht="18.75" customHeight="1" thickBot="1" x14ac:dyDescent="0.25">
      <c r="A5" s="521"/>
      <c r="B5" s="521"/>
      <c r="C5" s="521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18" t="s">
        <v>95</v>
      </c>
      <c r="E6" s="519"/>
      <c r="F6" s="520"/>
    </row>
    <row r="7" spans="1:6" ht="15" customHeight="1" thickTop="1" x14ac:dyDescent="0.2">
      <c r="A7" s="218"/>
      <c r="B7" s="219"/>
      <c r="C7" s="219"/>
      <c r="D7" s="525" t="s">
        <v>96</v>
      </c>
      <c r="E7" s="525"/>
      <c r="F7" s="526"/>
    </row>
    <row r="8" spans="1:6" ht="15" customHeight="1" x14ac:dyDescent="0.2">
      <c r="A8" s="220"/>
      <c r="B8" s="221"/>
      <c r="C8" s="221"/>
      <c r="D8" s="514" t="s">
        <v>97</v>
      </c>
      <c r="E8" s="514"/>
      <c r="F8" s="515"/>
    </row>
    <row r="9" spans="1:6" ht="15" customHeight="1" x14ac:dyDescent="0.2">
      <c r="A9" s="220"/>
      <c r="B9" s="221"/>
      <c r="C9" s="221"/>
      <c r="D9" s="514" t="s">
        <v>98</v>
      </c>
      <c r="E9" s="514"/>
      <c r="F9" s="515"/>
    </row>
    <row r="10" spans="1:6" ht="15" customHeight="1" x14ac:dyDescent="0.2">
      <c r="A10" s="220"/>
      <c r="B10" s="221"/>
      <c r="C10" s="221"/>
      <c r="D10" s="514" t="s">
        <v>99</v>
      </c>
      <c r="E10" s="514"/>
      <c r="F10" s="515"/>
    </row>
    <row r="11" spans="1:6" ht="15" customHeight="1" x14ac:dyDescent="0.2">
      <c r="A11" s="220"/>
      <c r="B11" s="221"/>
      <c r="C11" s="221"/>
      <c r="D11" s="514" t="s">
        <v>100</v>
      </c>
      <c r="E11" s="514"/>
      <c r="F11" s="515"/>
    </row>
    <row r="12" spans="1:6" ht="15" customHeight="1" x14ac:dyDescent="0.2">
      <c r="A12" s="220"/>
      <c r="B12" s="221"/>
      <c r="C12" s="221"/>
      <c r="D12" s="514" t="s">
        <v>101</v>
      </c>
      <c r="E12" s="514"/>
      <c r="F12" s="515"/>
    </row>
    <row r="13" spans="1:6" ht="15" customHeight="1" x14ac:dyDescent="0.2">
      <c r="A13" s="220"/>
      <c r="B13" s="221"/>
      <c r="C13" s="221"/>
      <c r="D13" s="514" t="s">
        <v>102</v>
      </c>
      <c r="E13" s="514"/>
      <c r="F13" s="515"/>
    </row>
    <row r="14" spans="1:6" ht="15" customHeight="1" x14ac:dyDescent="0.2">
      <c r="A14" s="220"/>
      <c r="B14" s="221"/>
      <c r="C14" s="221"/>
      <c r="D14" s="514" t="s">
        <v>103</v>
      </c>
      <c r="E14" s="514"/>
      <c r="F14" s="515"/>
    </row>
    <row r="15" spans="1:6" ht="15" customHeight="1" x14ac:dyDescent="0.2">
      <c r="A15" s="220"/>
      <c r="B15" s="221"/>
      <c r="C15" s="221"/>
      <c r="D15" s="514" t="s">
        <v>104</v>
      </c>
      <c r="E15" s="514"/>
      <c r="F15" s="515"/>
    </row>
    <row r="16" spans="1:6" ht="15" customHeight="1" x14ac:dyDescent="0.2">
      <c r="A16" s="220"/>
      <c r="B16" s="221"/>
      <c r="C16" s="221"/>
      <c r="D16" s="514" t="s">
        <v>105</v>
      </c>
      <c r="E16" s="514"/>
      <c r="F16" s="515"/>
    </row>
    <row r="17" spans="1:6" ht="15" customHeight="1" x14ac:dyDescent="0.2">
      <c r="A17" s="220"/>
      <c r="B17" s="221"/>
      <c r="C17" s="221"/>
      <c r="D17" s="514" t="s">
        <v>106</v>
      </c>
      <c r="E17" s="514"/>
      <c r="F17" s="515"/>
    </row>
    <row r="18" spans="1:6" ht="15" customHeight="1" x14ac:dyDescent="0.2">
      <c r="A18" s="220"/>
      <c r="B18" s="221"/>
      <c r="C18" s="221"/>
      <c r="D18" s="514" t="s">
        <v>107</v>
      </c>
      <c r="E18" s="514"/>
      <c r="F18" s="515"/>
    </row>
    <row r="19" spans="1:6" ht="15" customHeight="1" x14ac:dyDescent="0.2">
      <c r="A19" s="220"/>
      <c r="B19" s="221"/>
      <c r="C19" s="221"/>
      <c r="D19" s="514" t="s">
        <v>108</v>
      </c>
      <c r="E19" s="514"/>
      <c r="F19" s="515"/>
    </row>
    <row r="20" spans="1:6" ht="15" customHeight="1" x14ac:dyDescent="0.2">
      <c r="A20" s="220"/>
      <c r="B20" s="221"/>
      <c r="C20" s="221"/>
      <c r="D20" s="514" t="s">
        <v>109</v>
      </c>
      <c r="E20" s="514"/>
      <c r="F20" s="515"/>
    </row>
    <row r="21" spans="1:6" ht="15" customHeight="1" x14ac:dyDescent="0.2">
      <c r="A21" s="220"/>
      <c r="B21" s="221"/>
      <c r="C21" s="221"/>
      <c r="D21" s="514" t="s">
        <v>110</v>
      </c>
      <c r="E21" s="514"/>
      <c r="F21" s="515"/>
    </row>
    <row r="22" spans="1:6" ht="15" customHeight="1" x14ac:dyDescent="0.2">
      <c r="A22" s="220"/>
      <c r="B22" s="221"/>
      <c r="C22" s="221"/>
      <c r="D22" s="514" t="s">
        <v>111</v>
      </c>
      <c r="E22" s="514"/>
      <c r="F22" s="515"/>
    </row>
    <row r="23" spans="1:6" ht="15" customHeight="1" x14ac:dyDescent="0.2">
      <c r="A23" s="220"/>
      <c r="B23" s="221"/>
      <c r="C23" s="221"/>
      <c r="D23" s="514" t="s">
        <v>112</v>
      </c>
      <c r="E23" s="514"/>
      <c r="F23" s="515"/>
    </row>
    <row r="24" spans="1:6" ht="15" customHeight="1" x14ac:dyDescent="0.2">
      <c r="A24" s="220"/>
      <c r="B24" s="221"/>
      <c r="C24" s="221"/>
      <c r="D24" s="514" t="s">
        <v>113</v>
      </c>
      <c r="E24" s="514"/>
      <c r="F24" s="515"/>
    </row>
    <row r="25" spans="1:6" ht="15" customHeight="1" x14ac:dyDescent="0.2">
      <c r="A25" s="220"/>
      <c r="B25" s="221"/>
      <c r="C25" s="221"/>
      <c r="D25" s="514" t="s">
        <v>114</v>
      </c>
      <c r="E25" s="514"/>
      <c r="F25" s="515"/>
    </row>
    <row r="26" spans="1:6" ht="15" customHeight="1" x14ac:dyDescent="0.2">
      <c r="A26" s="220"/>
      <c r="B26" s="221"/>
      <c r="C26" s="221"/>
      <c r="D26" s="514" t="s">
        <v>115</v>
      </c>
      <c r="E26" s="514"/>
      <c r="F26" s="515"/>
    </row>
    <row r="27" spans="1:6" ht="15" customHeight="1" x14ac:dyDescent="0.2">
      <c r="A27" s="220"/>
      <c r="B27" s="221"/>
      <c r="C27" s="221"/>
      <c r="D27" s="514" t="s">
        <v>116</v>
      </c>
      <c r="E27" s="514"/>
      <c r="F27" s="515"/>
    </row>
    <row r="28" spans="1:6" ht="15" customHeight="1" x14ac:dyDescent="0.2">
      <c r="A28" s="220"/>
      <c r="B28" s="221"/>
      <c r="C28" s="221"/>
      <c r="D28" s="514"/>
      <c r="E28" s="514"/>
      <c r="F28" s="515"/>
    </row>
    <row r="29" spans="1:6" ht="15" customHeight="1" x14ac:dyDescent="0.2">
      <c r="A29" s="220"/>
      <c r="B29" s="221"/>
      <c r="C29" s="221"/>
      <c r="D29" s="514"/>
      <c r="E29" s="514"/>
      <c r="F29" s="515"/>
    </row>
    <row r="30" spans="1:6" ht="15" customHeight="1" x14ac:dyDescent="0.2">
      <c r="A30" s="220"/>
      <c r="B30" s="221"/>
      <c r="C30" s="221"/>
      <c r="D30" s="514"/>
      <c r="E30" s="514"/>
      <c r="F30" s="515"/>
    </row>
    <row r="31" spans="1:6" ht="15" customHeight="1" x14ac:dyDescent="0.2">
      <c r="A31" s="220"/>
      <c r="B31" s="221"/>
      <c r="C31" s="221"/>
      <c r="D31" s="514"/>
      <c r="E31" s="514"/>
      <c r="F31" s="515"/>
    </row>
    <row r="32" spans="1:6" ht="15" customHeight="1" x14ac:dyDescent="0.2">
      <c r="A32" s="220"/>
      <c r="B32" s="221"/>
      <c r="C32" s="221"/>
      <c r="D32" s="514"/>
      <c r="E32" s="514"/>
      <c r="F32" s="515"/>
    </row>
    <row r="33" spans="1:6" ht="15" customHeight="1" x14ac:dyDescent="0.2">
      <c r="A33" s="220"/>
      <c r="B33" s="221"/>
      <c r="C33" s="221"/>
      <c r="D33" s="514"/>
      <c r="E33" s="514"/>
      <c r="F33" s="515"/>
    </row>
    <row r="34" spans="1:6" ht="15" customHeight="1" x14ac:dyDescent="0.2">
      <c r="A34" s="220"/>
      <c r="B34" s="221"/>
      <c r="C34" s="221"/>
      <c r="D34" s="514"/>
      <c r="E34" s="514"/>
      <c r="F34" s="515"/>
    </row>
    <row r="35" spans="1:6" ht="15" customHeight="1" x14ac:dyDescent="0.2">
      <c r="A35" s="220"/>
      <c r="B35" s="221"/>
      <c r="C35" s="221"/>
      <c r="D35" s="514"/>
      <c r="E35" s="514"/>
      <c r="F35" s="515"/>
    </row>
    <row r="36" spans="1:6" ht="15" customHeight="1" x14ac:dyDescent="0.2">
      <c r="A36" s="220"/>
      <c r="B36" s="221"/>
      <c r="C36" s="221"/>
      <c r="D36" s="514"/>
      <c r="E36" s="514"/>
      <c r="F36" s="515"/>
    </row>
    <row r="37" spans="1:6" ht="15" customHeight="1" x14ac:dyDescent="0.2">
      <c r="A37" s="220"/>
      <c r="B37" s="221"/>
      <c r="C37" s="221"/>
      <c r="D37" s="514"/>
      <c r="E37" s="514"/>
      <c r="F37" s="515"/>
    </row>
    <row r="38" spans="1:6" ht="15" customHeight="1" x14ac:dyDescent="0.2">
      <c r="A38" s="220"/>
      <c r="B38" s="221"/>
      <c r="C38" s="221"/>
      <c r="D38" s="514"/>
      <c r="E38" s="514"/>
      <c r="F38" s="515"/>
    </row>
    <row r="39" spans="1:6" ht="15" customHeight="1" x14ac:dyDescent="0.2">
      <c r="A39" s="220"/>
      <c r="B39" s="221"/>
      <c r="C39" s="221"/>
      <c r="D39" s="514"/>
      <c r="E39" s="514"/>
      <c r="F39" s="515"/>
    </row>
    <row r="40" spans="1:6" ht="15" customHeight="1" x14ac:dyDescent="0.2">
      <c r="A40" s="220"/>
      <c r="B40" s="221"/>
      <c r="C40" s="221"/>
      <c r="D40" s="514"/>
      <c r="E40" s="514"/>
      <c r="F40" s="515"/>
    </row>
    <row r="41" spans="1:6" ht="15" customHeight="1" x14ac:dyDescent="0.2">
      <c r="A41" s="220"/>
      <c r="B41" s="221"/>
      <c r="C41" s="221"/>
      <c r="D41" s="514"/>
      <c r="E41" s="514"/>
      <c r="F41" s="515"/>
    </row>
    <row r="42" spans="1:6" ht="15" customHeight="1" x14ac:dyDescent="0.2">
      <c r="A42" s="220"/>
      <c r="B42" s="221"/>
      <c r="C42" s="221"/>
      <c r="D42" s="514"/>
      <c r="E42" s="514"/>
      <c r="F42" s="515"/>
    </row>
    <row r="43" spans="1:6" ht="15" customHeight="1" x14ac:dyDescent="0.2">
      <c r="A43" s="220"/>
      <c r="B43" s="222"/>
      <c r="C43" s="222"/>
      <c r="D43" s="514"/>
      <c r="E43" s="514"/>
      <c r="F43" s="515"/>
    </row>
    <row r="44" spans="1:6" ht="15" customHeight="1" x14ac:dyDescent="0.2">
      <c r="A44" s="223"/>
      <c r="B44" s="224"/>
      <c r="C44" s="224"/>
      <c r="D44" s="516"/>
      <c r="E44" s="516"/>
      <c r="F44" s="517"/>
    </row>
    <row r="45" spans="1:6" ht="15" customHeight="1" x14ac:dyDescent="0.2">
      <c r="A45" s="225"/>
      <c r="B45" s="222"/>
      <c r="C45" s="222"/>
      <c r="D45" s="514"/>
      <c r="E45" s="514"/>
      <c r="F45" s="515"/>
    </row>
    <row r="46" spans="1:6" ht="15" customHeight="1" x14ac:dyDescent="0.2">
      <c r="A46" s="223"/>
      <c r="B46" s="224"/>
      <c r="C46" s="224"/>
      <c r="D46" s="516"/>
      <c r="E46" s="516"/>
      <c r="F46" s="517"/>
    </row>
    <row r="47" spans="1:6" ht="15" customHeight="1" thickBot="1" x14ac:dyDescent="0.25">
      <c r="A47" s="226"/>
      <c r="B47" s="227"/>
      <c r="C47" s="227"/>
      <c r="D47" s="522"/>
      <c r="E47" s="522"/>
      <c r="F47" s="523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3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2019-03-18T17:50:35Z</dcterms:modified>
</cp:coreProperties>
</file>