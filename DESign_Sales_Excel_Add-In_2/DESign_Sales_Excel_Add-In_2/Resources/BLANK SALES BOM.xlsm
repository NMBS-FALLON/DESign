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8" yWindow="1032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 (1)" sheetId="21" r:id="rId8"/>
    <sheet name="Check List" sheetId="16" r:id="rId9"/>
    <sheet name="ProjectTypeLookup" sheetId="50" state="hidden" r:id="rId10"/>
    <sheet name="HighlightedCell" sheetId="49" state="hidden" r:id="rId11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7">'J (1)'!$A$1:$AC$45</definedName>
    <definedName name="_xlnm.Print_Area" localSheetId="0">'N (0)'!$A$1:$R$53</definedName>
  </definedNames>
  <calcPr calcId="162913"/>
  <pivotCaches>
    <pivotCache cacheId="5" r:id="rId12"/>
  </pivotCaches>
</workbook>
</file>

<file path=xl/calcChain.xml><?xml version="1.0" encoding="utf-8"?>
<calcChain xmlns="http://schemas.openxmlformats.org/spreadsheetml/2006/main">
  <c r="B42" i="21" l="1"/>
  <c r="Q5" i="13"/>
  <c r="X5" i="13"/>
  <c r="Q6" i="13"/>
  <c r="Q4" i="13"/>
  <c r="U5" i="13"/>
  <c r="U8" i="13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25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F4" i="12"/>
  <c r="M50" i="12"/>
  <c r="F50" i="12"/>
  <c r="B42" i="10"/>
  <c r="C2" i="10"/>
  <c r="Q53" i="13"/>
  <c r="H53" i="13"/>
  <c r="H28" i="13"/>
  <c r="F25" i="12"/>
  <c r="Q28" i="13"/>
  <c r="F47" i="12"/>
  <c r="C1" i="21"/>
  <c r="Q2" i="13"/>
  <c r="C2" i="13"/>
  <c r="C1" i="12"/>
  <c r="K6" i="50"/>
  <c r="O1" i="13"/>
  <c r="AA1" i="21"/>
  <c r="K1" i="14"/>
  <c r="C2" i="21"/>
  <c r="K9" i="50"/>
  <c r="C1" i="13"/>
  <c r="M2" i="14"/>
  <c r="C1" i="14"/>
  <c r="C2" i="14"/>
  <c r="R2" i="15"/>
  <c r="P1" i="15"/>
  <c r="C2" i="15"/>
  <c r="C2" i="12"/>
  <c r="M2" i="12"/>
  <c r="K1" i="12"/>
  <c r="C1" i="15"/>
  <c r="K7" i="5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<sst xmlns="http://schemas.openxmlformats.org/spreadsheetml/2006/main" count="433" uniqueCount="208">
  <si>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</si>
  <si>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</si>
  <si>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</si>
  <si>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</si>
  <si>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</si>
  <si>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</si>
  <si>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</si>
  <si>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</si>
  <si>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</si>
  <si>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</si>
  <si>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</si>
  <si>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</si>
  <si>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</si>
  <si>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</si>
  <si>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</si>
  <si>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</si>
  <si>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</si>
  <si>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</si>
  <si>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</si>
  <si>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</si>
  <si>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</si>
  <si>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</si>
  <si>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</si>
  <si>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</si>
  <si>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</si>
  <si>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</si>
  <si>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</si>
  <si>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</si>
  <si>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</si>
  <si>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</si>
  <si>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</si>
  <si>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</si>
  <si>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</si>
  <si>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</si>
  <si>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</si>
  <si>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</si>
  <si>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</si>
  <si>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</si>
  <si>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</si>
  <si>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</si>
  <si>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</si>
  <si>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</si>
  <si>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</si>
  <si>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</si>
  <si>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</si>
  <si>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</si>
  <si>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</si>
  <si>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</si>
  <si>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</si>
  <si>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</si>
  <si>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</si>
  <si>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</si>
  <si>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</si>
  <si>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</si>
  <si>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</si>
  <si>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</si>
  <si>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</si>
  <si>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</si>
  <si>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</si>
  <si>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</si>
  <si>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</si>
  <si>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</si>
  <si>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</si>
  <si>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</si>
  <si>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</si>
  <si>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</si>
  <si>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</si>
  <si>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</si>
  <si>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</si>
  <si>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</si>
  <si>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</si>
  <si>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</si>
  <si>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</si>
  <si>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</si>
  <si>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</si>
  <si>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</si>
  <si>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</si>
  <si>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</si>
  <si>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</si>
  <si>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</si>
  <si>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</si>
  <si>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</si>
  <si>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</si>
  <si>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</si>
  <si>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</si>
  <si>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</si>
  <si>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</si>
  <si>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</si>
  <si>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</si>
  <si>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</si>
  <si>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</si>
  <si>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</si>
  <si>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</si>
  <si>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</si>
  <si>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</si>
  <si>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</si>
  <si>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</si>
  <si>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</si>
  <si>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</si>
  <si>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</si>
  <si>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</si>
  <si>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</si>
  <si>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</si>
  <si>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</si>
  <si>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</si>
  <si>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</si>
  <si>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</si>
  <si>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</si>
  <si>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</si>
  <si>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</si>
  <si>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</si>
  <si>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</si>
  <si>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</si>
  <si>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</si>
  <si>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</si>
  <si>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</si>
  <si>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</si>
  <si>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</si>
  <si>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</si>
  <si>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</si>
  <si>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</si>
  <si>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</si>
  <si>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</si>
  <si>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</si>
  <si>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</si>
  <si>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</si>
  <si>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</si>
  <si>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</si>
  <si>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</si>
  <si>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</si>
  <si>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</si>
  <si>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</si>
  <si>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</si>
  <si>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</si>
  <si>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</si>
  <si>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</si>
  <si>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</si>
  <si>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</si>
  <si>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</si>
  <si>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</si>
  <si>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</si>
  <si>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</si>
  <si>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</si>
  <si>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</si>
  <si>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</si>
  <si>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</si>
  <si>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</si>
  <si>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</si>
  <si>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</si>
  <si>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</si>
  <si>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</si>
  <si>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</si>
  <si>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</si>
  <si>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</si>
  <si>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</si>
  <si>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</si>
  <si>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</si>
  <si>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</si>
  <si>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</si>
  <si>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</si>
  <si>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</si>
  <si>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</si>
  <si>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</si>
  <si>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</si>
  <si>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</si>
  <si>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</si>
  <si>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</si>
  <si>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</si>
  <si>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</si>
  <si>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</si>
  <si>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</si>
  <si>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</si>
  <si>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</si>
  <si>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</si>
  <si>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</si>
  <si>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</si>
  <si>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</si>
  <si>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</si>
  <si>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</si>
  <si>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</si>
  <si>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</si>
  <si>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</si>
  <si>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</si>
  <si>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</si>
  <si>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</si>
  <si>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</si>
  <si>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</si>
  <si>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</si>
  <si>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</si>
  <si>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</si>
  <si>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</si>
  <si>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</si>
  <si>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</si>
  <si>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</si>
  <si>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</si>
  <si>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</si>
  <si>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</si>
  <si>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</si>
  <si>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</si>
  <si>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</si>
  <si>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Mark</t>
  </si>
  <si>
    <t>Mf</t>
  </si>
  <si>
    <t>Min I</t>
  </si>
  <si>
    <t>TL Deflection</t>
  </si>
  <si>
    <t>LL Deflection</t>
  </si>
  <si>
    <t>Erfo @ LE</t>
  </si>
  <si>
    <t>Erfo @ RE</t>
  </si>
  <si>
    <t>WN Spacing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</si>
</sst>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41" fillId="0" borderId="0"/>
  </cellStyleXfs>
  <cellXfs count="421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/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left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5" fillId="0" borderId="91" xfId="0" applyFont="1" applyFill="1" applyBorder="1" applyAlignment="1" applyProtection="1">
      <alignment horizontal="center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28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5" fillId="0" borderId="2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9" fillId="0" borderId="49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9" fillId="0" borderId="83" xfId="0" applyFont="1" applyFill="1" applyBorder="1" applyAlignment="1" applyProtection="1">
      <alignment horizontal="right"/>
    </xf>
    <xf numFmtId="0" fontId="19" fillId="0" borderId="6" xfId="0" applyFont="1" applyBorder="1" applyAlignment="1"/>
    <xf numFmtId="0" fontId="18" fillId="0" borderId="6" xfId="0" applyFont="1" applyFill="1" applyBorder="1" applyAlignment="1" applyProtection="1">
      <alignment horizontal="left"/>
      <protection locked="0"/>
    </xf>
    <xf numFmtId="49" fontId="18" fillId="0" borderId="6" xfId="0" applyNumberFormat="1" applyFont="1" applyFill="1" applyBorder="1" applyAlignment="1" applyProtection="1">
      <alignment horizontal="left"/>
      <protection locked="0"/>
    </xf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0" fontId="18" fillId="0" borderId="41" xfId="0" applyFont="1" applyFill="1" applyBorder="1" applyAlignment="1" applyProtection="1">
      <alignment horizontal="left"/>
      <protection locked="0"/>
    </xf>
    <xf numFmtId="0" fontId="9" fillId="0" borderId="87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0" xfId="2" applyFont="1"/>
    <xf numFmtId="0" fontId="42" fillId="0" borderId="0" xfId="3" applyFont="1" applyFill="1" applyAlignment="1">
      <alignment vertical="top"/>
    </xf>
  </cellXfs>
  <cellStyles count="4">
    <cellStyle name="Comma" xfId="1" builtinId="3"/>
    <cellStyle name="Normal" xfId="0" builtinId="0"/>
    <cellStyle name="Normal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6</xdr:row>
          <xdr:rowOff>38100</xdr:rowOff>
        </xdr:from>
        <xdr:to>
          <xdr:col>0</xdr:col>
          <xdr:colOff>259080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6</xdr:row>
          <xdr:rowOff>38100</xdr:rowOff>
        </xdr:from>
        <xdr:to>
          <xdr:col>2</xdr:col>
          <xdr:colOff>259080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7</xdr:row>
          <xdr:rowOff>38100</xdr:rowOff>
        </xdr:from>
        <xdr:to>
          <xdr:col>0</xdr:col>
          <xdr:colOff>259080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7</xdr:row>
          <xdr:rowOff>38100</xdr:rowOff>
        </xdr:from>
        <xdr:to>
          <xdr:col>2</xdr:col>
          <xdr:colOff>259080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8</xdr:row>
          <xdr:rowOff>38100</xdr:rowOff>
        </xdr:from>
        <xdr:to>
          <xdr:col>0</xdr:col>
          <xdr:colOff>259080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8</xdr:row>
          <xdr:rowOff>38100</xdr:rowOff>
        </xdr:from>
        <xdr:to>
          <xdr:col>2</xdr:col>
          <xdr:colOff>259080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9</xdr:row>
          <xdr:rowOff>38100</xdr:rowOff>
        </xdr:from>
        <xdr:to>
          <xdr:col>0</xdr:col>
          <xdr:colOff>259080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9</xdr:row>
          <xdr:rowOff>38100</xdr:rowOff>
        </xdr:from>
        <xdr:to>
          <xdr:col>2</xdr:col>
          <xdr:colOff>259080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10</xdr:row>
          <xdr:rowOff>38100</xdr:rowOff>
        </xdr:from>
        <xdr:to>
          <xdr:col>0</xdr:col>
          <xdr:colOff>259080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10</xdr:row>
          <xdr:rowOff>38100</xdr:rowOff>
        </xdr:from>
        <xdr:to>
          <xdr:col>2</xdr:col>
          <xdr:colOff>259080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11</xdr:row>
          <xdr:rowOff>38100</xdr:rowOff>
        </xdr:from>
        <xdr:to>
          <xdr:col>0</xdr:col>
          <xdr:colOff>259080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11</xdr:row>
          <xdr:rowOff>38100</xdr:rowOff>
        </xdr:from>
        <xdr:to>
          <xdr:col>2</xdr:col>
          <xdr:colOff>259080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12</xdr:row>
          <xdr:rowOff>38100</xdr:rowOff>
        </xdr:from>
        <xdr:to>
          <xdr:col>0</xdr:col>
          <xdr:colOff>259080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12</xdr:row>
          <xdr:rowOff>38100</xdr:rowOff>
        </xdr:from>
        <xdr:to>
          <xdr:col>2</xdr:col>
          <xdr:colOff>259080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13</xdr:row>
          <xdr:rowOff>38100</xdr:rowOff>
        </xdr:from>
        <xdr:to>
          <xdr:col>0</xdr:col>
          <xdr:colOff>259080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13</xdr:row>
          <xdr:rowOff>38100</xdr:rowOff>
        </xdr:from>
        <xdr:to>
          <xdr:col>2</xdr:col>
          <xdr:colOff>259080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14</xdr:row>
          <xdr:rowOff>38100</xdr:rowOff>
        </xdr:from>
        <xdr:to>
          <xdr:col>0</xdr:col>
          <xdr:colOff>259080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14</xdr:row>
          <xdr:rowOff>38100</xdr:rowOff>
        </xdr:from>
        <xdr:to>
          <xdr:col>0</xdr:col>
          <xdr:colOff>259080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14</xdr:row>
          <xdr:rowOff>38100</xdr:rowOff>
        </xdr:from>
        <xdr:to>
          <xdr:col>2</xdr:col>
          <xdr:colOff>259080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15</xdr:row>
          <xdr:rowOff>38100</xdr:rowOff>
        </xdr:from>
        <xdr:to>
          <xdr:col>0</xdr:col>
          <xdr:colOff>259080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15</xdr:row>
          <xdr:rowOff>38100</xdr:rowOff>
        </xdr:from>
        <xdr:to>
          <xdr:col>2</xdr:col>
          <xdr:colOff>259080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16</xdr:row>
          <xdr:rowOff>38100</xdr:rowOff>
        </xdr:from>
        <xdr:to>
          <xdr:col>0</xdr:col>
          <xdr:colOff>259080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16</xdr:row>
          <xdr:rowOff>38100</xdr:rowOff>
        </xdr:from>
        <xdr:to>
          <xdr:col>2</xdr:col>
          <xdr:colOff>259080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17</xdr:row>
          <xdr:rowOff>38100</xdr:rowOff>
        </xdr:from>
        <xdr:to>
          <xdr:col>0</xdr:col>
          <xdr:colOff>259080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17</xdr:row>
          <xdr:rowOff>38100</xdr:rowOff>
        </xdr:from>
        <xdr:to>
          <xdr:col>2</xdr:col>
          <xdr:colOff>259080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18</xdr:row>
          <xdr:rowOff>38100</xdr:rowOff>
        </xdr:from>
        <xdr:to>
          <xdr:col>0</xdr:col>
          <xdr:colOff>259080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18</xdr:row>
          <xdr:rowOff>38100</xdr:rowOff>
        </xdr:from>
        <xdr:to>
          <xdr:col>2</xdr:col>
          <xdr:colOff>259080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19</xdr:row>
          <xdr:rowOff>38100</xdr:rowOff>
        </xdr:from>
        <xdr:to>
          <xdr:col>0</xdr:col>
          <xdr:colOff>259080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19</xdr:row>
          <xdr:rowOff>38100</xdr:rowOff>
        </xdr:from>
        <xdr:to>
          <xdr:col>2</xdr:col>
          <xdr:colOff>259080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20</xdr:row>
          <xdr:rowOff>38100</xdr:rowOff>
        </xdr:from>
        <xdr:to>
          <xdr:col>0</xdr:col>
          <xdr:colOff>259080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20</xdr:row>
          <xdr:rowOff>38100</xdr:rowOff>
        </xdr:from>
        <xdr:to>
          <xdr:col>2</xdr:col>
          <xdr:colOff>259080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21</xdr:row>
          <xdr:rowOff>38100</xdr:rowOff>
        </xdr:from>
        <xdr:to>
          <xdr:col>0</xdr:col>
          <xdr:colOff>259080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21</xdr:row>
          <xdr:rowOff>38100</xdr:rowOff>
        </xdr:from>
        <xdr:to>
          <xdr:col>2</xdr:col>
          <xdr:colOff>259080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22</xdr:row>
          <xdr:rowOff>38100</xdr:rowOff>
        </xdr:from>
        <xdr:to>
          <xdr:col>0</xdr:col>
          <xdr:colOff>259080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22</xdr:row>
          <xdr:rowOff>38100</xdr:rowOff>
        </xdr:from>
        <xdr:to>
          <xdr:col>2</xdr:col>
          <xdr:colOff>259080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23</xdr:row>
          <xdr:rowOff>38100</xdr:rowOff>
        </xdr:from>
        <xdr:to>
          <xdr:col>0</xdr:col>
          <xdr:colOff>259080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23</xdr:row>
          <xdr:rowOff>38100</xdr:rowOff>
        </xdr:from>
        <xdr:to>
          <xdr:col>2</xdr:col>
          <xdr:colOff>259080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24</xdr:row>
          <xdr:rowOff>38100</xdr:rowOff>
        </xdr:from>
        <xdr:to>
          <xdr:col>0</xdr:col>
          <xdr:colOff>259080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24</xdr:row>
          <xdr:rowOff>38100</xdr:rowOff>
        </xdr:from>
        <xdr:to>
          <xdr:col>2</xdr:col>
          <xdr:colOff>259080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25</xdr:row>
          <xdr:rowOff>38100</xdr:rowOff>
        </xdr:from>
        <xdr:to>
          <xdr:col>0</xdr:col>
          <xdr:colOff>259080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25</xdr:row>
          <xdr:rowOff>38100</xdr:rowOff>
        </xdr:from>
        <xdr:to>
          <xdr:col>2</xdr:col>
          <xdr:colOff>259080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26</xdr:row>
          <xdr:rowOff>38100</xdr:rowOff>
        </xdr:from>
        <xdr:to>
          <xdr:col>0</xdr:col>
          <xdr:colOff>259080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26</xdr:row>
          <xdr:rowOff>38100</xdr:rowOff>
        </xdr:from>
        <xdr:to>
          <xdr:col>2</xdr:col>
          <xdr:colOff>259080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27</xdr:row>
          <xdr:rowOff>38100</xdr:rowOff>
        </xdr:from>
        <xdr:to>
          <xdr:col>0</xdr:col>
          <xdr:colOff>259080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27</xdr:row>
          <xdr:rowOff>38100</xdr:rowOff>
        </xdr:from>
        <xdr:to>
          <xdr:col>2</xdr:col>
          <xdr:colOff>259080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28</xdr:row>
          <xdr:rowOff>38100</xdr:rowOff>
        </xdr:from>
        <xdr:to>
          <xdr:col>0</xdr:col>
          <xdr:colOff>259080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28</xdr:row>
          <xdr:rowOff>38100</xdr:rowOff>
        </xdr:from>
        <xdr:to>
          <xdr:col>2</xdr:col>
          <xdr:colOff>259080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29</xdr:row>
          <xdr:rowOff>38100</xdr:rowOff>
        </xdr:from>
        <xdr:to>
          <xdr:col>0</xdr:col>
          <xdr:colOff>259080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29</xdr:row>
          <xdr:rowOff>38100</xdr:rowOff>
        </xdr:from>
        <xdr:to>
          <xdr:col>2</xdr:col>
          <xdr:colOff>259080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30</xdr:row>
          <xdr:rowOff>38100</xdr:rowOff>
        </xdr:from>
        <xdr:to>
          <xdr:col>0</xdr:col>
          <xdr:colOff>259080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30</xdr:row>
          <xdr:rowOff>38100</xdr:rowOff>
        </xdr:from>
        <xdr:to>
          <xdr:col>2</xdr:col>
          <xdr:colOff>259080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31</xdr:row>
          <xdr:rowOff>38100</xdr:rowOff>
        </xdr:from>
        <xdr:to>
          <xdr:col>0</xdr:col>
          <xdr:colOff>259080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31</xdr:row>
          <xdr:rowOff>38100</xdr:rowOff>
        </xdr:from>
        <xdr:to>
          <xdr:col>2</xdr:col>
          <xdr:colOff>259080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32</xdr:row>
          <xdr:rowOff>38100</xdr:rowOff>
        </xdr:from>
        <xdr:to>
          <xdr:col>0</xdr:col>
          <xdr:colOff>259080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32</xdr:row>
          <xdr:rowOff>38100</xdr:rowOff>
        </xdr:from>
        <xdr:to>
          <xdr:col>2</xdr:col>
          <xdr:colOff>259080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33</xdr:row>
          <xdr:rowOff>38100</xdr:rowOff>
        </xdr:from>
        <xdr:to>
          <xdr:col>0</xdr:col>
          <xdr:colOff>259080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33</xdr:row>
          <xdr:rowOff>38100</xdr:rowOff>
        </xdr:from>
        <xdr:to>
          <xdr:col>2</xdr:col>
          <xdr:colOff>259080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34</xdr:row>
          <xdr:rowOff>38100</xdr:rowOff>
        </xdr:from>
        <xdr:to>
          <xdr:col>0</xdr:col>
          <xdr:colOff>259080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34</xdr:row>
          <xdr:rowOff>38100</xdr:rowOff>
        </xdr:from>
        <xdr:to>
          <xdr:col>2</xdr:col>
          <xdr:colOff>259080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35</xdr:row>
          <xdr:rowOff>38100</xdr:rowOff>
        </xdr:from>
        <xdr:to>
          <xdr:col>0</xdr:col>
          <xdr:colOff>259080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35</xdr:row>
          <xdr:rowOff>38100</xdr:rowOff>
        </xdr:from>
        <xdr:to>
          <xdr:col>2</xdr:col>
          <xdr:colOff>259080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36</xdr:row>
          <xdr:rowOff>38100</xdr:rowOff>
        </xdr:from>
        <xdr:to>
          <xdr:col>0</xdr:col>
          <xdr:colOff>259080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36</xdr:row>
          <xdr:rowOff>38100</xdr:rowOff>
        </xdr:from>
        <xdr:to>
          <xdr:col>2</xdr:col>
          <xdr:colOff>259080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37</xdr:row>
          <xdr:rowOff>38100</xdr:rowOff>
        </xdr:from>
        <xdr:to>
          <xdr:col>0</xdr:col>
          <xdr:colOff>259080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37</xdr:row>
          <xdr:rowOff>38100</xdr:rowOff>
        </xdr:from>
        <xdr:to>
          <xdr:col>2</xdr:col>
          <xdr:colOff>259080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38</xdr:row>
          <xdr:rowOff>38100</xdr:rowOff>
        </xdr:from>
        <xdr:to>
          <xdr:col>0</xdr:col>
          <xdr:colOff>259080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38</xdr:row>
          <xdr:rowOff>38100</xdr:rowOff>
        </xdr:from>
        <xdr:to>
          <xdr:col>2</xdr:col>
          <xdr:colOff>259080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39</xdr:row>
          <xdr:rowOff>38100</xdr:rowOff>
        </xdr:from>
        <xdr:to>
          <xdr:col>0</xdr:col>
          <xdr:colOff>259080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39</xdr:row>
          <xdr:rowOff>38100</xdr:rowOff>
        </xdr:from>
        <xdr:to>
          <xdr:col>2</xdr:col>
          <xdr:colOff>259080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40</xdr:row>
          <xdr:rowOff>38100</xdr:rowOff>
        </xdr:from>
        <xdr:to>
          <xdr:col>0</xdr:col>
          <xdr:colOff>259080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40</xdr:row>
          <xdr:rowOff>38100</xdr:rowOff>
        </xdr:from>
        <xdr:to>
          <xdr:col>2</xdr:col>
          <xdr:colOff>259080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41</xdr:row>
          <xdr:rowOff>38100</xdr:rowOff>
        </xdr:from>
        <xdr:to>
          <xdr:col>0</xdr:col>
          <xdr:colOff>259080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41</xdr:row>
          <xdr:rowOff>38100</xdr:rowOff>
        </xdr:from>
        <xdr:to>
          <xdr:col>2</xdr:col>
          <xdr:colOff>259080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42</xdr:row>
          <xdr:rowOff>38100</xdr:rowOff>
        </xdr:from>
        <xdr:to>
          <xdr:col>0</xdr:col>
          <xdr:colOff>259080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42</xdr:row>
          <xdr:rowOff>38100</xdr:rowOff>
        </xdr:from>
        <xdr:to>
          <xdr:col>2</xdr:col>
          <xdr:colOff>259080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43</xdr:row>
          <xdr:rowOff>38100</xdr:rowOff>
        </xdr:from>
        <xdr:to>
          <xdr:col>0</xdr:col>
          <xdr:colOff>259080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43</xdr:row>
          <xdr:rowOff>38100</xdr:rowOff>
        </xdr:from>
        <xdr:to>
          <xdr:col>2</xdr:col>
          <xdr:colOff>259080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44</xdr:row>
          <xdr:rowOff>38100</xdr:rowOff>
        </xdr:from>
        <xdr:to>
          <xdr:col>0</xdr:col>
          <xdr:colOff>259080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44</xdr:row>
          <xdr:rowOff>38100</xdr:rowOff>
        </xdr:from>
        <xdr:to>
          <xdr:col>2</xdr:col>
          <xdr:colOff>259080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45</xdr:row>
          <xdr:rowOff>38100</xdr:rowOff>
        </xdr:from>
        <xdr:to>
          <xdr:col>0</xdr:col>
          <xdr:colOff>259080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45</xdr:row>
          <xdr:rowOff>38100</xdr:rowOff>
        </xdr:from>
        <xdr:to>
          <xdr:col>2</xdr:col>
          <xdr:colOff>259080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6</xdr:row>
          <xdr:rowOff>38100</xdr:rowOff>
        </xdr:from>
        <xdr:to>
          <xdr:col>1</xdr:col>
          <xdr:colOff>259080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7</xdr:row>
          <xdr:rowOff>45720</xdr:rowOff>
        </xdr:from>
        <xdr:to>
          <xdr:col>1</xdr:col>
          <xdr:colOff>259080</xdr:colOff>
          <xdr:row>8</xdr:row>
          <xdr:rowOff>7620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8</xdr:row>
          <xdr:rowOff>38100</xdr:rowOff>
        </xdr:from>
        <xdr:to>
          <xdr:col>1</xdr:col>
          <xdr:colOff>259080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9</xdr:row>
          <xdr:rowOff>38100</xdr:rowOff>
        </xdr:from>
        <xdr:to>
          <xdr:col>1</xdr:col>
          <xdr:colOff>259080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10</xdr:row>
          <xdr:rowOff>38100</xdr:rowOff>
        </xdr:from>
        <xdr:to>
          <xdr:col>1</xdr:col>
          <xdr:colOff>259080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11</xdr:row>
          <xdr:rowOff>38100</xdr:rowOff>
        </xdr:from>
        <xdr:to>
          <xdr:col>1</xdr:col>
          <xdr:colOff>259080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12</xdr:row>
          <xdr:rowOff>38100</xdr:rowOff>
        </xdr:from>
        <xdr:to>
          <xdr:col>1</xdr:col>
          <xdr:colOff>259080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13</xdr:row>
          <xdr:rowOff>38100</xdr:rowOff>
        </xdr:from>
        <xdr:to>
          <xdr:col>1</xdr:col>
          <xdr:colOff>259080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14</xdr:row>
          <xdr:rowOff>38100</xdr:rowOff>
        </xdr:from>
        <xdr:to>
          <xdr:col>1</xdr:col>
          <xdr:colOff>259080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15</xdr:row>
          <xdr:rowOff>38100</xdr:rowOff>
        </xdr:from>
        <xdr:to>
          <xdr:col>1</xdr:col>
          <xdr:colOff>259080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16</xdr:row>
          <xdr:rowOff>38100</xdr:rowOff>
        </xdr:from>
        <xdr:to>
          <xdr:col>1</xdr:col>
          <xdr:colOff>259080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17</xdr:row>
          <xdr:rowOff>38100</xdr:rowOff>
        </xdr:from>
        <xdr:to>
          <xdr:col>1</xdr:col>
          <xdr:colOff>259080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18</xdr:row>
          <xdr:rowOff>38100</xdr:rowOff>
        </xdr:from>
        <xdr:to>
          <xdr:col>1</xdr:col>
          <xdr:colOff>259080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19</xdr:row>
          <xdr:rowOff>38100</xdr:rowOff>
        </xdr:from>
        <xdr:to>
          <xdr:col>1</xdr:col>
          <xdr:colOff>259080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20</xdr:row>
          <xdr:rowOff>38100</xdr:rowOff>
        </xdr:from>
        <xdr:to>
          <xdr:col>1</xdr:col>
          <xdr:colOff>259080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21</xdr:row>
          <xdr:rowOff>38100</xdr:rowOff>
        </xdr:from>
        <xdr:to>
          <xdr:col>1</xdr:col>
          <xdr:colOff>259080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22</xdr:row>
          <xdr:rowOff>38100</xdr:rowOff>
        </xdr:from>
        <xdr:to>
          <xdr:col>1</xdr:col>
          <xdr:colOff>259080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23</xdr:row>
          <xdr:rowOff>38100</xdr:rowOff>
        </xdr:from>
        <xdr:to>
          <xdr:col>1</xdr:col>
          <xdr:colOff>259080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24</xdr:row>
          <xdr:rowOff>38100</xdr:rowOff>
        </xdr:from>
        <xdr:to>
          <xdr:col>1</xdr:col>
          <xdr:colOff>259080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25</xdr:row>
          <xdr:rowOff>38100</xdr:rowOff>
        </xdr:from>
        <xdr:to>
          <xdr:col>1</xdr:col>
          <xdr:colOff>259080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26</xdr:row>
          <xdr:rowOff>38100</xdr:rowOff>
        </xdr:from>
        <xdr:to>
          <xdr:col>1</xdr:col>
          <xdr:colOff>259080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27</xdr:row>
          <xdr:rowOff>38100</xdr:rowOff>
        </xdr:from>
        <xdr:to>
          <xdr:col>1</xdr:col>
          <xdr:colOff>259080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28</xdr:row>
          <xdr:rowOff>38100</xdr:rowOff>
        </xdr:from>
        <xdr:to>
          <xdr:col>1</xdr:col>
          <xdr:colOff>259080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30</xdr:row>
          <xdr:rowOff>38100</xdr:rowOff>
        </xdr:from>
        <xdr:to>
          <xdr:col>1</xdr:col>
          <xdr:colOff>259080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29</xdr:row>
          <xdr:rowOff>38100</xdr:rowOff>
        </xdr:from>
        <xdr:to>
          <xdr:col>1</xdr:col>
          <xdr:colOff>259080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31</xdr:row>
          <xdr:rowOff>38100</xdr:rowOff>
        </xdr:from>
        <xdr:to>
          <xdr:col>1</xdr:col>
          <xdr:colOff>259080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32</xdr:row>
          <xdr:rowOff>38100</xdr:rowOff>
        </xdr:from>
        <xdr:to>
          <xdr:col>1</xdr:col>
          <xdr:colOff>259080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33</xdr:row>
          <xdr:rowOff>38100</xdr:rowOff>
        </xdr:from>
        <xdr:to>
          <xdr:col>1</xdr:col>
          <xdr:colOff>259080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34</xdr:row>
          <xdr:rowOff>38100</xdr:rowOff>
        </xdr:from>
        <xdr:to>
          <xdr:col>1</xdr:col>
          <xdr:colOff>259080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35</xdr:row>
          <xdr:rowOff>38100</xdr:rowOff>
        </xdr:from>
        <xdr:to>
          <xdr:col>1</xdr:col>
          <xdr:colOff>259080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37</xdr:row>
          <xdr:rowOff>38100</xdr:rowOff>
        </xdr:from>
        <xdr:to>
          <xdr:col>1</xdr:col>
          <xdr:colOff>259080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36</xdr:row>
          <xdr:rowOff>38100</xdr:rowOff>
        </xdr:from>
        <xdr:to>
          <xdr:col>1</xdr:col>
          <xdr:colOff>259080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38</xdr:row>
          <xdr:rowOff>38100</xdr:rowOff>
        </xdr:from>
        <xdr:to>
          <xdr:col>1</xdr:col>
          <xdr:colOff>259080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39</xdr:row>
          <xdr:rowOff>38100</xdr:rowOff>
        </xdr:from>
        <xdr:to>
          <xdr:col>1</xdr:col>
          <xdr:colOff>259080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40</xdr:row>
          <xdr:rowOff>38100</xdr:rowOff>
        </xdr:from>
        <xdr:to>
          <xdr:col>1</xdr:col>
          <xdr:colOff>259080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41</xdr:row>
          <xdr:rowOff>38100</xdr:rowOff>
        </xdr:from>
        <xdr:to>
          <xdr:col>1</xdr:col>
          <xdr:colOff>259080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42</xdr:row>
          <xdr:rowOff>38100</xdr:rowOff>
        </xdr:from>
        <xdr:to>
          <xdr:col>1</xdr:col>
          <xdr:colOff>259080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43</xdr:row>
          <xdr:rowOff>38100</xdr:rowOff>
        </xdr:from>
        <xdr:to>
          <xdr:col>1</xdr:col>
          <xdr:colOff>259080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44</xdr:row>
          <xdr:rowOff>38100</xdr:rowOff>
        </xdr:from>
        <xdr:to>
          <xdr:col>1</xdr:col>
          <xdr:colOff>259080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45</xdr:row>
          <xdr:rowOff>38100</xdr:rowOff>
        </xdr:from>
        <xdr:to>
          <xdr:col>1</xdr:col>
          <xdr:colOff>259080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46</xdr:row>
          <xdr:rowOff>38100</xdr:rowOff>
        </xdr:from>
        <xdr:to>
          <xdr:col>2</xdr:col>
          <xdr:colOff>259080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46</xdr:row>
          <xdr:rowOff>38100</xdr:rowOff>
        </xdr:from>
        <xdr:to>
          <xdr:col>1</xdr:col>
          <xdr:colOff>259080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ColWidth="9.109375" defaultRowHeight="13.2" x14ac:dyDescent="0.25"/>
  <cols>
    <col min="1" max="1" width="6.6640625" style="8" customWidth="1" collapsed="1"/>
    <col min="2" max="2" width="15.6640625" style="8" customWidth="1" collapsed="1"/>
    <col min="3" max="3" width="90.6640625" style="8" customWidth="1" collapsed="1"/>
    <col min="4" max="14" width="2.6640625" style="8" hidden="1" customWidth="1" collapsed="1"/>
    <col min="15" max="15" width="12.6640625" style="8" customWidth="1" collapsed="1"/>
    <col min="16" max="17" width="7.6640625" style="8" customWidth="1" collapsed="1"/>
    <col min="18" max="18" width="10.6640625" style="8" customWidth="1" collapsed="1"/>
    <col min="19" max="19" width="6.6640625" style="8" customWidth="1" collapsed="1"/>
    <col min="20" max="20" width="9.5546875" style="8" customWidth="1" collapsed="1"/>
    <col min="21" max="21" width="8.88671875" style="8" customWidth="1" collapsed="1"/>
    <col min="22" max="22" width="9.5546875" style="8" customWidth="1" collapsed="1"/>
    <col min="23" max="23" width="8.5546875" style="8" customWidth="1" collapsed="1"/>
    <col min="24" max="25" width="10.6640625" style="8" customWidth="1" collapsed="1"/>
    <col min="26" max="26" width="10.5546875" style="8" customWidth="1" collapsed="1"/>
    <col min="27" max="27" width="8.6640625" style="8" customWidth="1" collapsed="1"/>
    <col min="28" max="28" width="9.6640625" style="8" customWidth="1" collapsed="1"/>
    <col min="29" max="29" width="8.5546875" style="8" customWidth="1" collapsed="1"/>
    <col min="30" max="16384" width="9.109375" style="8" collapsed="1"/>
  </cols>
  <sheetData>
    <row r="1" spans="1:32" s="9" customFormat="1" ht="20.100000000000001" customHeight="1" x14ac:dyDescent="0.25">
      <c r="A1" s="243" t="s">
        <v>33</v>
      </c>
      <c r="B1" s="244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0" t="str">
        <f ca="1">IF(ISBLANK(INDIRECT("Cover!O2")),"",INDIRECT("Cover!O2"))</f>
        <v>*</v>
      </c>
      <c r="Q1" s="250"/>
      <c r="R1" s="251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3">
      <c r="A2" s="245" t="s">
        <v>35</v>
      </c>
      <c r="B2" s="246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5">
      <c r="A3" s="247" t="s">
        <v>47</v>
      </c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9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3">
      <c r="A4" s="124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2"/>
      <c r="S4" s="17"/>
    </row>
    <row r="5" spans="1:32" s="18" customFormat="1" ht="20.100000000000001" customHeight="1" x14ac:dyDescent="0.3">
      <c r="A5" s="124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2"/>
      <c r="S5" s="17"/>
    </row>
    <row r="6" spans="1:32" s="18" customFormat="1" ht="20.100000000000001" customHeight="1" x14ac:dyDescent="0.3">
      <c r="A6" s="124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2"/>
      <c r="S6" s="17"/>
    </row>
    <row r="7" spans="1:32" s="18" customFormat="1" ht="20.100000000000001" customHeight="1" x14ac:dyDescent="0.3">
      <c r="A7" s="124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2"/>
      <c r="S7" s="17"/>
    </row>
    <row r="8" spans="1:32" s="18" customFormat="1" ht="20.100000000000001" customHeight="1" x14ac:dyDescent="0.3">
      <c r="A8" s="124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2"/>
      <c r="S8" s="17"/>
    </row>
    <row r="9" spans="1:32" s="18" customFormat="1" ht="20.100000000000001" customHeight="1" x14ac:dyDescent="0.3">
      <c r="A9" s="124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2"/>
      <c r="S9" s="17"/>
    </row>
    <row r="10" spans="1:32" s="18" customFormat="1" ht="20.100000000000001" customHeight="1" x14ac:dyDescent="0.3">
      <c r="A10" s="124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2"/>
      <c r="S10" s="17"/>
    </row>
    <row r="11" spans="1:32" s="18" customFormat="1" ht="20.100000000000001" customHeight="1" x14ac:dyDescent="0.3">
      <c r="A11" s="124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2"/>
      <c r="S11" s="17"/>
    </row>
    <row r="12" spans="1:32" s="18" customFormat="1" ht="20.100000000000001" customHeight="1" x14ac:dyDescent="0.3">
      <c r="A12" s="124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2"/>
      <c r="S12" s="17"/>
    </row>
    <row r="13" spans="1:32" s="18" customFormat="1" ht="20.100000000000001" customHeight="1" x14ac:dyDescent="0.3">
      <c r="A13" s="124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2"/>
      <c r="S13" s="17"/>
    </row>
    <row r="14" spans="1:32" s="18" customFormat="1" ht="20.100000000000001" customHeight="1" x14ac:dyDescent="0.3">
      <c r="A14" s="124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2"/>
      <c r="S14" s="17"/>
    </row>
    <row r="15" spans="1:32" s="18" customFormat="1" ht="20.100000000000001" customHeight="1" x14ac:dyDescent="0.3">
      <c r="A15" s="124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2"/>
      <c r="S15" s="17"/>
    </row>
    <row r="16" spans="1:32" s="18" customFormat="1" ht="20.100000000000001" customHeight="1" x14ac:dyDescent="0.3">
      <c r="A16" s="124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2"/>
      <c r="S16" s="17"/>
    </row>
    <row r="17" spans="1:19" s="18" customFormat="1" ht="20.100000000000001" customHeight="1" x14ac:dyDescent="0.3">
      <c r="A17" s="124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2"/>
      <c r="S17" s="17"/>
    </row>
    <row r="18" spans="1:19" s="18" customFormat="1" ht="20.100000000000001" customHeight="1" x14ac:dyDescent="0.3">
      <c r="A18" s="124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2"/>
      <c r="S18" s="17"/>
    </row>
    <row r="19" spans="1:19" s="18" customFormat="1" ht="20.100000000000001" customHeight="1" x14ac:dyDescent="0.3">
      <c r="A19" s="124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2"/>
      <c r="S19" s="17"/>
    </row>
    <row r="20" spans="1:19" s="18" customFormat="1" ht="20.100000000000001" customHeight="1" x14ac:dyDescent="0.3">
      <c r="A20" s="124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2"/>
      <c r="S20" s="17"/>
    </row>
    <row r="21" spans="1:19" s="18" customFormat="1" ht="20.100000000000001" customHeight="1" x14ac:dyDescent="0.3">
      <c r="A21" s="124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2"/>
      <c r="S21" s="17"/>
    </row>
    <row r="22" spans="1:19" s="18" customFormat="1" ht="20.100000000000001" customHeight="1" x14ac:dyDescent="0.3">
      <c r="A22" s="124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2"/>
      <c r="S22" s="17"/>
    </row>
    <row r="23" spans="1:19" s="18" customFormat="1" ht="20.100000000000001" customHeight="1" x14ac:dyDescent="0.3">
      <c r="A23" s="124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2"/>
      <c r="S23" s="17"/>
    </row>
    <row r="24" spans="1:19" s="18" customFormat="1" ht="20.100000000000001" customHeight="1" x14ac:dyDescent="0.3">
      <c r="A24" s="124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2"/>
      <c r="S24" s="17"/>
    </row>
    <row r="25" spans="1:19" s="18" customFormat="1" ht="20.100000000000001" customHeight="1" x14ac:dyDescent="0.3">
      <c r="A25" s="124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2"/>
      <c r="S25" s="17"/>
    </row>
    <row r="26" spans="1:19" s="18" customFormat="1" ht="20.100000000000001" customHeight="1" x14ac:dyDescent="0.3">
      <c r="A26" s="124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2"/>
      <c r="S26" s="17"/>
    </row>
    <row r="27" spans="1:19" s="18" customFormat="1" ht="20.100000000000001" customHeight="1" x14ac:dyDescent="0.3">
      <c r="A27" s="124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1"/>
      <c r="R27" s="242"/>
      <c r="S27" s="17"/>
    </row>
    <row r="28" spans="1:19" s="18" customFormat="1" ht="20.100000000000001" customHeight="1" x14ac:dyDescent="0.3">
      <c r="A28" s="124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2"/>
      <c r="S28" s="17"/>
    </row>
    <row r="29" spans="1:19" s="18" customFormat="1" ht="20.100000000000001" customHeight="1" x14ac:dyDescent="0.3">
      <c r="A29" s="124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1"/>
      <c r="R29" s="242"/>
      <c r="S29" s="17"/>
    </row>
    <row r="30" spans="1:19" s="18" customFormat="1" ht="20.100000000000001" customHeight="1" x14ac:dyDescent="0.3">
      <c r="A30" s="124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2"/>
      <c r="S30" s="17"/>
    </row>
    <row r="31" spans="1:19" s="18" customFormat="1" ht="20.100000000000001" customHeight="1" x14ac:dyDescent="0.3">
      <c r="A31" s="124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2"/>
      <c r="S31" s="17"/>
    </row>
    <row r="32" spans="1:19" s="18" customFormat="1" ht="20.100000000000001" customHeight="1" x14ac:dyDescent="0.3">
      <c r="A32" s="124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2"/>
      <c r="S32" s="17"/>
    </row>
    <row r="33" spans="1:19" s="18" customFormat="1" ht="20.100000000000001" customHeight="1" x14ac:dyDescent="0.3">
      <c r="A33" s="124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2"/>
      <c r="S33" s="17"/>
    </row>
    <row r="34" spans="1:19" s="18" customFormat="1" ht="20.100000000000001" customHeight="1" x14ac:dyDescent="0.3">
      <c r="A34" s="124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42"/>
      <c r="S34" s="17"/>
    </row>
    <row r="35" spans="1:19" s="18" customFormat="1" ht="20.100000000000001" customHeight="1" x14ac:dyDescent="0.3">
      <c r="A35" s="124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2"/>
      <c r="S35" s="17"/>
    </row>
    <row r="36" spans="1:19" s="18" customFormat="1" ht="20.100000000000001" customHeight="1" x14ac:dyDescent="0.3">
      <c r="A36" s="124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2"/>
      <c r="S36" s="17"/>
    </row>
    <row r="37" spans="1:19" s="18" customFormat="1" ht="20.100000000000001" customHeight="1" x14ac:dyDescent="0.3">
      <c r="A37" s="124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2"/>
      <c r="S37" s="17"/>
    </row>
    <row r="38" spans="1:19" s="18" customFormat="1" ht="20.100000000000001" customHeight="1" x14ac:dyDescent="0.3">
      <c r="A38" s="124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2"/>
      <c r="S38" s="17"/>
    </row>
    <row r="39" spans="1:19" s="18" customFormat="1" ht="20.100000000000001" customHeight="1" x14ac:dyDescent="0.3">
      <c r="A39" s="124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42"/>
      <c r="S39" s="17"/>
    </row>
    <row r="40" spans="1:19" s="18" customFormat="1" ht="20.100000000000001" customHeight="1" x14ac:dyDescent="0.3">
      <c r="A40" s="124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2"/>
      <c r="S40" s="17"/>
    </row>
    <row r="41" spans="1:19" s="18" customFormat="1" ht="20.100000000000001" customHeight="1" x14ac:dyDescent="0.3">
      <c r="A41" s="124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2"/>
      <c r="S41" s="17"/>
    </row>
    <row r="42" spans="1:19" s="18" customFormat="1" ht="20.100000000000001" customHeight="1" x14ac:dyDescent="0.3">
      <c r="A42" s="124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2"/>
      <c r="S42" s="17"/>
    </row>
    <row r="43" spans="1:19" s="18" customFormat="1" ht="20.100000000000001" customHeight="1" x14ac:dyDescent="0.3">
      <c r="A43" s="124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2"/>
      <c r="S43" s="17"/>
    </row>
    <row r="44" spans="1:19" s="18" customFormat="1" ht="20.100000000000001" customHeight="1" x14ac:dyDescent="0.3">
      <c r="A44" s="124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2"/>
      <c r="S44" s="17"/>
    </row>
    <row r="45" spans="1:19" s="18" customFormat="1" ht="20.100000000000001" customHeight="1" x14ac:dyDescent="0.3">
      <c r="A45" s="124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2"/>
      <c r="S45" s="17"/>
    </row>
    <row r="46" spans="1:19" s="18" customFormat="1" ht="20.100000000000001" customHeight="1" x14ac:dyDescent="0.3">
      <c r="A46" s="124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2"/>
      <c r="S46" s="17"/>
    </row>
    <row r="47" spans="1:19" s="18" customFormat="1" ht="20.100000000000001" customHeight="1" x14ac:dyDescent="0.3">
      <c r="A47" s="124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2"/>
      <c r="S47" s="17"/>
    </row>
    <row r="48" spans="1:19" s="18" customFormat="1" ht="20.100000000000001" customHeight="1" x14ac:dyDescent="0.3">
      <c r="A48" s="124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2"/>
      <c r="S48" s="17"/>
    </row>
    <row r="49" spans="1:19" s="18" customFormat="1" ht="20.100000000000001" customHeight="1" x14ac:dyDescent="0.3">
      <c r="A49" s="124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2"/>
      <c r="S49" s="17"/>
    </row>
    <row r="50" spans="1:19" s="18" customFormat="1" ht="20.100000000000001" customHeight="1" x14ac:dyDescent="0.3">
      <c r="A50" s="124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2"/>
      <c r="S50" s="17"/>
    </row>
    <row r="51" spans="1:19" s="18" customFormat="1" ht="20.100000000000001" customHeight="1" x14ac:dyDescent="0.3">
      <c r="A51" s="124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2"/>
      <c r="S51" s="17"/>
    </row>
    <row r="52" spans="1:19" s="18" customFormat="1" ht="20.100000000000001" customHeight="1" x14ac:dyDescent="0.3">
      <c r="A52" s="124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2"/>
      <c r="S52" s="17"/>
    </row>
    <row r="53" spans="1:19" s="18" customFormat="1" ht="20.100000000000001" customHeight="1" thickBot="1" x14ac:dyDescent="0.35">
      <c r="A53" s="124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2"/>
      <c r="S53" s="17"/>
    </row>
    <row r="54" spans="1:19" s="18" customFormat="1" ht="17.399999999999999" customHeight="1" x14ac:dyDescent="0.25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399999999999999" customHeight="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ColWidth="9.109375" defaultRowHeight="13.2" x14ac:dyDescent="0.25"/>
  <cols>
    <col min="1" max="1" width="9.6640625" style="8" customWidth="1" collapsed="1"/>
    <col min="2" max="2" width="8.6640625" style="8" customWidth="1" collapsed="1"/>
    <col min="3" max="3" width="22.6640625" style="8" customWidth="1" collapsed="1"/>
    <col min="4" max="4" width="6.6640625" style="8" customWidth="1" collapsed="1"/>
    <col min="5" max="5" width="7.6640625" style="8" customWidth="1" collapsed="1"/>
    <col min="6" max="6" width="6.33203125" style="8" customWidth="1" collapsed="1"/>
    <col min="7" max="7" width="5.6640625" style="8" customWidth="1" collapsed="1"/>
    <col min="8" max="8" width="7.6640625" style="8" customWidth="1" collapsed="1"/>
    <col min="9" max="9" width="6.33203125" style="8" customWidth="1" collapsed="1"/>
    <col min="10" max="10" width="5.6640625" style="8" customWidth="1" collapsed="1"/>
    <col min="11" max="15" width="7.6640625" style="8" customWidth="1" collapsed="1"/>
    <col min="16" max="18" width="6.6640625" style="8" customWidth="1" collapsed="1"/>
    <col min="19" max="19" width="10.6640625" style="8" customWidth="1" collapsed="1"/>
    <col min="20" max="20" width="6.6640625" style="8" customWidth="1" collapsed="1"/>
    <col min="21" max="21" width="7.6640625" style="8" customWidth="1" collapsed="1"/>
    <col min="22" max="22" width="10.6640625" style="8" customWidth="1" collapsed="1"/>
    <col min="23" max="23" width="6.6640625" style="8" customWidth="1" collapsed="1"/>
    <col min="24" max="24" width="7.6640625" style="8" customWidth="1" collapsed="1"/>
    <col min="25" max="25" width="7.5546875" style="8" bestFit="1" customWidth="1" collapsed="1"/>
    <col min="26" max="27" width="7.6640625" style="8" customWidth="1" collapsed="1"/>
    <col min="28" max="28" width="6.6640625" style="8" customWidth="1" collapsed="1"/>
    <col min="29" max="29" width="7.6640625" style="8" customWidth="1" collapsed="1"/>
    <col min="30" max="16384" width="9.109375" style="8" collapsed="1"/>
  </cols>
  <sheetData>
    <row r="1" spans="1:29" s="9" customFormat="1" ht="20.100000000000001" customHeight="1" x14ac:dyDescent="0.25">
      <c r="A1" s="243" t="s">
        <v>26</v>
      </c>
      <c r="B1" s="244"/>
      <c r="C1" s="273" t="str">
        <f>IF(ISBLANK(Cover!D3),"",Cover!D3)</f>
        <v>*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2" t="s">
        <v>28</v>
      </c>
      <c r="AA1" s="255" t="str">
        <f>IF(ISBLANK(Cover!O2),"",Cover!O2)</f>
        <v>*</v>
      </c>
      <c r="AB1" s="255"/>
      <c r="AC1" s="256"/>
    </row>
    <row r="2" spans="1:29" s="9" customFormat="1" ht="20.100000000000001" customHeight="1" thickBot="1" x14ac:dyDescent="0.3">
      <c r="A2" s="245" t="s">
        <v>27</v>
      </c>
      <c r="B2" s="246"/>
      <c r="C2" s="280" t="str">
        <f>IF(ISBLANK(Cover!D4),"",Cover!D4)</f>
        <v>*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5">
      <c r="A3" s="278" t="s">
        <v>46</v>
      </c>
      <c r="B3" s="278" t="s">
        <v>0</v>
      </c>
      <c r="C3" s="278" t="s">
        <v>1</v>
      </c>
      <c r="D3" s="265" t="s">
        <v>83</v>
      </c>
      <c r="E3" s="266"/>
      <c r="F3" s="263" t="s">
        <v>2</v>
      </c>
      <c r="G3" s="264"/>
      <c r="H3" s="264"/>
      <c r="I3" s="263" t="s">
        <v>5</v>
      </c>
      <c r="J3" s="264"/>
      <c r="K3" s="264"/>
      <c r="L3" s="263" t="s">
        <v>8</v>
      </c>
      <c r="M3" s="274"/>
      <c r="N3" s="23" t="s">
        <v>6</v>
      </c>
      <c r="O3" s="23" t="s">
        <v>22</v>
      </c>
      <c r="P3" s="277" t="s">
        <v>81</v>
      </c>
      <c r="Q3" s="264"/>
      <c r="R3" s="274"/>
      <c r="S3" s="263" t="s">
        <v>77</v>
      </c>
      <c r="T3" s="264"/>
      <c r="U3" s="264"/>
      <c r="V3" s="263" t="s">
        <v>78</v>
      </c>
      <c r="W3" s="264"/>
      <c r="X3" s="274"/>
      <c r="Y3" s="271" t="s">
        <v>82</v>
      </c>
      <c r="Z3" s="257" t="s">
        <v>11</v>
      </c>
      <c r="AA3" s="258"/>
      <c r="AB3" s="258"/>
      <c r="AC3" s="259"/>
    </row>
    <row r="4" spans="1:29" s="9" customFormat="1" ht="20.100000000000001" customHeight="1" thickBot="1" x14ac:dyDescent="0.3">
      <c r="A4" s="279"/>
      <c r="B4" s="279"/>
      <c r="C4" s="279"/>
      <c r="D4" s="267"/>
      <c r="E4" s="268"/>
      <c r="F4" s="60" t="s">
        <v>3</v>
      </c>
      <c r="G4" s="269" t="s">
        <v>4</v>
      </c>
      <c r="H4" s="270"/>
      <c r="I4" s="60" t="s">
        <v>3</v>
      </c>
      <c r="J4" s="269" t="s">
        <v>4</v>
      </c>
      <c r="K4" s="270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9" t="s">
        <v>79</v>
      </c>
      <c r="U4" s="270"/>
      <c r="V4" s="60" t="s">
        <v>80</v>
      </c>
      <c r="W4" s="269" t="s">
        <v>79</v>
      </c>
      <c r="X4" s="270"/>
      <c r="Y4" s="272"/>
      <c r="Z4" s="260"/>
      <c r="AA4" s="261"/>
      <c r="AB4" s="261"/>
      <c r="AC4" s="262"/>
    </row>
    <row r="5" spans="1:29" s="9" customFormat="1" ht="20.100000000000001" customHeight="1" x14ac:dyDescent="0.25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9"/>
      <c r="AA5" s="290"/>
      <c r="AB5" s="290"/>
      <c r="AC5" s="291"/>
    </row>
    <row r="6" spans="1:29" s="9" customFormat="1" ht="20.100000000000001" customHeight="1" x14ac:dyDescent="0.25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52"/>
      <c r="AA6" s="253"/>
      <c r="AB6" s="253"/>
      <c r="AC6" s="254"/>
    </row>
    <row r="7" spans="1:29" s="18" customFormat="1" ht="20.100000000000001" customHeight="1" x14ac:dyDescent="0.25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52"/>
      <c r="AA7" s="253"/>
      <c r="AB7" s="253"/>
      <c r="AC7" s="254"/>
    </row>
    <row r="8" spans="1:29" s="18" customFormat="1" ht="20.100000000000001" customHeight="1" x14ac:dyDescent="0.25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52"/>
      <c r="AA8" s="253"/>
      <c r="AB8" s="253"/>
      <c r="AC8" s="254"/>
    </row>
    <row r="9" spans="1:29" s="18" customFormat="1" ht="20.100000000000001" customHeight="1" x14ac:dyDescent="0.25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52"/>
      <c r="AA9" s="253"/>
      <c r="AB9" s="253"/>
      <c r="AC9" s="254"/>
    </row>
    <row r="10" spans="1:29" s="18" customFormat="1" ht="19.5" customHeight="1" x14ac:dyDescent="0.25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52"/>
      <c r="AA10" s="253"/>
      <c r="AB10" s="253"/>
      <c r="AC10" s="254"/>
    </row>
    <row r="11" spans="1:29" s="18" customFormat="1" ht="20.100000000000001" customHeight="1" x14ac:dyDescent="0.25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52"/>
      <c r="AA11" s="253"/>
      <c r="AB11" s="253"/>
      <c r="AC11" s="254"/>
    </row>
    <row r="12" spans="1:29" s="18" customFormat="1" ht="20.100000000000001" customHeight="1" x14ac:dyDescent="0.25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52"/>
      <c r="AA12" s="253"/>
      <c r="AB12" s="253"/>
      <c r="AC12" s="254"/>
    </row>
    <row r="13" spans="1:29" s="18" customFormat="1" ht="20.100000000000001" customHeight="1" x14ac:dyDescent="0.25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52"/>
      <c r="AA13" s="253"/>
      <c r="AB13" s="253"/>
      <c r="AC13" s="254"/>
    </row>
    <row r="14" spans="1:29" s="18" customFormat="1" ht="20.100000000000001" customHeight="1" x14ac:dyDescent="0.25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52"/>
      <c r="AA14" s="253"/>
      <c r="AB14" s="253"/>
      <c r="AC14" s="254"/>
    </row>
    <row r="15" spans="1:29" s="18" customFormat="1" ht="20.100000000000001" customHeight="1" x14ac:dyDescent="0.25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52"/>
      <c r="AA15" s="253"/>
      <c r="AB15" s="253"/>
      <c r="AC15" s="254"/>
    </row>
    <row r="16" spans="1:29" s="18" customFormat="1" ht="20.100000000000001" customHeight="1" x14ac:dyDescent="0.25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52"/>
      <c r="AA16" s="253"/>
      <c r="AB16" s="253"/>
      <c r="AC16" s="254"/>
    </row>
    <row r="17" spans="1:29" s="18" customFormat="1" ht="20.100000000000001" customHeight="1" x14ac:dyDescent="0.25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52"/>
      <c r="AA17" s="253"/>
      <c r="AB17" s="253"/>
      <c r="AC17" s="254"/>
    </row>
    <row r="18" spans="1:29" s="18" customFormat="1" ht="20.100000000000001" customHeight="1" x14ac:dyDescent="0.25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52"/>
      <c r="AA18" s="253"/>
      <c r="AB18" s="253"/>
      <c r="AC18" s="254"/>
    </row>
    <row r="19" spans="1:29" s="18" customFormat="1" ht="20.100000000000001" customHeight="1" x14ac:dyDescent="0.25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52"/>
      <c r="AA19" s="253"/>
      <c r="AB19" s="253"/>
      <c r="AC19" s="254"/>
    </row>
    <row r="20" spans="1:29" s="18" customFormat="1" ht="20.100000000000001" customHeight="1" x14ac:dyDescent="0.25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52"/>
      <c r="AA20" s="253"/>
      <c r="AB20" s="253"/>
      <c r="AC20" s="254"/>
    </row>
    <row r="21" spans="1:29" s="18" customFormat="1" ht="20.100000000000001" customHeight="1" x14ac:dyDescent="0.25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52"/>
      <c r="AA21" s="253"/>
      <c r="AB21" s="253"/>
      <c r="AC21" s="254"/>
    </row>
    <row r="22" spans="1:29" s="18" customFormat="1" ht="20.100000000000001" customHeight="1" x14ac:dyDescent="0.25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52"/>
      <c r="AA22" s="253"/>
      <c r="AB22" s="253"/>
      <c r="AC22" s="254"/>
    </row>
    <row r="23" spans="1:29" s="18" customFormat="1" ht="20.100000000000001" customHeight="1" x14ac:dyDescent="0.25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52"/>
      <c r="AA23" s="253"/>
      <c r="AB23" s="253"/>
      <c r="AC23" s="254"/>
    </row>
    <row r="24" spans="1:29" s="18" customFormat="1" ht="20.100000000000001" customHeight="1" x14ac:dyDescent="0.25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52"/>
      <c r="AA24" s="253"/>
      <c r="AB24" s="253"/>
      <c r="AC24" s="254"/>
    </row>
    <row r="25" spans="1:29" s="18" customFormat="1" ht="20.100000000000001" customHeight="1" x14ac:dyDescent="0.25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52"/>
      <c r="AA25" s="253"/>
      <c r="AB25" s="253"/>
      <c r="AC25" s="254"/>
    </row>
    <row r="26" spans="1:29" s="18" customFormat="1" ht="20.100000000000001" customHeight="1" x14ac:dyDescent="0.25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52"/>
      <c r="AA26" s="253"/>
      <c r="AB26" s="253"/>
      <c r="AC26" s="254"/>
    </row>
    <row r="27" spans="1:29" s="18" customFormat="1" ht="20.100000000000001" customHeight="1" x14ac:dyDescent="0.25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52"/>
      <c r="AA27" s="253"/>
      <c r="AB27" s="253"/>
      <c r="AC27" s="254"/>
    </row>
    <row r="28" spans="1:29" s="18" customFormat="1" ht="20.100000000000001" customHeight="1" x14ac:dyDescent="0.25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52"/>
      <c r="AA28" s="253"/>
      <c r="AB28" s="253"/>
      <c r="AC28" s="254"/>
    </row>
    <row r="29" spans="1:29" s="18" customFormat="1" ht="20.100000000000001" customHeight="1" x14ac:dyDescent="0.25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52"/>
      <c r="AA29" s="253"/>
      <c r="AB29" s="253"/>
      <c r="AC29" s="254"/>
    </row>
    <row r="30" spans="1:29" s="18" customFormat="1" ht="20.100000000000001" customHeight="1" x14ac:dyDescent="0.25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52"/>
      <c r="AA30" s="253"/>
      <c r="AB30" s="253"/>
      <c r="AC30" s="254"/>
    </row>
    <row r="31" spans="1:29" s="18" customFormat="1" ht="20.100000000000001" customHeight="1" x14ac:dyDescent="0.25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52"/>
      <c r="AA31" s="253"/>
      <c r="AB31" s="253"/>
      <c r="AC31" s="254"/>
    </row>
    <row r="32" spans="1:29" s="18" customFormat="1" ht="20.100000000000001" customHeight="1" x14ac:dyDescent="0.25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52"/>
      <c r="AA32" s="253"/>
      <c r="AB32" s="253"/>
      <c r="AC32" s="254"/>
    </row>
    <row r="33" spans="1:29" s="18" customFormat="1" ht="20.100000000000001" customHeight="1" x14ac:dyDescent="0.25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52"/>
      <c r="AA33" s="253"/>
      <c r="AB33" s="253"/>
      <c r="AC33" s="254"/>
    </row>
    <row r="34" spans="1:29" s="18" customFormat="1" ht="20.100000000000001" customHeight="1" x14ac:dyDescent="0.25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52"/>
      <c r="AA34" s="253"/>
      <c r="AB34" s="253"/>
      <c r="AC34" s="254"/>
    </row>
    <row r="35" spans="1:29" s="18" customFormat="1" ht="20.100000000000001" customHeight="1" x14ac:dyDescent="0.25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52"/>
      <c r="AA35" s="253"/>
      <c r="AB35" s="253"/>
      <c r="AC35" s="254"/>
    </row>
    <row r="36" spans="1:29" s="18" customFormat="1" ht="20.100000000000001" customHeight="1" x14ac:dyDescent="0.25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52"/>
      <c r="AA36" s="253"/>
      <c r="AB36" s="253"/>
      <c r="AC36" s="254"/>
    </row>
    <row r="37" spans="1:29" s="18" customFormat="1" ht="20.100000000000001" customHeight="1" x14ac:dyDescent="0.25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52"/>
      <c r="AA37" s="253"/>
      <c r="AB37" s="253"/>
      <c r="AC37" s="254"/>
    </row>
    <row r="38" spans="1:29" s="18" customFormat="1" ht="20.100000000000001" customHeight="1" x14ac:dyDescent="0.25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52"/>
      <c r="AA38" s="253"/>
      <c r="AB38" s="253"/>
      <c r="AC38" s="254"/>
    </row>
    <row r="39" spans="1:29" s="18" customFormat="1" ht="20.100000000000001" customHeight="1" x14ac:dyDescent="0.25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52"/>
      <c r="AA39" s="253"/>
      <c r="AB39" s="253"/>
      <c r="AC39" s="254"/>
    </row>
    <row r="40" spans="1:29" s="18" customFormat="1" ht="20.100000000000001" customHeight="1" x14ac:dyDescent="0.25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52"/>
      <c r="AA40" s="253"/>
      <c r="AB40" s="253"/>
      <c r="AC40" s="254"/>
    </row>
    <row r="41" spans="1:29" s="18" customFormat="1" ht="20.100000000000001" customHeight="1" thickBot="1" x14ac:dyDescent="0.3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52"/>
      <c r="AA41" s="253"/>
      <c r="AB41" s="253"/>
      <c r="AC41" s="254"/>
    </row>
    <row r="42" spans="1:29" s="18" customFormat="1" ht="20.100000000000001" customHeight="1" thickBot="1" x14ac:dyDescent="0.3">
      <c r="A42" s="73" t="s">
        <v>49</v>
      </c>
      <c r="B42" s="287">
        <f>SUM(B5:B41)</f>
        <v>0</v>
      </c>
      <c r="C42" s="288"/>
      <c r="D42" s="284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5"/>
      <c r="AB42" s="285"/>
      <c r="AC42" s="286"/>
    </row>
    <row r="43" spans="1:29" s="18" customFormat="1" ht="20.100000000000001" customHeight="1" x14ac:dyDescent="0.25">
      <c r="A43" s="163" t="s">
        <v>25</v>
      </c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6"/>
    </row>
    <row r="44" spans="1:29" s="18" customFormat="1" ht="20.100000000000001" customHeight="1" x14ac:dyDescent="0.25">
      <c r="A44" s="252"/>
      <c r="B44" s="253"/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C44" s="254"/>
    </row>
    <row r="45" spans="1:29" s="18" customFormat="1" ht="20.100000000000001" customHeight="1" thickBot="1" x14ac:dyDescent="0.3">
      <c r="A45" s="281"/>
      <c r="B45" s="282"/>
      <c r="C45" s="282"/>
      <c r="D45" s="282"/>
      <c r="E45" s="282"/>
      <c r="F45" s="282"/>
      <c r="G45" s="282"/>
      <c r="H45" s="282"/>
      <c r="I45" s="282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3"/>
    </row>
    <row r="46" spans="1:29" s="18" customFormat="1" ht="17.399999999999999" customHeight="1" x14ac:dyDescent="0.25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399999999999999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399999999999999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399999999999999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399999999999999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399999999999999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ColWidth="9.109375" defaultRowHeight="15" x14ac:dyDescent="0.25"/>
  <cols>
    <col min="1" max="2" width="10.6640625" style="45" customWidth="1" collapsed="1"/>
    <col min="3" max="3" width="8.6640625" style="45" customWidth="1" collapsed="1"/>
    <col min="4" max="5" width="10.33203125" style="45" customWidth="1" collapsed="1"/>
    <col min="6" max="6" width="18.6640625" style="46" customWidth="1" collapsed="1"/>
    <col min="7" max="7" width="3.33203125" style="46" customWidth="1" collapsed="1"/>
    <col min="8" max="9" width="10.6640625" style="45" customWidth="1" collapsed="1"/>
    <col min="10" max="10" width="8.6640625" style="45" customWidth="1" collapsed="1"/>
    <col min="11" max="12" width="10.33203125" style="45" customWidth="1" collapsed="1"/>
    <col min="13" max="13" width="18.6640625" style="45" customWidth="1" collapsed="1"/>
    <col min="14" max="16384" width="9.109375" style="45" collapsed="1"/>
  </cols>
  <sheetData>
    <row r="1" spans="1:13" ht="20.100000000000001" customHeight="1" x14ac:dyDescent="0.25">
      <c r="A1" s="309" t="s">
        <v>29</v>
      </c>
      <c r="B1" s="310"/>
      <c r="C1" s="306" t="str">
        <f ca="1">IF(ISBLANK(INDIRECT("Cover!D3")),"",INDIRECT("Cover!D3"))</f>
        <v>*</v>
      </c>
      <c r="D1" s="306"/>
      <c r="E1" s="306"/>
      <c r="F1" s="306"/>
      <c r="G1" s="306"/>
      <c r="H1" s="306"/>
      <c r="I1" s="306"/>
      <c r="J1" s="235" t="s">
        <v>19</v>
      </c>
      <c r="K1" s="297" t="str">
        <f ca="1">IF(ISBLANK(INDIRECT("Cover!O2")),"",INDIRECT("Cover!O2"))</f>
        <v>*</v>
      </c>
      <c r="L1" s="297"/>
      <c r="M1" s="298"/>
    </row>
    <row r="2" spans="1:13" ht="20.100000000000001" customHeight="1" thickBot="1" x14ac:dyDescent="0.3">
      <c r="A2" s="311" t="s">
        <v>30</v>
      </c>
      <c r="B2" s="312"/>
      <c r="C2" s="305" t="str">
        <f ca="1">IF(ISBLANK(INDIRECT("Cover!D4")),"",INDIRECT("Cover!D4"))</f>
        <v>*</v>
      </c>
      <c r="D2" s="305"/>
      <c r="E2" s="305"/>
      <c r="F2" s="305"/>
      <c r="G2" s="305"/>
      <c r="H2" s="305"/>
      <c r="I2" s="305"/>
      <c r="J2" s="236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5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302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5">
      <c r="A4" s="97"/>
      <c r="B4" s="98"/>
      <c r="C4" s="99"/>
      <c r="D4" s="100"/>
      <c r="E4" s="101"/>
      <c r="F4" s="102" t="str">
        <f>IF(ISBLANK(D4),"",D4*E4)</f>
        <v/>
      </c>
      <c r="G4" s="303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5">
      <c r="A5" s="25"/>
      <c r="B5" s="50"/>
      <c r="C5" s="51"/>
      <c r="D5" s="43"/>
      <c r="E5" s="52"/>
      <c r="F5" s="53" t="str">
        <f t="shared" ref="F5:F24" si="0">IF(ISBLANK(D5),"",D5*E5)</f>
        <v/>
      </c>
      <c r="G5" s="303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5">
      <c r="A6" s="25"/>
      <c r="B6" s="50"/>
      <c r="C6" s="51"/>
      <c r="D6" s="43"/>
      <c r="E6" s="52"/>
      <c r="F6" s="53" t="str">
        <f t="shared" si="0"/>
        <v/>
      </c>
      <c r="G6" s="303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5">
      <c r="A7" s="25"/>
      <c r="B7" s="50"/>
      <c r="C7" s="51"/>
      <c r="D7" s="43"/>
      <c r="E7" s="52"/>
      <c r="F7" s="53" t="str">
        <f t="shared" si="0"/>
        <v/>
      </c>
      <c r="G7" s="303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5">
      <c r="A8" s="25"/>
      <c r="B8" s="50"/>
      <c r="C8" s="51"/>
      <c r="D8" s="43"/>
      <c r="E8" s="52"/>
      <c r="F8" s="53" t="str">
        <f t="shared" si="0"/>
        <v/>
      </c>
      <c r="G8" s="303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5">
      <c r="A9" s="25"/>
      <c r="B9" s="50"/>
      <c r="C9" s="51"/>
      <c r="D9" s="43"/>
      <c r="E9" s="52"/>
      <c r="F9" s="53" t="str">
        <f t="shared" si="0"/>
        <v/>
      </c>
      <c r="G9" s="303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5">
      <c r="A10" s="25"/>
      <c r="B10" s="50"/>
      <c r="C10" s="51"/>
      <c r="D10" s="43"/>
      <c r="E10" s="52"/>
      <c r="F10" s="53" t="str">
        <f t="shared" si="0"/>
        <v/>
      </c>
      <c r="G10" s="303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5">
      <c r="A11" s="25"/>
      <c r="B11" s="50"/>
      <c r="C11" s="51"/>
      <c r="D11" s="43"/>
      <c r="E11" s="52"/>
      <c r="F11" s="53" t="str">
        <f t="shared" si="0"/>
        <v/>
      </c>
      <c r="G11" s="303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5">
      <c r="A12" s="25"/>
      <c r="B12" s="50"/>
      <c r="C12" s="51"/>
      <c r="D12" s="43"/>
      <c r="E12" s="52"/>
      <c r="F12" s="53" t="str">
        <f t="shared" si="0"/>
        <v/>
      </c>
      <c r="G12" s="303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5">
      <c r="A13" s="25"/>
      <c r="B13" s="50"/>
      <c r="C13" s="51"/>
      <c r="D13" s="43"/>
      <c r="E13" s="52"/>
      <c r="F13" s="53" t="str">
        <f t="shared" si="0"/>
        <v/>
      </c>
      <c r="G13" s="303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5">
      <c r="A14" s="25"/>
      <c r="B14" s="50"/>
      <c r="C14" s="51"/>
      <c r="D14" s="43"/>
      <c r="E14" s="52"/>
      <c r="F14" s="53" t="str">
        <f t="shared" si="0"/>
        <v/>
      </c>
      <c r="G14" s="303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5">
      <c r="A15" s="25"/>
      <c r="B15" s="50"/>
      <c r="C15" s="51"/>
      <c r="D15" s="43"/>
      <c r="E15" s="52"/>
      <c r="F15" s="53" t="str">
        <f t="shared" si="0"/>
        <v/>
      </c>
      <c r="G15" s="303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5">
      <c r="A16" s="25"/>
      <c r="B16" s="50"/>
      <c r="C16" s="51"/>
      <c r="D16" s="43"/>
      <c r="E16" s="52"/>
      <c r="F16" s="53" t="str">
        <f t="shared" si="0"/>
        <v/>
      </c>
      <c r="G16" s="303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5">
      <c r="A17" s="25"/>
      <c r="B17" s="50"/>
      <c r="C17" s="51"/>
      <c r="D17" s="43"/>
      <c r="E17" s="52"/>
      <c r="F17" s="53" t="str">
        <f t="shared" si="0"/>
        <v/>
      </c>
      <c r="G17" s="303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5">
      <c r="A18" s="25"/>
      <c r="B18" s="50"/>
      <c r="C18" s="51"/>
      <c r="D18" s="43"/>
      <c r="E18" s="52"/>
      <c r="F18" s="53" t="str">
        <f t="shared" si="0"/>
        <v/>
      </c>
      <c r="G18" s="303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5">
      <c r="A19" s="25"/>
      <c r="B19" s="50"/>
      <c r="C19" s="51"/>
      <c r="D19" s="43"/>
      <c r="E19" s="52"/>
      <c r="F19" s="53" t="str">
        <f t="shared" si="0"/>
        <v/>
      </c>
      <c r="G19" s="303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5">
      <c r="A20" s="25"/>
      <c r="B20" s="50"/>
      <c r="C20" s="51"/>
      <c r="D20" s="43"/>
      <c r="E20" s="52"/>
      <c r="F20" s="53" t="str">
        <f t="shared" si="0"/>
        <v/>
      </c>
      <c r="G20" s="303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5">
      <c r="A21" s="25"/>
      <c r="B21" s="50"/>
      <c r="C21" s="51"/>
      <c r="D21" s="43"/>
      <c r="E21" s="52"/>
      <c r="F21" s="53" t="str">
        <f t="shared" si="0"/>
        <v/>
      </c>
      <c r="G21" s="303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5">
      <c r="A22" s="25"/>
      <c r="B22" s="50"/>
      <c r="C22" s="51"/>
      <c r="D22" s="43"/>
      <c r="E22" s="52"/>
      <c r="F22" s="53" t="str">
        <f t="shared" si="0"/>
        <v/>
      </c>
      <c r="G22" s="303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5">
      <c r="A23" s="25"/>
      <c r="B23" s="50"/>
      <c r="C23" s="51"/>
      <c r="D23" s="43"/>
      <c r="E23" s="52"/>
      <c r="F23" s="53" t="str">
        <f t="shared" si="0"/>
        <v/>
      </c>
      <c r="G23" s="303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3">
      <c r="A24" s="103"/>
      <c r="B24" s="104"/>
      <c r="C24" s="105"/>
      <c r="D24" s="106"/>
      <c r="E24" s="107"/>
      <c r="F24" s="108" t="str">
        <f t="shared" si="0"/>
        <v/>
      </c>
      <c r="G24" s="303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3">
      <c r="A25" s="292"/>
      <c r="B25" s="293"/>
      <c r="C25" s="294"/>
      <c r="D25" s="295" t="s">
        <v>49</v>
      </c>
      <c r="E25" s="296"/>
      <c r="F25" s="1">
        <f>ROUNDUP(SUM(F4:F24)*1.02,-1)</f>
        <v>0</v>
      </c>
      <c r="G25" s="303"/>
      <c r="H25" s="292"/>
      <c r="I25" s="293"/>
      <c r="J25" s="294"/>
      <c r="K25" s="295" t="s">
        <v>49</v>
      </c>
      <c r="L25" s="296"/>
      <c r="M25" s="1">
        <f>ROUNDUP(SUM(M4:M24)*1.02,-1)</f>
        <v>0</v>
      </c>
    </row>
    <row r="26" spans="1:13" ht="20.100000000000001" customHeight="1" x14ac:dyDescent="0.25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303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5">
      <c r="A27" s="25"/>
      <c r="B27" s="50"/>
      <c r="C27" s="51"/>
      <c r="D27" s="43"/>
      <c r="E27" s="52"/>
      <c r="F27" s="53" t="str">
        <f t="shared" si="2"/>
        <v/>
      </c>
      <c r="G27" s="303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5">
      <c r="A28" s="25"/>
      <c r="B28" s="50"/>
      <c r="C28" s="51"/>
      <c r="D28" s="43"/>
      <c r="E28" s="52"/>
      <c r="F28" s="53" t="str">
        <f t="shared" si="2"/>
        <v/>
      </c>
      <c r="G28" s="303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5">
      <c r="A29" s="25"/>
      <c r="B29" s="50"/>
      <c r="C29" s="51"/>
      <c r="D29" s="43"/>
      <c r="E29" s="52"/>
      <c r="F29" s="53" t="str">
        <f t="shared" si="2"/>
        <v/>
      </c>
      <c r="G29" s="303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5">
      <c r="A30" s="25"/>
      <c r="B30" s="50"/>
      <c r="C30" s="51"/>
      <c r="D30" s="43"/>
      <c r="E30" s="52"/>
      <c r="F30" s="53" t="str">
        <f t="shared" si="2"/>
        <v/>
      </c>
      <c r="G30" s="303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5">
      <c r="A31" s="25"/>
      <c r="B31" s="50"/>
      <c r="C31" s="51"/>
      <c r="D31" s="43"/>
      <c r="E31" s="52"/>
      <c r="F31" s="53" t="str">
        <f t="shared" si="2"/>
        <v/>
      </c>
      <c r="G31" s="303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5">
      <c r="A32" s="25"/>
      <c r="B32" s="50"/>
      <c r="C32" s="51"/>
      <c r="D32" s="43"/>
      <c r="E32" s="52"/>
      <c r="F32" s="53" t="str">
        <f t="shared" si="2"/>
        <v/>
      </c>
      <c r="G32" s="303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5">
      <c r="A33" s="25"/>
      <c r="B33" s="50"/>
      <c r="C33" s="51"/>
      <c r="D33" s="43"/>
      <c r="E33" s="52"/>
      <c r="F33" s="53" t="str">
        <f t="shared" si="2"/>
        <v/>
      </c>
      <c r="G33" s="303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5">
      <c r="A34" s="25"/>
      <c r="B34" s="50"/>
      <c r="C34" s="51"/>
      <c r="D34" s="43"/>
      <c r="E34" s="52"/>
      <c r="F34" s="53" t="str">
        <f t="shared" si="2"/>
        <v/>
      </c>
      <c r="G34" s="303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5">
      <c r="A35" s="25"/>
      <c r="B35" s="50"/>
      <c r="C35" s="51"/>
      <c r="D35" s="43"/>
      <c r="E35" s="52"/>
      <c r="F35" s="53" t="str">
        <f t="shared" si="2"/>
        <v/>
      </c>
      <c r="G35" s="303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5">
      <c r="A36" s="25"/>
      <c r="B36" s="50"/>
      <c r="C36" s="51"/>
      <c r="D36" s="43"/>
      <c r="E36" s="52"/>
      <c r="F36" s="53" t="str">
        <f t="shared" si="2"/>
        <v/>
      </c>
      <c r="G36" s="303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5">
      <c r="A37" s="25"/>
      <c r="B37" s="50"/>
      <c r="C37" s="51"/>
      <c r="D37" s="43"/>
      <c r="E37" s="52"/>
      <c r="F37" s="53" t="str">
        <f t="shared" si="2"/>
        <v/>
      </c>
      <c r="G37" s="303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5">
      <c r="A38" s="25"/>
      <c r="B38" s="50"/>
      <c r="C38" s="51"/>
      <c r="D38" s="43"/>
      <c r="E38" s="52"/>
      <c r="F38" s="53" t="str">
        <f t="shared" si="2"/>
        <v/>
      </c>
      <c r="G38" s="303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5">
      <c r="A39" s="25"/>
      <c r="B39" s="50"/>
      <c r="C39" s="51"/>
      <c r="D39" s="43"/>
      <c r="E39" s="52"/>
      <c r="F39" s="53" t="str">
        <f t="shared" si="2"/>
        <v/>
      </c>
      <c r="G39" s="303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5">
      <c r="A40" s="25"/>
      <c r="B40" s="50"/>
      <c r="C40" s="51"/>
      <c r="D40" s="43"/>
      <c r="E40" s="52"/>
      <c r="F40" s="53" t="str">
        <f t="shared" si="2"/>
        <v/>
      </c>
      <c r="G40" s="303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5">
      <c r="A41" s="25"/>
      <c r="B41" s="50"/>
      <c r="C41" s="51"/>
      <c r="D41" s="43"/>
      <c r="E41" s="52"/>
      <c r="F41" s="53" t="str">
        <f t="shared" si="2"/>
        <v/>
      </c>
      <c r="G41" s="303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5">
      <c r="A42" s="25"/>
      <c r="B42" s="50"/>
      <c r="C42" s="51"/>
      <c r="D42" s="43"/>
      <c r="E42" s="52"/>
      <c r="F42" s="53" t="str">
        <f t="shared" si="2"/>
        <v/>
      </c>
      <c r="G42" s="303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5">
      <c r="A43" s="25"/>
      <c r="B43" s="50"/>
      <c r="C43" s="51"/>
      <c r="D43" s="43"/>
      <c r="E43" s="52"/>
      <c r="F43" s="53" t="str">
        <f t="shared" si="2"/>
        <v/>
      </c>
      <c r="G43" s="303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5">
      <c r="A44" s="25"/>
      <c r="B44" s="50"/>
      <c r="C44" s="51"/>
      <c r="D44" s="43"/>
      <c r="E44" s="52"/>
      <c r="F44" s="53" t="str">
        <f t="shared" si="2"/>
        <v/>
      </c>
      <c r="G44" s="303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5">
      <c r="A45" s="25"/>
      <c r="B45" s="50"/>
      <c r="C45" s="51"/>
      <c r="D45" s="43"/>
      <c r="E45" s="52"/>
      <c r="F45" s="53" t="str">
        <f t="shared" si="2"/>
        <v/>
      </c>
      <c r="G45" s="303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3">
      <c r="A46" s="103"/>
      <c r="B46" s="104"/>
      <c r="C46" s="105"/>
      <c r="D46" s="106"/>
      <c r="E46" s="107"/>
      <c r="F46" s="108" t="str">
        <f t="shared" si="2"/>
        <v/>
      </c>
      <c r="G46" s="303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3">
      <c r="A47" s="292"/>
      <c r="B47" s="293"/>
      <c r="C47" s="294"/>
      <c r="D47" s="295" t="s">
        <v>49</v>
      </c>
      <c r="E47" s="296"/>
      <c r="F47" s="1">
        <f>ROUNDUP(SUM(F26:F46)*1.02,-1)</f>
        <v>0</v>
      </c>
      <c r="G47" s="303"/>
      <c r="H47" s="292"/>
      <c r="I47" s="293"/>
      <c r="J47" s="294"/>
      <c r="K47" s="295" t="s">
        <v>49</v>
      </c>
      <c r="L47" s="296"/>
      <c r="M47" s="1">
        <f>ROUNDUP(SUM(M26:M46)*1.02,-1)</f>
        <v>0</v>
      </c>
    </row>
    <row r="48" spans="1:13" ht="9.9" customHeight="1" thickBot="1" x14ac:dyDescent="0.3">
      <c r="A48" s="299"/>
      <c r="B48" s="300"/>
      <c r="C48" s="300"/>
      <c r="D48" s="300"/>
      <c r="E48" s="300"/>
      <c r="F48" s="301"/>
      <c r="G48" s="303"/>
      <c r="H48" s="299"/>
      <c r="I48" s="300"/>
      <c r="J48" s="300"/>
      <c r="K48" s="300"/>
      <c r="L48" s="300"/>
      <c r="M48" s="301"/>
    </row>
    <row r="49" spans="1:13" ht="20.100000000000001" customHeight="1" thickBot="1" x14ac:dyDescent="0.35">
      <c r="A49" s="307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303"/>
      <c r="H49" s="307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3">
      <c r="A50" s="308"/>
      <c r="B50" s="54"/>
      <c r="C50" s="3"/>
      <c r="D50" s="55"/>
      <c r="E50" s="56"/>
      <c r="F50" s="57" t="str">
        <f>IF(ISBLANK(D50),"",ROUNDUP((D50*E50)*0.5*1.02,-1))</f>
        <v/>
      </c>
      <c r="G50" s="304"/>
      <c r="H50" s="308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K25:L25"/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ColWidth="9.109375" defaultRowHeight="15" x14ac:dyDescent="0.25"/>
  <cols>
    <col min="1" max="3" width="10.6640625" style="8" customWidth="1" collapsed="1"/>
    <col min="4" max="4" width="5.6640625" style="8" customWidth="1" collapsed="1"/>
    <col min="5" max="5" width="8.6640625" style="8" customWidth="1" collapsed="1"/>
    <col min="6" max="6" width="5.6640625" style="8" customWidth="1" collapsed="1"/>
    <col min="7" max="7" width="8.6640625" style="8" customWidth="1" collapsed="1"/>
    <col min="8" max="8" width="14.6640625" style="18" customWidth="1" collapsed="1"/>
    <col min="9" max="9" width="3.33203125" style="18" customWidth="1" collapsed="1"/>
    <col min="10" max="10" width="10.6640625" style="8" customWidth="1" collapsed="1"/>
    <col min="11" max="12" width="9.6640625" style="8" customWidth="1" collapsed="1"/>
    <col min="13" max="13" width="5.6640625" style="8" customWidth="1" collapsed="1"/>
    <col min="14" max="14" width="8.6640625" style="8" customWidth="1" collapsed="1"/>
    <col min="15" max="15" width="5.6640625" style="8" customWidth="1" collapsed="1"/>
    <col min="16" max="16" width="8.6640625" style="8" customWidth="1" collapsed="1"/>
    <col min="17" max="17" width="14.6640625" style="8" customWidth="1" collapsed="1"/>
    <col min="18" max="18" width="4.44140625" style="8" customWidth="1" collapsed="1"/>
    <col min="19" max="19" width="6.6640625" style="16" customWidth="1" collapsed="1"/>
    <col min="20" max="20" width="8.33203125" style="16" customWidth="1" collapsed="1"/>
    <col min="21" max="21" width="6.6640625" style="8" customWidth="1" collapsed="1"/>
    <col min="22" max="22" width="6.6640625" style="16" customWidth="1" collapsed="1"/>
    <col min="23" max="23" width="8.33203125" style="16" customWidth="1" collapsed="1"/>
    <col min="24" max="24" width="6.6640625" style="8" customWidth="1" collapsed="1"/>
    <col min="25" max="16384" width="9.109375" style="8" collapsed="1"/>
  </cols>
  <sheetData>
    <row r="1" spans="1:24" ht="20.100000000000001" customHeight="1" thickBot="1" x14ac:dyDescent="0.3">
      <c r="A1" s="243" t="s">
        <v>29</v>
      </c>
      <c r="B1" s="244"/>
      <c r="C1" s="273" t="str">
        <f ca="1">IF(ISBLANK(INDIRECT("Cover!D3")),"",INDIRECT("Cover!D3"))</f>
        <v>*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2" t="s">
        <v>19</v>
      </c>
      <c r="O1" s="255" t="str">
        <f ca="1">IF(ISBLANK(INDIRECT("Cover!O2")),"",INDIRECT("Cover!O2"))</f>
        <v>*</v>
      </c>
      <c r="P1" s="255"/>
      <c r="Q1" s="256"/>
      <c r="S1" s="330"/>
      <c r="T1" s="331"/>
      <c r="U1" s="331"/>
      <c r="V1" s="331"/>
      <c r="W1" s="331"/>
      <c r="X1" s="331"/>
    </row>
    <row r="2" spans="1:24" ht="20.100000000000001" customHeight="1" thickBot="1" x14ac:dyDescent="0.3">
      <c r="A2" s="245" t="s">
        <v>30</v>
      </c>
      <c r="B2" s="246"/>
      <c r="C2" s="324" t="str">
        <f ca="1">IF(ISBLANK(INDIRECT("Cover!D4")),"",INDIRECT("Cover!D4"))</f>
        <v>*</v>
      </c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32" t="s">
        <v>90</v>
      </c>
      <c r="T2" s="333"/>
      <c r="U2" s="333"/>
      <c r="V2" s="333"/>
      <c r="W2" s="333"/>
      <c r="X2" s="334"/>
    </row>
    <row r="3" spans="1:24" ht="20.100000000000001" customHeight="1" thickBot="1" x14ac:dyDescent="0.35">
      <c r="A3" s="34" t="s">
        <v>15</v>
      </c>
      <c r="B3" s="328" t="s">
        <v>16</v>
      </c>
      <c r="C3" s="329"/>
      <c r="D3" s="34"/>
      <c r="E3" s="328" t="s">
        <v>17</v>
      </c>
      <c r="F3" s="329"/>
      <c r="G3" s="34" t="s">
        <v>4</v>
      </c>
      <c r="H3" s="34" t="s">
        <v>18</v>
      </c>
      <c r="I3" s="325"/>
      <c r="J3" s="34" t="s">
        <v>15</v>
      </c>
      <c r="K3" s="328" t="s">
        <v>16</v>
      </c>
      <c r="L3" s="329"/>
      <c r="M3" s="34"/>
      <c r="N3" s="328" t="s">
        <v>17</v>
      </c>
      <c r="O3" s="329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5">
      <c r="A4" s="110"/>
      <c r="B4" s="317"/>
      <c r="C4" s="318"/>
      <c r="D4" s="111"/>
      <c r="E4" s="84"/>
      <c r="F4" s="112"/>
      <c r="G4" s="113"/>
      <c r="H4" s="114" t="str">
        <f>IF(ISBLANK(E4),"",IF(D4="X",((E4+(F4/12))*G4)/100*0.5,((E4+(F4/12))*G4)/100))</f>
        <v/>
      </c>
      <c r="I4" s="326"/>
      <c r="J4" s="110"/>
      <c r="K4" s="317"/>
      <c r="L4" s="318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5">
      <c r="A5" s="39"/>
      <c r="B5" s="313"/>
      <c r="C5" s="314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26"/>
      <c r="J5" s="39"/>
      <c r="K5" s="313"/>
      <c r="L5" s="314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5">
      <c r="A6" s="39"/>
      <c r="B6" s="313"/>
      <c r="C6" s="314"/>
      <c r="D6" s="40"/>
      <c r="E6" s="41"/>
      <c r="F6" s="42"/>
      <c r="G6" s="109"/>
      <c r="H6" s="44" t="str">
        <f t="shared" si="0"/>
        <v/>
      </c>
      <c r="I6" s="326"/>
      <c r="J6" s="39"/>
      <c r="K6" s="313"/>
      <c r="L6" s="314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5">
      <c r="A7" s="39"/>
      <c r="B7" s="313"/>
      <c r="C7" s="314"/>
      <c r="D7" s="40"/>
      <c r="E7" s="41"/>
      <c r="F7" s="42"/>
      <c r="G7" s="109"/>
      <c r="H7" s="44" t="str">
        <f t="shared" si="0"/>
        <v/>
      </c>
      <c r="I7" s="326"/>
      <c r="J7" s="39"/>
      <c r="K7" s="313"/>
      <c r="L7" s="314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5">
      <c r="A8" s="39"/>
      <c r="B8" s="313"/>
      <c r="C8" s="314"/>
      <c r="D8" s="40"/>
      <c r="E8" s="41"/>
      <c r="F8" s="42"/>
      <c r="G8" s="109"/>
      <c r="H8" s="44" t="str">
        <f t="shared" si="0"/>
        <v/>
      </c>
      <c r="I8" s="326"/>
      <c r="J8" s="39"/>
      <c r="K8" s="313"/>
      <c r="L8" s="314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3">
      <c r="A9" s="39"/>
      <c r="B9" s="313"/>
      <c r="C9" s="314"/>
      <c r="D9" s="40"/>
      <c r="E9" s="41"/>
      <c r="F9" s="42"/>
      <c r="G9" s="109"/>
      <c r="H9" s="44" t="str">
        <f t="shared" si="0"/>
        <v/>
      </c>
      <c r="I9" s="326"/>
      <c r="J9" s="39"/>
      <c r="K9" s="313"/>
      <c r="L9" s="314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5">
      <c r="A10" s="39"/>
      <c r="B10" s="313"/>
      <c r="C10" s="314"/>
      <c r="D10" s="40"/>
      <c r="E10" s="41"/>
      <c r="F10" s="42"/>
      <c r="G10" s="109"/>
      <c r="H10" s="44" t="str">
        <f t="shared" si="0"/>
        <v/>
      </c>
      <c r="I10" s="326"/>
      <c r="J10" s="39"/>
      <c r="K10" s="313"/>
      <c r="L10" s="314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5">
      <c r="A11" s="39"/>
      <c r="B11" s="313"/>
      <c r="C11" s="314"/>
      <c r="D11" s="40"/>
      <c r="E11" s="41"/>
      <c r="F11" s="42"/>
      <c r="G11" s="109"/>
      <c r="H11" s="44" t="str">
        <f t="shared" si="0"/>
        <v/>
      </c>
      <c r="I11" s="326"/>
      <c r="J11" s="39"/>
      <c r="K11" s="313"/>
      <c r="L11" s="314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5">
      <c r="A12" s="39"/>
      <c r="B12" s="313"/>
      <c r="C12" s="314"/>
      <c r="D12" s="40"/>
      <c r="E12" s="41"/>
      <c r="F12" s="42"/>
      <c r="G12" s="109"/>
      <c r="H12" s="44" t="str">
        <f t="shared" si="0"/>
        <v/>
      </c>
      <c r="I12" s="326"/>
      <c r="J12" s="39"/>
      <c r="K12" s="313"/>
      <c r="L12" s="314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5">
      <c r="A13" s="39"/>
      <c r="B13" s="313"/>
      <c r="C13" s="314"/>
      <c r="D13" s="40"/>
      <c r="E13" s="41"/>
      <c r="F13" s="42"/>
      <c r="G13" s="109"/>
      <c r="H13" s="44" t="str">
        <f t="shared" si="0"/>
        <v/>
      </c>
      <c r="I13" s="326"/>
      <c r="J13" s="39"/>
      <c r="K13" s="313"/>
      <c r="L13" s="314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5">
      <c r="A14" s="39"/>
      <c r="B14" s="313"/>
      <c r="C14" s="314"/>
      <c r="D14" s="40"/>
      <c r="E14" s="41"/>
      <c r="F14" s="42"/>
      <c r="G14" s="109"/>
      <c r="H14" s="44" t="str">
        <f t="shared" si="0"/>
        <v/>
      </c>
      <c r="I14" s="326"/>
      <c r="J14" s="39"/>
      <c r="K14" s="313"/>
      <c r="L14" s="314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5">
      <c r="A15" s="39"/>
      <c r="B15" s="313"/>
      <c r="C15" s="314"/>
      <c r="D15" s="40"/>
      <c r="E15" s="41"/>
      <c r="F15" s="42"/>
      <c r="G15" s="109"/>
      <c r="H15" s="44" t="str">
        <f t="shared" si="0"/>
        <v/>
      </c>
      <c r="I15" s="326"/>
      <c r="J15" s="39"/>
      <c r="K15" s="313"/>
      <c r="L15" s="314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5">
      <c r="A16" s="39"/>
      <c r="B16" s="313"/>
      <c r="C16" s="314"/>
      <c r="D16" s="40"/>
      <c r="E16" s="41"/>
      <c r="F16" s="42"/>
      <c r="G16" s="109"/>
      <c r="H16" s="44" t="str">
        <f t="shared" si="0"/>
        <v/>
      </c>
      <c r="I16" s="326"/>
      <c r="J16" s="39"/>
      <c r="K16" s="313"/>
      <c r="L16" s="314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5">
      <c r="A17" s="39"/>
      <c r="B17" s="313"/>
      <c r="C17" s="314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26"/>
      <c r="J17" s="39"/>
      <c r="K17" s="313"/>
      <c r="L17" s="314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5">
      <c r="A18" s="39"/>
      <c r="B18" s="313"/>
      <c r="C18" s="314"/>
      <c r="D18" s="40"/>
      <c r="E18" s="41"/>
      <c r="F18" s="42"/>
      <c r="G18" s="109"/>
      <c r="H18" s="44" t="str">
        <f t="shared" si="2"/>
        <v/>
      </c>
      <c r="I18" s="326"/>
      <c r="J18" s="39"/>
      <c r="K18" s="313"/>
      <c r="L18" s="314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5">
      <c r="A19" s="39"/>
      <c r="B19" s="313"/>
      <c r="C19" s="314"/>
      <c r="D19" s="40"/>
      <c r="E19" s="41"/>
      <c r="F19" s="42"/>
      <c r="G19" s="109"/>
      <c r="H19" s="44" t="str">
        <f t="shared" si="2"/>
        <v/>
      </c>
      <c r="I19" s="326"/>
      <c r="J19" s="39"/>
      <c r="K19" s="313"/>
      <c r="L19" s="314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5">
      <c r="A20" s="39"/>
      <c r="B20" s="313"/>
      <c r="C20" s="314"/>
      <c r="D20" s="40"/>
      <c r="E20" s="41"/>
      <c r="F20" s="42"/>
      <c r="G20" s="109"/>
      <c r="H20" s="44" t="str">
        <f t="shared" si="2"/>
        <v/>
      </c>
      <c r="I20" s="326"/>
      <c r="J20" s="39"/>
      <c r="K20" s="313"/>
      <c r="L20" s="314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5">
      <c r="A21" s="39"/>
      <c r="B21" s="313"/>
      <c r="C21" s="314"/>
      <c r="D21" s="40"/>
      <c r="E21" s="41"/>
      <c r="F21" s="42"/>
      <c r="G21" s="109"/>
      <c r="H21" s="44" t="str">
        <f t="shared" si="2"/>
        <v/>
      </c>
      <c r="I21" s="326"/>
      <c r="J21" s="39"/>
      <c r="K21" s="313"/>
      <c r="L21" s="314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5">
      <c r="A22" s="39"/>
      <c r="B22" s="313"/>
      <c r="C22" s="314"/>
      <c r="D22" s="40"/>
      <c r="E22" s="41"/>
      <c r="F22" s="42"/>
      <c r="G22" s="109"/>
      <c r="H22" s="44" t="str">
        <f t="shared" si="2"/>
        <v/>
      </c>
      <c r="I22" s="326"/>
      <c r="J22" s="39"/>
      <c r="K22" s="313"/>
      <c r="L22" s="314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5">
      <c r="A23" s="39"/>
      <c r="B23" s="313"/>
      <c r="C23" s="314"/>
      <c r="D23" s="40"/>
      <c r="E23" s="41"/>
      <c r="F23" s="42"/>
      <c r="G23" s="109"/>
      <c r="H23" s="44" t="str">
        <f t="shared" si="2"/>
        <v/>
      </c>
      <c r="I23" s="326"/>
      <c r="J23" s="39"/>
      <c r="K23" s="313"/>
      <c r="L23" s="314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5">
      <c r="A24" s="39"/>
      <c r="B24" s="313"/>
      <c r="C24" s="314"/>
      <c r="D24" s="40"/>
      <c r="E24" s="41"/>
      <c r="F24" s="42"/>
      <c r="G24" s="109"/>
      <c r="H24" s="44" t="str">
        <f t="shared" si="2"/>
        <v/>
      </c>
      <c r="I24" s="326"/>
      <c r="J24" s="39"/>
      <c r="K24" s="313"/>
      <c r="L24" s="314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5">
      <c r="A25" s="39"/>
      <c r="B25" s="313"/>
      <c r="C25" s="314"/>
      <c r="D25" s="40"/>
      <c r="E25" s="41"/>
      <c r="F25" s="42"/>
      <c r="G25" s="109"/>
      <c r="H25" s="44" t="str">
        <f t="shared" si="0"/>
        <v/>
      </c>
      <c r="I25" s="326"/>
      <c r="J25" s="39"/>
      <c r="K25" s="313"/>
      <c r="L25" s="314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5">
      <c r="A26" s="39"/>
      <c r="B26" s="313"/>
      <c r="C26" s="314"/>
      <c r="D26" s="40"/>
      <c r="E26" s="41"/>
      <c r="F26" s="42"/>
      <c r="G26" s="109"/>
      <c r="H26" s="44" t="str">
        <f t="shared" si="0"/>
        <v/>
      </c>
      <c r="I26" s="326"/>
      <c r="J26" s="39"/>
      <c r="K26" s="313"/>
      <c r="L26" s="314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3">
      <c r="A27" s="115"/>
      <c r="B27" s="315"/>
      <c r="C27" s="316"/>
      <c r="D27" s="116"/>
      <c r="E27" s="92"/>
      <c r="F27" s="117"/>
      <c r="G27" s="118"/>
      <c r="H27" s="119" t="str">
        <f t="shared" si="0"/>
        <v/>
      </c>
      <c r="I27" s="326"/>
      <c r="J27" s="115"/>
      <c r="K27" s="315"/>
      <c r="L27" s="316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3">
      <c r="A28" s="321"/>
      <c r="B28" s="322"/>
      <c r="C28" s="322"/>
      <c r="D28" s="323"/>
      <c r="E28" s="319" t="s">
        <v>49</v>
      </c>
      <c r="F28" s="320"/>
      <c r="G28" s="320"/>
      <c r="H28" s="5">
        <f>ROUNDUP(SUM(H4:H27)*U5,0)</f>
        <v>0</v>
      </c>
      <c r="I28" s="326"/>
      <c r="J28" s="321"/>
      <c r="K28" s="322"/>
      <c r="L28" s="322"/>
      <c r="M28" s="323"/>
      <c r="N28" s="319" t="s">
        <v>49</v>
      </c>
      <c r="O28" s="320"/>
      <c r="P28" s="320"/>
      <c r="Q28" s="5">
        <f>ROUNDUP(SUM(Q4:Q27)*X5,0)</f>
        <v>0</v>
      </c>
    </row>
    <row r="29" spans="1:17" ht="20.100000000000001" customHeight="1" x14ac:dyDescent="0.25">
      <c r="A29" s="110"/>
      <c r="B29" s="317"/>
      <c r="C29" s="318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26"/>
      <c r="J29" s="110"/>
      <c r="K29" s="317"/>
      <c r="L29" s="318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5">
      <c r="A30" s="39"/>
      <c r="B30" s="313"/>
      <c r="C30" s="314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26"/>
      <c r="J30" s="39"/>
      <c r="K30" s="313"/>
      <c r="L30" s="314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5">
      <c r="A31" s="39"/>
      <c r="B31" s="313"/>
      <c r="C31" s="314"/>
      <c r="D31" s="40"/>
      <c r="E31" s="41"/>
      <c r="F31" s="42"/>
      <c r="G31" s="109"/>
      <c r="H31" s="44" t="str">
        <f t="shared" si="4"/>
        <v/>
      </c>
      <c r="I31" s="326"/>
      <c r="J31" s="39"/>
      <c r="K31" s="313"/>
      <c r="L31" s="314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5">
      <c r="A32" s="39"/>
      <c r="B32" s="313"/>
      <c r="C32" s="314"/>
      <c r="D32" s="40"/>
      <c r="E32" s="41"/>
      <c r="F32" s="42"/>
      <c r="G32" s="109"/>
      <c r="H32" s="44" t="str">
        <f t="shared" si="4"/>
        <v/>
      </c>
      <c r="I32" s="326"/>
      <c r="J32" s="39"/>
      <c r="K32" s="313"/>
      <c r="L32" s="314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5">
      <c r="A33" s="39"/>
      <c r="B33" s="313"/>
      <c r="C33" s="314"/>
      <c r="D33" s="40"/>
      <c r="E33" s="41"/>
      <c r="F33" s="42"/>
      <c r="G33" s="109"/>
      <c r="H33" s="44" t="str">
        <f t="shared" si="4"/>
        <v/>
      </c>
      <c r="I33" s="326"/>
      <c r="J33" s="39"/>
      <c r="K33" s="313"/>
      <c r="L33" s="314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5">
      <c r="A34" s="39"/>
      <c r="B34" s="313"/>
      <c r="C34" s="314"/>
      <c r="D34" s="40"/>
      <c r="E34" s="41"/>
      <c r="F34" s="42"/>
      <c r="G34" s="109"/>
      <c r="H34" s="44" t="str">
        <f t="shared" si="4"/>
        <v/>
      </c>
      <c r="I34" s="326"/>
      <c r="J34" s="39"/>
      <c r="K34" s="313"/>
      <c r="L34" s="314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5">
      <c r="A35" s="39"/>
      <c r="B35" s="313"/>
      <c r="C35" s="314"/>
      <c r="D35" s="40"/>
      <c r="E35" s="41"/>
      <c r="F35" s="42"/>
      <c r="G35" s="109"/>
      <c r="H35" s="44" t="str">
        <f t="shared" si="4"/>
        <v/>
      </c>
      <c r="I35" s="326"/>
      <c r="J35" s="39"/>
      <c r="K35" s="313"/>
      <c r="L35" s="314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5">
      <c r="A36" s="39"/>
      <c r="B36" s="313"/>
      <c r="C36" s="314"/>
      <c r="D36" s="40"/>
      <c r="E36" s="41"/>
      <c r="F36" s="42"/>
      <c r="G36" s="109"/>
      <c r="H36" s="44" t="str">
        <f t="shared" si="4"/>
        <v/>
      </c>
      <c r="I36" s="326"/>
      <c r="J36" s="39"/>
      <c r="K36" s="313"/>
      <c r="L36" s="314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5">
      <c r="A37" s="39"/>
      <c r="B37" s="313"/>
      <c r="C37" s="314"/>
      <c r="D37" s="40"/>
      <c r="E37" s="41"/>
      <c r="F37" s="42"/>
      <c r="G37" s="109"/>
      <c r="H37" s="44" t="str">
        <f t="shared" si="4"/>
        <v/>
      </c>
      <c r="I37" s="326"/>
      <c r="J37" s="39"/>
      <c r="K37" s="313"/>
      <c r="L37" s="314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5">
      <c r="A38" s="39"/>
      <c r="B38" s="313"/>
      <c r="C38" s="314"/>
      <c r="D38" s="40"/>
      <c r="E38" s="41"/>
      <c r="F38" s="42"/>
      <c r="G38" s="109"/>
      <c r="H38" s="44" t="str">
        <f t="shared" si="4"/>
        <v/>
      </c>
      <c r="I38" s="326"/>
      <c r="J38" s="39"/>
      <c r="K38" s="313"/>
      <c r="L38" s="314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5">
      <c r="A39" s="39"/>
      <c r="B39" s="313"/>
      <c r="C39" s="314"/>
      <c r="D39" s="40"/>
      <c r="E39" s="41"/>
      <c r="F39" s="42"/>
      <c r="G39" s="109"/>
      <c r="H39" s="44" t="str">
        <f t="shared" si="4"/>
        <v/>
      </c>
      <c r="I39" s="326"/>
      <c r="J39" s="39"/>
      <c r="K39" s="313"/>
      <c r="L39" s="314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5">
      <c r="A40" s="39"/>
      <c r="B40" s="313"/>
      <c r="C40" s="314"/>
      <c r="D40" s="40"/>
      <c r="E40" s="41"/>
      <c r="F40" s="42"/>
      <c r="G40" s="109"/>
      <c r="H40" s="44" t="str">
        <f t="shared" si="4"/>
        <v/>
      </c>
      <c r="I40" s="326"/>
      <c r="J40" s="39"/>
      <c r="K40" s="313"/>
      <c r="L40" s="314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5">
      <c r="A41" s="39"/>
      <c r="B41" s="313"/>
      <c r="C41" s="314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26"/>
      <c r="J41" s="39"/>
      <c r="K41" s="313"/>
      <c r="L41" s="314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5">
      <c r="A42" s="39"/>
      <c r="B42" s="313"/>
      <c r="C42" s="314"/>
      <c r="D42" s="40"/>
      <c r="E42" s="41"/>
      <c r="F42" s="42"/>
      <c r="G42" s="109"/>
      <c r="H42" s="44" t="str">
        <f t="shared" si="6"/>
        <v/>
      </c>
      <c r="I42" s="326"/>
      <c r="J42" s="39"/>
      <c r="K42" s="313"/>
      <c r="L42" s="314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5">
      <c r="A43" s="39"/>
      <c r="B43" s="313"/>
      <c r="C43" s="314"/>
      <c r="D43" s="40"/>
      <c r="E43" s="41"/>
      <c r="F43" s="42"/>
      <c r="G43" s="109"/>
      <c r="H43" s="44" t="str">
        <f t="shared" si="6"/>
        <v/>
      </c>
      <c r="I43" s="326"/>
      <c r="J43" s="39"/>
      <c r="K43" s="313"/>
      <c r="L43" s="314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5">
      <c r="A44" s="39"/>
      <c r="B44" s="313"/>
      <c r="C44" s="314"/>
      <c r="D44" s="40"/>
      <c r="E44" s="41"/>
      <c r="F44" s="42"/>
      <c r="G44" s="109"/>
      <c r="H44" s="44" t="str">
        <f t="shared" si="6"/>
        <v/>
      </c>
      <c r="I44" s="326"/>
      <c r="J44" s="39"/>
      <c r="K44" s="313"/>
      <c r="L44" s="314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5">
      <c r="A45" s="39"/>
      <c r="B45" s="313"/>
      <c r="C45" s="314"/>
      <c r="D45" s="40"/>
      <c r="E45" s="41"/>
      <c r="F45" s="42"/>
      <c r="G45" s="109"/>
      <c r="H45" s="44" t="str">
        <f t="shared" si="6"/>
        <v/>
      </c>
      <c r="I45" s="326"/>
      <c r="J45" s="39"/>
      <c r="K45" s="313"/>
      <c r="L45" s="314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5">
      <c r="A46" s="39"/>
      <c r="B46" s="313"/>
      <c r="C46" s="314"/>
      <c r="D46" s="40"/>
      <c r="E46" s="41"/>
      <c r="F46" s="42"/>
      <c r="G46" s="109"/>
      <c r="H46" s="44" t="str">
        <f t="shared" si="6"/>
        <v/>
      </c>
      <c r="I46" s="326"/>
      <c r="J46" s="39"/>
      <c r="K46" s="313"/>
      <c r="L46" s="314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5">
      <c r="A47" s="39"/>
      <c r="B47" s="313"/>
      <c r="C47" s="314"/>
      <c r="D47" s="40"/>
      <c r="E47" s="41"/>
      <c r="F47" s="42"/>
      <c r="G47" s="109"/>
      <c r="H47" s="44" t="str">
        <f t="shared" si="6"/>
        <v/>
      </c>
      <c r="I47" s="326"/>
      <c r="J47" s="39"/>
      <c r="K47" s="313"/>
      <c r="L47" s="314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5">
      <c r="A48" s="39"/>
      <c r="B48" s="313"/>
      <c r="C48" s="314"/>
      <c r="D48" s="40"/>
      <c r="E48" s="41"/>
      <c r="F48" s="42"/>
      <c r="G48" s="109"/>
      <c r="H48" s="44" t="str">
        <f t="shared" si="6"/>
        <v/>
      </c>
      <c r="I48" s="326"/>
      <c r="J48" s="39"/>
      <c r="K48" s="313"/>
      <c r="L48" s="314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5">
      <c r="A49" s="39"/>
      <c r="B49" s="313"/>
      <c r="C49" s="314"/>
      <c r="D49" s="40"/>
      <c r="E49" s="41"/>
      <c r="F49" s="42"/>
      <c r="G49" s="109"/>
      <c r="H49" s="44" t="str">
        <f t="shared" si="6"/>
        <v/>
      </c>
      <c r="I49" s="326"/>
      <c r="J49" s="39"/>
      <c r="K49" s="313"/>
      <c r="L49" s="314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5">
      <c r="A50" s="39"/>
      <c r="B50" s="313"/>
      <c r="C50" s="314"/>
      <c r="D50" s="40"/>
      <c r="E50" s="41"/>
      <c r="F50" s="42"/>
      <c r="G50" s="109"/>
      <c r="H50" s="44" t="str">
        <f t="shared" si="6"/>
        <v/>
      </c>
      <c r="I50" s="326"/>
      <c r="J50" s="39"/>
      <c r="K50" s="313"/>
      <c r="L50" s="314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5">
      <c r="A51" s="39"/>
      <c r="B51" s="313"/>
      <c r="C51" s="314"/>
      <c r="D51" s="40"/>
      <c r="E51" s="41"/>
      <c r="F51" s="42"/>
      <c r="G51" s="109"/>
      <c r="H51" s="44" t="str">
        <f t="shared" si="6"/>
        <v/>
      </c>
      <c r="I51" s="326"/>
      <c r="J51" s="39"/>
      <c r="K51" s="313"/>
      <c r="L51" s="314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3">
      <c r="A52" s="115"/>
      <c r="B52" s="315"/>
      <c r="C52" s="316"/>
      <c r="D52" s="116"/>
      <c r="E52" s="92"/>
      <c r="F52" s="117"/>
      <c r="G52" s="118"/>
      <c r="H52" s="119" t="str">
        <f t="shared" si="6"/>
        <v/>
      </c>
      <c r="I52" s="326"/>
      <c r="J52" s="115"/>
      <c r="K52" s="315"/>
      <c r="L52" s="316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3">
      <c r="A53" s="321"/>
      <c r="B53" s="322"/>
      <c r="C53" s="322"/>
      <c r="D53" s="323"/>
      <c r="E53" s="319" t="s">
        <v>49</v>
      </c>
      <c r="F53" s="320"/>
      <c r="G53" s="320"/>
      <c r="H53" s="5">
        <f>ROUNDUP(SUM(H29:H52)*U8,0)</f>
        <v>0</v>
      </c>
      <c r="I53" s="327"/>
      <c r="J53" s="321"/>
      <c r="K53" s="322"/>
      <c r="L53" s="322"/>
      <c r="M53" s="323"/>
      <c r="N53" s="319" t="s">
        <v>49</v>
      </c>
      <c r="O53" s="320"/>
      <c r="P53" s="320"/>
      <c r="Q53" s="5">
        <f>ROUNDUP(SUM(Q29:Q52)*X8,0)</f>
        <v>0</v>
      </c>
    </row>
    <row r="54" spans="1:17" ht="20.25" customHeight="1" x14ac:dyDescent="0.3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ColWidth="9.109375" defaultRowHeight="15" x14ac:dyDescent="0.25"/>
  <cols>
    <col min="1" max="3" width="10.6640625" style="8" customWidth="1" collapsed="1"/>
    <col min="4" max="4" width="22.6640625" style="8" customWidth="1" collapsed="1"/>
    <col min="5" max="5" width="12.6640625" style="8" customWidth="1" collapsed="1"/>
    <col min="6" max="6" width="3.33203125" style="18" customWidth="1" collapsed="1"/>
    <col min="7" max="7" width="11.6640625" style="8" customWidth="1" collapsed="1"/>
    <col min="8" max="9" width="10.6640625" style="8" customWidth="1" collapsed="1"/>
    <col min="10" max="12" width="7.6640625" style="8" customWidth="1" collapsed="1"/>
    <col min="13" max="13" width="12.6640625" style="8" customWidth="1" collapsed="1"/>
    <col min="14" max="16384" width="9.109375" style="8" collapsed="1"/>
  </cols>
  <sheetData>
    <row r="1" spans="1:13" ht="20.100000000000001" customHeight="1" x14ac:dyDescent="0.25">
      <c r="A1" s="243" t="s">
        <v>29</v>
      </c>
      <c r="B1" s="244"/>
      <c r="C1" s="350" t="str">
        <f ca="1">IF(ISBLANK(INDIRECT("Cover!D3")),"",INDIRECT("Cover!D3"))</f>
        <v>*</v>
      </c>
      <c r="D1" s="350"/>
      <c r="E1" s="350"/>
      <c r="F1" s="350"/>
      <c r="G1" s="350"/>
      <c r="H1" s="350"/>
      <c r="I1" s="244" t="s">
        <v>19</v>
      </c>
      <c r="J1" s="244"/>
      <c r="K1" s="255" t="str">
        <f ca="1">IF(ISBLANK(INDIRECT("Cover!O2")),"",INDIRECT("Cover!O2"))</f>
        <v>*</v>
      </c>
      <c r="L1" s="255"/>
      <c r="M1" s="256"/>
    </row>
    <row r="2" spans="1:13" ht="20.100000000000001" customHeight="1" thickBot="1" x14ac:dyDescent="0.3">
      <c r="A2" s="245" t="s">
        <v>30</v>
      </c>
      <c r="B2" s="246"/>
      <c r="C2" s="324" t="str">
        <f ca="1">IF(ISBLANK(INDIRECT("Cover!D4")),"",INDIRECT("Cover!D4"))</f>
        <v>*</v>
      </c>
      <c r="D2" s="324"/>
      <c r="E2" s="324"/>
      <c r="F2" s="324"/>
      <c r="G2" s="324"/>
      <c r="H2" s="324"/>
      <c r="I2" s="246" t="s">
        <v>38</v>
      </c>
      <c r="J2" s="246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5">
      <c r="A3" s="34" t="s">
        <v>15</v>
      </c>
      <c r="B3" s="328" t="s">
        <v>20</v>
      </c>
      <c r="C3" s="335"/>
      <c r="D3" s="329"/>
      <c r="E3" s="34" t="s">
        <v>0</v>
      </c>
      <c r="F3" s="325"/>
      <c r="G3" s="34" t="s">
        <v>15</v>
      </c>
      <c r="H3" s="328" t="s">
        <v>42</v>
      </c>
      <c r="I3" s="335"/>
      <c r="J3" s="335"/>
      <c r="K3" s="335"/>
      <c r="L3" s="329"/>
      <c r="M3" s="34" t="s">
        <v>4</v>
      </c>
    </row>
    <row r="4" spans="1:13" ht="20.100000000000001" customHeight="1" x14ac:dyDescent="0.3">
      <c r="A4" s="74"/>
      <c r="B4" s="336"/>
      <c r="C4" s="337"/>
      <c r="D4" s="338"/>
      <c r="E4" s="76"/>
      <c r="F4" s="326"/>
      <c r="G4" s="74"/>
      <c r="H4" s="336"/>
      <c r="I4" s="337"/>
      <c r="J4" s="337"/>
      <c r="K4" s="337"/>
      <c r="L4" s="338"/>
      <c r="M4" s="76"/>
    </row>
    <row r="5" spans="1:13" ht="20.100000000000001" customHeight="1" x14ac:dyDescent="0.3">
      <c r="A5" s="35"/>
      <c r="B5" s="339"/>
      <c r="C5" s="340"/>
      <c r="D5" s="341"/>
      <c r="E5" s="36"/>
      <c r="F5" s="326"/>
      <c r="G5" s="35"/>
      <c r="H5" s="339"/>
      <c r="I5" s="340"/>
      <c r="J5" s="340"/>
      <c r="K5" s="340"/>
      <c r="L5" s="341"/>
      <c r="M5" s="36"/>
    </row>
    <row r="6" spans="1:13" ht="20.100000000000001" customHeight="1" x14ac:dyDescent="0.3">
      <c r="A6" s="35"/>
      <c r="B6" s="339"/>
      <c r="C6" s="340"/>
      <c r="D6" s="341"/>
      <c r="E6" s="36"/>
      <c r="F6" s="326"/>
      <c r="G6" s="35"/>
      <c r="H6" s="339"/>
      <c r="I6" s="340"/>
      <c r="J6" s="340"/>
      <c r="K6" s="340"/>
      <c r="L6" s="341"/>
      <c r="M6" s="36"/>
    </row>
    <row r="7" spans="1:13" ht="20.100000000000001" customHeight="1" x14ac:dyDescent="0.3">
      <c r="A7" s="35"/>
      <c r="B7" s="339"/>
      <c r="C7" s="340"/>
      <c r="D7" s="341"/>
      <c r="E7" s="36"/>
      <c r="F7" s="326"/>
      <c r="G7" s="35"/>
      <c r="H7" s="339"/>
      <c r="I7" s="340"/>
      <c r="J7" s="340"/>
      <c r="K7" s="340"/>
      <c r="L7" s="341"/>
      <c r="M7" s="36"/>
    </row>
    <row r="8" spans="1:13" ht="20.100000000000001" customHeight="1" x14ac:dyDescent="0.3">
      <c r="A8" s="35"/>
      <c r="B8" s="339"/>
      <c r="C8" s="340"/>
      <c r="D8" s="341"/>
      <c r="E8" s="36"/>
      <c r="F8" s="326"/>
      <c r="G8" s="35"/>
      <c r="H8" s="339"/>
      <c r="I8" s="340"/>
      <c r="J8" s="340"/>
      <c r="K8" s="340"/>
      <c r="L8" s="341"/>
      <c r="M8" s="36"/>
    </row>
    <row r="9" spans="1:13" ht="20.100000000000001" customHeight="1" x14ac:dyDescent="0.3">
      <c r="A9" s="35"/>
      <c r="B9" s="339"/>
      <c r="C9" s="340"/>
      <c r="D9" s="341"/>
      <c r="E9" s="36"/>
      <c r="F9" s="326"/>
      <c r="G9" s="35"/>
      <c r="H9" s="339"/>
      <c r="I9" s="340"/>
      <c r="J9" s="340"/>
      <c r="K9" s="340"/>
      <c r="L9" s="341"/>
      <c r="M9" s="36"/>
    </row>
    <row r="10" spans="1:13" ht="20.100000000000001" customHeight="1" x14ac:dyDescent="0.3">
      <c r="A10" s="35"/>
      <c r="B10" s="339"/>
      <c r="C10" s="340"/>
      <c r="D10" s="341"/>
      <c r="E10" s="36"/>
      <c r="F10" s="326"/>
      <c r="G10" s="35"/>
      <c r="H10" s="339"/>
      <c r="I10" s="340"/>
      <c r="J10" s="340"/>
      <c r="K10" s="340"/>
      <c r="L10" s="341"/>
      <c r="M10" s="36"/>
    </row>
    <row r="11" spans="1:13" ht="20.100000000000001" customHeight="1" thickBot="1" x14ac:dyDescent="0.35">
      <c r="A11" s="120"/>
      <c r="B11" s="342"/>
      <c r="C11" s="343"/>
      <c r="D11" s="344"/>
      <c r="E11" s="122"/>
      <c r="F11" s="326"/>
      <c r="G11" s="120"/>
      <c r="H11" s="342"/>
      <c r="I11" s="343"/>
      <c r="J11" s="343"/>
      <c r="K11" s="343"/>
      <c r="L11" s="344"/>
      <c r="M11" s="122"/>
    </row>
    <row r="12" spans="1:13" ht="20.100000000000001" customHeight="1" thickBot="1" x14ac:dyDescent="0.3">
      <c r="A12" s="345"/>
      <c r="B12" s="346"/>
      <c r="C12" s="347"/>
      <c r="D12" s="4" t="s">
        <v>49</v>
      </c>
      <c r="E12" s="5">
        <f>ROUNDUP(SUM(E4:E11)*1.1,-3)</f>
        <v>0</v>
      </c>
      <c r="F12" s="326"/>
      <c r="G12" s="345"/>
      <c r="H12" s="346"/>
      <c r="I12" s="347"/>
      <c r="J12" s="319" t="s">
        <v>49</v>
      </c>
      <c r="K12" s="320"/>
      <c r="L12" s="320"/>
      <c r="M12" s="5">
        <f>ROUNDUP(SUM(M4:M11)*1.02,-1)</f>
        <v>0</v>
      </c>
    </row>
    <row r="13" spans="1:13" ht="20.100000000000001" customHeight="1" thickBot="1" x14ac:dyDescent="0.35">
      <c r="A13" s="34" t="s">
        <v>15</v>
      </c>
      <c r="B13" s="328" t="s">
        <v>43</v>
      </c>
      <c r="C13" s="335"/>
      <c r="D13" s="329"/>
      <c r="E13" s="34" t="s">
        <v>4</v>
      </c>
      <c r="F13" s="326"/>
      <c r="G13" s="34" t="s">
        <v>15</v>
      </c>
      <c r="H13" s="328" t="s">
        <v>44</v>
      </c>
      <c r="I13" s="335"/>
      <c r="J13" s="335"/>
      <c r="K13" s="335"/>
      <c r="L13" s="329"/>
      <c r="M13" s="24" t="s">
        <v>0</v>
      </c>
    </row>
    <row r="14" spans="1:13" ht="20.100000000000001" customHeight="1" x14ac:dyDescent="0.3">
      <c r="A14" s="74"/>
      <c r="B14" s="336"/>
      <c r="C14" s="337"/>
      <c r="D14" s="338"/>
      <c r="E14" s="76"/>
      <c r="F14" s="326"/>
      <c r="G14" s="74"/>
      <c r="H14" s="336"/>
      <c r="I14" s="337"/>
      <c r="J14" s="337"/>
      <c r="K14" s="337"/>
      <c r="L14" s="338"/>
      <c r="M14" s="76"/>
    </row>
    <row r="15" spans="1:13" ht="20.100000000000001" customHeight="1" x14ac:dyDescent="0.3">
      <c r="A15" s="35"/>
      <c r="B15" s="339"/>
      <c r="C15" s="340"/>
      <c r="D15" s="341"/>
      <c r="E15" s="36"/>
      <c r="F15" s="326"/>
      <c r="G15" s="35"/>
      <c r="H15" s="339"/>
      <c r="I15" s="340"/>
      <c r="J15" s="340"/>
      <c r="K15" s="340"/>
      <c r="L15" s="341"/>
      <c r="M15" s="36"/>
    </row>
    <row r="16" spans="1:13" ht="20.100000000000001" customHeight="1" x14ac:dyDescent="0.3">
      <c r="A16" s="35"/>
      <c r="B16" s="339"/>
      <c r="C16" s="340"/>
      <c r="D16" s="341"/>
      <c r="E16" s="36"/>
      <c r="F16" s="326"/>
      <c r="G16" s="35"/>
      <c r="H16" s="339"/>
      <c r="I16" s="340"/>
      <c r="J16" s="340"/>
      <c r="K16" s="340"/>
      <c r="L16" s="341"/>
      <c r="M16" s="36"/>
    </row>
    <row r="17" spans="1:13" ht="20.100000000000001" customHeight="1" x14ac:dyDescent="0.3">
      <c r="A17" s="35"/>
      <c r="B17" s="339"/>
      <c r="C17" s="340"/>
      <c r="D17" s="341"/>
      <c r="E17" s="36"/>
      <c r="F17" s="326"/>
      <c r="G17" s="35"/>
      <c r="H17" s="339"/>
      <c r="I17" s="340"/>
      <c r="J17" s="340"/>
      <c r="K17" s="340"/>
      <c r="L17" s="341"/>
      <c r="M17" s="36"/>
    </row>
    <row r="18" spans="1:13" ht="20.100000000000001" customHeight="1" x14ac:dyDescent="0.3">
      <c r="A18" s="35"/>
      <c r="B18" s="339"/>
      <c r="C18" s="340"/>
      <c r="D18" s="341"/>
      <c r="E18" s="36"/>
      <c r="F18" s="326"/>
      <c r="G18" s="35"/>
      <c r="H18" s="339"/>
      <c r="I18" s="340"/>
      <c r="J18" s="340"/>
      <c r="K18" s="340"/>
      <c r="L18" s="341"/>
      <c r="M18" s="36"/>
    </row>
    <row r="19" spans="1:13" ht="20.100000000000001" customHeight="1" x14ac:dyDescent="0.3">
      <c r="A19" s="35"/>
      <c r="B19" s="339"/>
      <c r="C19" s="340"/>
      <c r="D19" s="341"/>
      <c r="E19" s="36"/>
      <c r="F19" s="326"/>
      <c r="G19" s="35"/>
      <c r="H19" s="339"/>
      <c r="I19" s="340"/>
      <c r="J19" s="340"/>
      <c r="K19" s="340"/>
      <c r="L19" s="341"/>
      <c r="M19" s="36"/>
    </row>
    <row r="20" spans="1:13" ht="20.100000000000001" customHeight="1" x14ac:dyDescent="0.3">
      <c r="A20" s="35"/>
      <c r="B20" s="339"/>
      <c r="C20" s="340"/>
      <c r="D20" s="341"/>
      <c r="E20" s="36"/>
      <c r="F20" s="326"/>
      <c r="G20" s="35"/>
      <c r="H20" s="339"/>
      <c r="I20" s="340"/>
      <c r="J20" s="340"/>
      <c r="K20" s="340"/>
      <c r="L20" s="341"/>
      <c r="M20" s="36"/>
    </row>
    <row r="21" spans="1:13" ht="20.100000000000001" customHeight="1" thickBot="1" x14ac:dyDescent="0.35">
      <c r="A21" s="120"/>
      <c r="B21" s="342"/>
      <c r="C21" s="343"/>
      <c r="D21" s="344"/>
      <c r="E21" s="122"/>
      <c r="F21" s="326"/>
      <c r="G21" s="120"/>
      <c r="H21" s="342"/>
      <c r="I21" s="343"/>
      <c r="J21" s="343"/>
      <c r="K21" s="343"/>
      <c r="L21" s="344"/>
      <c r="M21" s="122"/>
    </row>
    <row r="22" spans="1:13" ht="20.100000000000001" customHeight="1" thickBot="1" x14ac:dyDescent="0.3">
      <c r="A22" s="345"/>
      <c r="B22" s="346"/>
      <c r="C22" s="347"/>
      <c r="D22" s="4" t="s">
        <v>49</v>
      </c>
      <c r="E22" s="5">
        <f>ROUNDUP(SUM(E14:E21)*1.02,-1)</f>
        <v>0</v>
      </c>
      <c r="F22" s="326"/>
      <c r="G22" s="345"/>
      <c r="H22" s="346"/>
      <c r="I22" s="347"/>
      <c r="J22" s="319" t="s">
        <v>49</v>
      </c>
      <c r="K22" s="320"/>
      <c r="L22" s="320"/>
      <c r="M22" s="5">
        <f>SUM(M14:M21)</f>
        <v>0</v>
      </c>
    </row>
    <row r="23" spans="1:13" ht="20.100000000000001" customHeight="1" thickBot="1" x14ac:dyDescent="0.35">
      <c r="A23" s="34" t="s">
        <v>15</v>
      </c>
      <c r="B23" s="328" t="s">
        <v>39</v>
      </c>
      <c r="C23" s="335"/>
      <c r="D23" s="329"/>
      <c r="E23" s="34" t="s">
        <v>4</v>
      </c>
      <c r="F23" s="326"/>
      <c r="G23" s="34" t="s">
        <v>15</v>
      </c>
      <c r="H23" s="328" t="s">
        <v>40</v>
      </c>
      <c r="I23" s="335"/>
      <c r="J23" s="335"/>
      <c r="K23" s="335"/>
      <c r="L23" s="329"/>
      <c r="M23" s="34" t="s">
        <v>4</v>
      </c>
    </row>
    <row r="24" spans="1:13" ht="20.100000000000001" customHeight="1" x14ac:dyDescent="0.3">
      <c r="A24" s="74"/>
      <c r="B24" s="336"/>
      <c r="C24" s="337"/>
      <c r="D24" s="338"/>
      <c r="E24" s="76"/>
      <c r="F24" s="326"/>
      <c r="G24" s="74"/>
      <c r="H24" s="336"/>
      <c r="I24" s="337"/>
      <c r="J24" s="337"/>
      <c r="K24" s="337"/>
      <c r="L24" s="338"/>
      <c r="M24" s="76"/>
    </row>
    <row r="25" spans="1:13" ht="20.100000000000001" customHeight="1" x14ac:dyDescent="0.3">
      <c r="A25" s="35"/>
      <c r="B25" s="339"/>
      <c r="C25" s="340"/>
      <c r="D25" s="341"/>
      <c r="E25" s="36"/>
      <c r="F25" s="326"/>
      <c r="G25" s="35"/>
      <c r="H25" s="339"/>
      <c r="I25" s="340"/>
      <c r="J25" s="340"/>
      <c r="K25" s="340"/>
      <c r="L25" s="341"/>
      <c r="M25" s="36"/>
    </row>
    <row r="26" spans="1:13" ht="20.100000000000001" customHeight="1" x14ac:dyDescent="0.3">
      <c r="A26" s="35"/>
      <c r="B26" s="339"/>
      <c r="C26" s="340"/>
      <c r="D26" s="341"/>
      <c r="E26" s="36"/>
      <c r="F26" s="326"/>
      <c r="G26" s="35"/>
      <c r="H26" s="339"/>
      <c r="I26" s="340"/>
      <c r="J26" s="340"/>
      <c r="K26" s="340"/>
      <c r="L26" s="341"/>
      <c r="M26" s="36"/>
    </row>
    <row r="27" spans="1:13" ht="20.100000000000001" customHeight="1" x14ac:dyDescent="0.3">
      <c r="A27" s="35"/>
      <c r="B27" s="339"/>
      <c r="C27" s="340"/>
      <c r="D27" s="341"/>
      <c r="E27" s="36"/>
      <c r="F27" s="326"/>
      <c r="G27" s="35"/>
      <c r="H27" s="339"/>
      <c r="I27" s="340"/>
      <c r="J27" s="340"/>
      <c r="K27" s="340"/>
      <c r="L27" s="341"/>
      <c r="M27" s="36"/>
    </row>
    <row r="28" spans="1:13" ht="20.100000000000001" customHeight="1" x14ac:dyDescent="0.3">
      <c r="A28" s="35"/>
      <c r="B28" s="339"/>
      <c r="C28" s="340"/>
      <c r="D28" s="341"/>
      <c r="E28" s="36"/>
      <c r="F28" s="326"/>
      <c r="G28" s="35"/>
      <c r="H28" s="339"/>
      <c r="I28" s="340"/>
      <c r="J28" s="340"/>
      <c r="K28" s="340"/>
      <c r="L28" s="341"/>
      <c r="M28" s="36"/>
    </row>
    <row r="29" spans="1:13" ht="20.100000000000001" customHeight="1" x14ac:dyDescent="0.3">
      <c r="A29" s="35"/>
      <c r="B29" s="339"/>
      <c r="C29" s="340"/>
      <c r="D29" s="341"/>
      <c r="E29" s="36"/>
      <c r="F29" s="326"/>
      <c r="G29" s="35"/>
      <c r="H29" s="339"/>
      <c r="I29" s="340"/>
      <c r="J29" s="340"/>
      <c r="K29" s="340"/>
      <c r="L29" s="341"/>
      <c r="M29" s="36"/>
    </row>
    <row r="30" spans="1:13" ht="20.100000000000001" customHeight="1" x14ac:dyDescent="0.3">
      <c r="A30" s="35"/>
      <c r="B30" s="339"/>
      <c r="C30" s="340"/>
      <c r="D30" s="341"/>
      <c r="E30" s="36"/>
      <c r="F30" s="326"/>
      <c r="G30" s="35"/>
      <c r="H30" s="339"/>
      <c r="I30" s="340"/>
      <c r="J30" s="340"/>
      <c r="K30" s="340"/>
      <c r="L30" s="341"/>
      <c r="M30" s="36"/>
    </row>
    <row r="31" spans="1:13" ht="20.100000000000001" customHeight="1" thickBot="1" x14ac:dyDescent="0.35">
      <c r="A31" s="120"/>
      <c r="B31" s="342"/>
      <c r="C31" s="343"/>
      <c r="D31" s="344"/>
      <c r="E31" s="122"/>
      <c r="F31" s="326"/>
      <c r="G31" s="120"/>
      <c r="H31" s="342"/>
      <c r="I31" s="343"/>
      <c r="J31" s="343"/>
      <c r="K31" s="343"/>
      <c r="L31" s="344"/>
      <c r="M31" s="122"/>
    </row>
    <row r="32" spans="1:13" ht="20.100000000000001" customHeight="1" thickBot="1" x14ac:dyDescent="0.3">
      <c r="A32" s="345"/>
      <c r="B32" s="346"/>
      <c r="C32" s="347"/>
      <c r="D32" s="4" t="s">
        <v>49</v>
      </c>
      <c r="E32" s="5">
        <f>ROUNDUP(SUM(E24:E31)*1.02,-1)</f>
        <v>0</v>
      </c>
      <c r="F32" s="326"/>
      <c r="G32" s="345"/>
      <c r="H32" s="346"/>
      <c r="I32" s="347"/>
      <c r="J32" s="319" t="s">
        <v>49</v>
      </c>
      <c r="K32" s="348"/>
      <c r="L32" s="348"/>
      <c r="M32" s="5">
        <f>ROUNDUP(SUM(M24:M31)*1.02,-1)</f>
        <v>0</v>
      </c>
    </row>
    <row r="33" spans="1:13" ht="20.100000000000001" customHeight="1" thickBot="1" x14ac:dyDescent="0.35">
      <c r="A33" s="34" t="s">
        <v>15</v>
      </c>
      <c r="B33" s="328" t="s">
        <v>51</v>
      </c>
      <c r="C33" s="335"/>
      <c r="D33" s="329"/>
      <c r="E33" s="34" t="s">
        <v>50</v>
      </c>
      <c r="F33" s="326"/>
      <c r="G33" s="34" t="s">
        <v>15</v>
      </c>
      <c r="H33" s="328" t="s">
        <v>41</v>
      </c>
      <c r="I33" s="335"/>
      <c r="J33" s="335"/>
      <c r="K33" s="335"/>
      <c r="L33" s="329"/>
      <c r="M33" s="34" t="s">
        <v>4</v>
      </c>
    </row>
    <row r="34" spans="1:13" ht="20.100000000000001" customHeight="1" x14ac:dyDescent="0.3">
      <c r="A34" s="74"/>
      <c r="B34" s="336"/>
      <c r="C34" s="337"/>
      <c r="D34" s="338"/>
      <c r="E34" s="76"/>
      <c r="F34" s="326"/>
      <c r="G34" s="74"/>
      <c r="H34" s="336"/>
      <c r="I34" s="337"/>
      <c r="J34" s="337"/>
      <c r="K34" s="337"/>
      <c r="L34" s="338"/>
      <c r="M34" s="76"/>
    </row>
    <row r="35" spans="1:13" ht="20.100000000000001" customHeight="1" x14ac:dyDescent="0.3">
      <c r="A35" s="35"/>
      <c r="B35" s="339"/>
      <c r="C35" s="340"/>
      <c r="D35" s="341"/>
      <c r="E35" s="36"/>
      <c r="F35" s="326"/>
      <c r="G35" s="35"/>
      <c r="H35" s="339"/>
      <c r="I35" s="340"/>
      <c r="J35" s="340"/>
      <c r="K35" s="340"/>
      <c r="L35" s="341"/>
      <c r="M35" s="36"/>
    </row>
    <row r="36" spans="1:13" ht="20.100000000000001" customHeight="1" x14ac:dyDescent="0.3">
      <c r="A36" s="35"/>
      <c r="B36" s="339"/>
      <c r="C36" s="340"/>
      <c r="D36" s="341"/>
      <c r="E36" s="36"/>
      <c r="F36" s="326"/>
      <c r="G36" s="35"/>
      <c r="H36" s="339"/>
      <c r="I36" s="340"/>
      <c r="J36" s="340"/>
      <c r="K36" s="340"/>
      <c r="L36" s="341"/>
      <c r="M36" s="36"/>
    </row>
    <row r="37" spans="1:13" ht="20.100000000000001" customHeight="1" x14ac:dyDescent="0.3">
      <c r="A37" s="35"/>
      <c r="B37" s="339"/>
      <c r="C37" s="340"/>
      <c r="D37" s="341"/>
      <c r="E37" s="36"/>
      <c r="F37" s="326"/>
      <c r="G37" s="35"/>
      <c r="H37" s="339"/>
      <c r="I37" s="340"/>
      <c r="J37" s="340"/>
      <c r="K37" s="340"/>
      <c r="L37" s="341"/>
      <c r="M37" s="36"/>
    </row>
    <row r="38" spans="1:13" ht="20.100000000000001" customHeight="1" x14ac:dyDescent="0.3">
      <c r="A38" s="35"/>
      <c r="B38" s="339"/>
      <c r="C38" s="340"/>
      <c r="D38" s="341"/>
      <c r="E38" s="36"/>
      <c r="F38" s="326"/>
      <c r="G38" s="35"/>
      <c r="H38" s="339"/>
      <c r="I38" s="340"/>
      <c r="J38" s="340"/>
      <c r="K38" s="340"/>
      <c r="L38" s="341"/>
      <c r="M38" s="36"/>
    </row>
    <row r="39" spans="1:13" ht="20.100000000000001" customHeight="1" x14ac:dyDescent="0.3">
      <c r="A39" s="35"/>
      <c r="B39" s="339"/>
      <c r="C39" s="340"/>
      <c r="D39" s="341"/>
      <c r="E39" s="36"/>
      <c r="F39" s="326"/>
      <c r="G39" s="35"/>
      <c r="H39" s="339"/>
      <c r="I39" s="340"/>
      <c r="J39" s="340"/>
      <c r="K39" s="340"/>
      <c r="L39" s="341"/>
      <c r="M39" s="36"/>
    </row>
    <row r="40" spans="1:13" ht="20.100000000000001" customHeight="1" x14ac:dyDescent="0.3">
      <c r="A40" s="35"/>
      <c r="B40" s="339"/>
      <c r="C40" s="340"/>
      <c r="D40" s="341"/>
      <c r="E40" s="36"/>
      <c r="F40" s="326"/>
      <c r="G40" s="35"/>
      <c r="H40" s="339"/>
      <c r="I40" s="340"/>
      <c r="J40" s="340"/>
      <c r="K40" s="340"/>
      <c r="L40" s="341"/>
      <c r="M40" s="36"/>
    </row>
    <row r="41" spans="1:13" ht="20.100000000000001" customHeight="1" thickBot="1" x14ac:dyDescent="0.35">
      <c r="A41" s="120"/>
      <c r="B41" s="342"/>
      <c r="C41" s="343"/>
      <c r="D41" s="344"/>
      <c r="E41" s="122"/>
      <c r="F41" s="326"/>
      <c r="G41" s="120"/>
      <c r="H41" s="342"/>
      <c r="I41" s="343"/>
      <c r="J41" s="343"/>
      <c r="K41" s="343"/>
      <c r="L41" s="344"/>
      <c r="M41" s="122"/>
    </row>
    <row r="42" spans="1:13" ht="20.100000000000001" customHeight="1" thickBot="1" x14ac:dyDescent="0.3">
      <c r="A42" s="345"/>
      <c r="B42" s="346"/>
      <c r="C42" s="347"/>
      <c r="D42" s="4" t="s">
        <v>49</v>
      </c>
      <c r="E42" s="5">
        <f>SUM(E34:E41)</f>
        <v>0</v>
      </c>
      <c r="F42" s="326"/>
      <c r="G42" s="345"/>
      <c r="H42" s="346"/>
      <c r="I42" s="347"/>
      <c r="J42" s="319" t="s">
        <v>49</v>
      </c>
      <c r="K42" s="320"/>
      <c r="L42" s="320"/>
      <c r="M42" s="5">
        <f>ROUNDUP(SUM(M34:M41)*1.02,-1)</f>
        <v>0</v>
      </c>
    </row>
    <row r="43" spans="1:13" ht="20.100000000000001" customHeight="1" thickBot="1" x14ac:dyDescent="0.35">
      <c r="A43" s="351" t="s">
        <v>24</v>
      </c>
      <c r="B43" s="352"/>
      <c r="C43" s="352"/>
      <c r="D43" s="352"/>
      <c r="E43" s="353"/>
      <c r="F43" s="326"/>
      <c r="G43" s="351" t="s">
        <v>24</v>
      </c>
      <c r="H43" s="352"/>
      <c r="I43" s="352"/>
      <c r="J43" s="352"/>
      <c r="K43" s="352"/>
      <c r="L43" s="352"/>
      <c r="M43" s="353"/>
    </row>
    <row r="44" spans="1:13" ht="20.100000000000001" customHeight="1" thickBot="1" x14ac:dyDescent="0.35">
      <c r="A44" s="34" t="s">
        <v>15</v>
      </c>
      <c r="B44" s="349" t="s">
        <v>16</v>
      </c>
      <c r="C44" s="349"/>
      <c r="D44" s="34" t="s">
        <v>12</v>
      </c>
      <c r="E44" s="34" t="s">
        <v>0</v>
      </c>
      <c r="F44" s="326"/>
      <c r="G44" s="34" t="s">
        <v>15</v>
      </c>
      <c r="H44" s="349" t="s">
        <v>16</v>
      </c>
      <c r="I44" s="349"/>
      <c r="J44" s="328" t="s">
        <v>12</v>
      </c>
      <c r="K44" s="335"/>
      <c r="L44" s="329"/>
      <c r="M44" s="34" t="s">
        <v>0</v>
      </c>
    </row>
    <row r="45" spans="1:13" ht="20.100000000000001" customHeight="1" x14ac:dyDescent="0.3">
      <c r="A45" s="74"/>
      <c r="B45" s="336"/>
      <c r="C45" s="338"/>
      <c r="D45" s="75"/>
      <c r="E45" s="76"/>
      <c r="F45" s="326"/>
      <c r="G45" s="74"/>
      <c r="H45" s="336"/>
      <c r="I45" s="338"/>
      <c r="J45" s="336"/>
      <c r="K45" s="337"/>
      <c r="L45" s="338"/>
      <c r="M45" s="76"/>
    </row>
    <row r="46" spans="1:13" ht="20.100000000000001" customHeight="1" x14ac:dyDescent="0.3">
      <c r="A46" s="35"/>
      <c r="B46" s="339"/>
      <c r="C46" s="341"/>
      <c r="D46" s="75"/>
      <c r="E46" s="36"/>
      <c r="F46" s="326"/>
      <c r="G46" s="35"/>
      <c r="H46" s="339"/>
      <c r="I46" s="341"/>
      <c r="J46" s="339"/>
      <c r="K46" s="340"/>
      <c r="L46" s="341"/>
      <c r="M46" s="36"/>
    </row>
    <row r="47" spans="1:13" ht="20.100000000000001" customHeight="1" x14ac:dyDescent="0.3">
      <c r="A47" s="35"/>
      <c r="B47" s="339"/>
      <c r="C47" s="341"/>
      <c r="D47" s="121"/>
      <c r="E47" s="122"/>
      <c r="F47" s="326"/>
      <c r="G47" s="35"/>
      <c r="H47" s="339"/>
      <c r="I47" s="341"/>
      <c r="J47" s="339"/>
      <c r="K47" s="340"/>
      <c r="L47" s="341"/>
      <c r="M47" s="36"/>
    </row>
    <row r="48" spans="1:13" ht="20.100000000000001" customHeight="1" thickBot="1" x14ac:dyDescent="0.35">
      <c r="A48" s="120"/>
      <c r="B48" s="342"/>
      <c r="C48" s="344"/>
      <c r="D48" s="121"/>
      <c r="E48" s="122"/>
      <c r="F48" s="326"/>
      <c r="G48" s="120"/>
      <c r="H48" s="342"/>
      <c r="I48" s="344"/>
      <c r="J48" s="342"/>
      <c r="K48" s="343"/>
      <c r="L48" s="344"/>
      <c r="M48" s="122"/>
    </row>
    <row r="49" spans="1:13" ht="20.100000000000001" customHeight="1" thickBot="1" x14ac:dyDescent="0.3">
      <c r="A49" s="345"/>
      <c r="B49" s="346"/>
      <c r="C49" s="347"/>
      <c r="D49" s="4" t="s">
        <v>49</v>
      </c>
      <c r="E49" s="5">
        <f>SUM(E44:E48)</f>
        <v>0</v>
      </c>
      <c r="F49" s="327"/>
      <c r="G49" s="345"/>
      <c r="H49" s="346"/>
      <c r="I49" s="347"/>
      <c r="J49" s="319" t="s">
        <v>49</v>
      </c>
      <c r="K49" s="320"/>
      <c r="L49" s="320"/>
      <c r="M49" s="5">
        <f>SUM(M44:M48)</f>
        <v>0</v>
      </c>
    </row>
    <row r="50" spans="1:13" ht="20.25" customHeight="1" x14ac:dyDescent="0.3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ColWidth="9.109375" defaultRowHeight="13.2" x14ac:dyDescent="0.25"/>
  <cols>
    <col min="1" max="2" width="6.6640625" style="8" customWidth="1" collapsed="1"/>
    <col min="3" max="3" width="8.6640625" style="8" customWidth="1" collapsed="1"/>
    <col min="4" max="4" width="12.6640625" style="8" customWidth="1" collapsed="1"/>
    <col min="5" max="6" width="6.6640625" style="8" customWidth="1" collapsed="1"/>
    <col min="7" max="7" width="8.6640625" style="8" customWidth="1" collapsed="1"/>
    <col min="8" max="8" width="12.6640625" style="8" customWidth="1" collapsed="1"/>
    <col min="9" max="9" width="6.6640625" style="8" customWidth="1" collapsed="1"/>
    <col min="10" max="10" width="20.6640625" style="8" customWidth="1" collapsed="1"/>
    <col min="11" max="11" width="6.6640625" style="8" customWidth="1" collapsed="1"/>
    <col min="12" max="12" width="10.6640625" style="8" customWidth="1" collapsed="1"/>
    <col min="13" max="13" width="6.6640625" style="8" customWidth="1" collapsed="1"/>
    <col min="14" max="14" width="9.6640625" style="8" customWidth="1" collapsed="1"/>
    <col min="15" max="15" width="6.6640625" style="8" customWidth="1" collapsed="1"/>
    <col min="16" max="16" width="4.6640625" style="8" customWidth="1" collapsed="1"/>
    <col min="17" max="17" width="7.6640625" style="8" customWidth="1" collapsed="1"/>
    <col min="18" max="18" width="10.6640625" style="126" customWidth="1" collapsed="1"/>
    <col min="19" max="19" width="12.6640625" style="128" hidden="1" customWidth="1" collapsed="1"/>
    <col min="20" max="20" width="9.5546875" style="8" customWidth="1" collapsed="1"/>
    <col min="21" max="21" width="8.88671875" style="8" customWidth="1" collapsed="1"/>
    <col min="22" max="22" width="9.5546875" style="8" customWidth="1" collapsed="1"/>
    <col min="23" max="23" width="8.5546875" style="8" customWidth="1" collapsed="1"/>
    <col min="24" max="25" width="10.6640625" style="8" customWidth="1" collapsed="1"/>
    <col min="26" max="26" width="10.5546875" style="8" customWidth="1" collapsed="1"/>
    <col min="27" max="27" width="8.6640625" style="8" customWidth="1" collapsed="1"/>
    <col min="28" max="28" width="9.6640625" style="8" customWidth="1" collapsed="1"/>
    <col min="29" max="29" width="8.5546875" style="8" customWidth="1" collapsed="1"/>
    <col min="30" max="16384" width="9.109375" style="8" collapsed="1"/>
  </cols>
  <sheetData>
    <row r="1" spans="1:33" ht="20.100000000000001" customHeight="1" thickBot="1" x14ac:dyDescent="0.55000000000000004">
      <c r="A1" s="361" t="s">
        <v>54</v>
      </c>
      <c r="B1" s="362"/>
      <c r="C1" s="362"/>
      <c r="D1" s="363" t="s">
        <v>122</v>
      </c>
      <c r="E1" s="363"/>
      <c r="F1" s="363"/>
      <c r="G1" s="363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3">
      <c r="A2" s="367" t="s">
        <v>36</v>
      </c>
      <c r="B2" s="368"/>
      <c r="C2" s="368"/>
      <c r="D2" s="369" t="s">
        <v>122</v>
      </c>
      <c r="E2" s="369"/>
      <c r="F2" s="369"/>
      <c r="G2" s="369"/>
      <c r="H2" s="137" t="s">
        <v>34</v>
      </c>
      <c r="I2" s="370" t="s">
        <v>122</v>
      </c>
      <c r="J2" s="370"/>
      <c r="K2" s="370"/>
      <c r="L2" s="370"/>
      <c r="M2" s="360" t="s">
        <v>57</v>
      </c>
      <c r="N2" s="360"/>
      <c r="O2" s="365" t="s">
        <v>122</v>
      </c>
      <c r="P2" s="365"/>
      <c r="Q2" s="365"/>
      <c r="R2" s="366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3">
      <c r="A3" s="359" t="s">
        <v>64</v>
      </c>
      <c r="B3" s="360"/>
      <c r="C3" s="360"/>
      <c r="D3" s="373" t="s">
        <v>122</v>
      </c>
      <c r="E3" s="373"/>
      <c r="F3" s="373"/>
      <c r="G3" s="373"/>
      <c r="H3" s="373"/>
      <c r="I3" s="373"/>
      <c r="J3" s="373"/>
      <c r="K3" s="373"/>
      <c r="L3" s="373"/>
      <c r="M3" s="360" t="s">
        <v>58</v>
      </c>
      <c r="N3" s="360"/>
      <c r="O3" s="378" t="s">
        <v>122</v>
      </c>
      <c r="P3" s="378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3">
      <c r="A4" s="359" t="s">
        <v>55</v>
      </c>
      <c r="B4" s="360"/>
      <c r="C4" s="360"/>
      <c r="D4" s="373" t="s">
        <v>122</v>
      </c>
      <c r="E4" s="373"/>
      <c r="F4" s="373"/>
      <c r="G4" s="373"/>
      <c r="H4" s="373"/>
      <c r="I4" s="373"/>
      <c r="J4" s="373"/>
      <c r="K4" s="373"/>
      <c r="L4" s="373"/>
      <c r="M4" s="360" t="s">
        <v>59</v>
      </c>
      <c r="N4" s="360"/>
      <c r="O4" s="373" t="s">
        <v>122</v>
      </c>
      <c r="P4" s="373"/>
      <c r="Q4" s="373"/>
      <c r="R4" s="381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3">
      <c r="A5" s="359" t="s">
        <v>56</v>
      </c>
      <c r="B5" s="360"/>
      <c r="C5" s="360"/>
      <c r="D5" s="373" t="s">
        <v>122</v>
      </c>
      <c r="E5" s="373"/>
      <c r="F5" s="373"/>
      <c r="G5" s="373"/>
      <c r="H5" s="373"/>
      <c r="I5" s="373"/>
      <c r="J5" s="373"/>
      <c r="K5" s="373"/>
      <c r="L5" s="373"/>
      <c r="M5" s="360" t="s">
        <v>73</v>
      </c>
      <c r="N5" s="360"/>
      <c r="O5" s="360"/>
      <c r="P5" s="360"/>
      <c r="Q5" s="356" t="s">
        <v>121</v>
      </c>
      <c r="R5" s="379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3">
      <c r="A6" s="374"/>
      <c r="B6" s="375"/>
      <c r="C6" s="375"/>
      <c r="D6" s="373"/>
      <c r="E6" s="373"/>
      <c r="F6" s="373"/>
      <c r="G6" s="373"/>
      <c r="H6" s="373"/>
      <c r="I6" s="373"/>
      <c r="J6" s="373"/>
      <c r="K6" s="373"/>
      <c r="L6" s="373"/>
      <c r="M6" s="360" t="s">
        <v>85</v>
      </c>
      <c r="N6" s="360"/>
      <c r="O6" s="360"/>
      <c r="P6" s="360"/>
      <c r="Q6" s="378" t="s">
        <v>122</v>
      </c>
      <c r="R6" s="387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5">
      <c r="A7" s="376"/>
      <c r="B7" s="377"/>
      <c r="C7" s="377"/>
      <c r="D7" s="373"/>
      <c r="E7" s="373"/>
      <c r="F7" s="373"/>
      <c r="G7" s="373"/>
      <c r="H7" s="373"/>
      <c r="I7" s="373"/>
      <c r="J7" s="373"/>
      <c r="K7" s="373"/>
      <c r="L7" s="373"/>
      <c r="M7" s="360"/>
      <c r="N7" s="360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3">
      <c r="A8" s="367" t="s">
        <v>65</v>
      </c>
      <c r="B8" s="393"/>
      <c r="C8" s="393"/>
      <c r="D8" s="365" t="s">
        <v>122</v>
      </c>
      <c r="E8" s="365"/>
      <c r="F8" s="365"/>
      <c r="G8" s="393" t="s">
        <v>62</v>
      </c>
      <c r="H8" s="393"/>
      <c r="I8" s="369" t="s">
        <v>122</v>
      </c>
      <c r="J8" s="369"/>
      <c r="K8" s="393" t="s">
        <v>60</v>
      </c>
      <c r="L8" s="393"/>
      <c r="M8" s="369" t="s">
        <v>122</v>
      </c>
      <c r="N8" s="388"/>
      <c r="O8" s="388"/>
      <c r="P8" s="388"/>
      <c r="Q8" s="388"/>
      <c r="R8" s="389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3">
      <c r="A9" s="359" t="s">
        <v>66</v>
      </c>
      <c r="B9" s="360"/>
      <c r="C9" s="360"/>
      <c r="D9" s="356" t="s">
        <v>122</v>
      </c>
      <c r="E9" s="356"/>
      <c r="F9" s="356"/>
      <c r="G9" s="360" t="s">
        <v>63</v>
      </c>
      <c r="H9" s="360"/>
      <c r="I9" s="356" t="s">
        <v>122</v>
      </c>
      <c r="J9" s="356"/>
      <c r="K9" s="360" t="s">
        <v>61</v>
      </c>
      <c r="L9" s="360"/>
      <c r="M9" s="356" t="s">
        <v>122</v>
      </c>
      <c r="N9" s="357"/>
      <c r="O9" s="357"/>
      <c r="P9" s="357"/>
      <c r="Q9" s="357"/>
      <c r="R9" s="358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3">
      <c r="A10" s="359" t="s">
        <v>67</v>
      </c>
      <c r="B10" s="360"/>
      <c r="C10" s="360"/>
      <c r="D10" s="356" t="s">
        <v>122</v>
      </c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79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3">
      <c r="A11" s="396"/>
      <c r="B11" s="397"/>
      <c r="C11" s="397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79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5">
      <c r="A12" s="359" t="s">
        <v>74</v>
      </c>
      <c r="B12" s="360"/>
      <c r="C12" s="360"/>
      <c r="D12" s="395" t="s">
        <v>122</v>
      </c>
      <c r="E12" s="395"/>
      <c r="F12" s="395"/>
      <c r="G12" s="395"/>
      <c r="H12" s="395"/>
      <c r="I12" s="395"/>
      <c r="J12" s="395"/>
      <c r="K12" s="364"/>
      <c r="L12" s="364"/>
      <c r="M12" s="364"/>
      <c r="N12" s="364"/>
      <c r="O12" s="364"/>
      <c r="P12" s="364"/>
      <c r="Q12" s="364"/>
      <c r="R12" s="394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5">
      <c r="A13" s="385" t="s">
        <v>68</v>
      </c>
      <c r="B13" s="386"/>
      <c r="C13" s="382" t="s">
        <v>37</v>
      </c>
      <c r="D13" s="382"/>
      <c r="E13" s="382"/>
      <c r="F13" s="383" t="s">
        <v>122</v>
      </c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/>
      <c r="R13" s="384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3">
      <c r="A14" s="228"/>
      <c r="B14" s="371"/>
      <c r="C14" s="371"/>
      <c r="D14" s="371"/>
      <c r="E14" s="371"/>
      <c r="F14" s="371"/>
      <c r="G14" s="371"/>
      <c r="H14" s="371"/>
      <c r="I14" s="371"/>
      <c r="J14" s="371"/>
      <c r="K14" s="371"/>
      <c r="L14" s="371"/>
      <c r="M14" s="371"/>
      <c r="N14" s="371"/>
      <c r="O14" s="371"/>
      <c r="P14" s="371"/>
      <c r="Q14" s="371"/>
      <c r="R14" s="372"/>
      <c r="S14" s="130"/>
    </row>
    <row r="15" spans="1:33" s="18" customFormat="1" ht="20.100000000000001" customHeight="1" x14ac:dyDescent="0.3">
      <c r="A15" s="124"/>
      <c r="B15" s="371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71"/>
      <c r="R15" s="372"/>
      <c r="S15" s="130"/>
    </row>
    <row r="16" spans="1:33" s="18" customFormat="1" ht="20.100000000000001" customHeight="1" x14ac:dyDescent="0.3">
      <c r="A16" s="124"/>
      <c r="B16" s="371"/>
      <c r="C16" s="371"/>
      <c r="D16" s="371"/>
      <c r="E16" s="371"/>
      <c r="F16" s="371"/>
      <c r="G16" s="371"/>
      <c r="H16" s="371"/>
      <c r="I16" s="371"/>
      <c r="J16" s="371"/>
      <c r="K16" s="371"/>
      <c r="L16" s="371"/>
      <c r="M16" s="371"/>
      <c r="N16" s="371"/>
      <c r="O16" s="371"/>
      <c r="P16" s="371"/>
      <c r="Q16" s="371"/>
      <c r="R16" s="372"/>
      <c r="S16" s="130"/>
    </row>
    <row r="17" spans="1:19" s="18" customFormat="1" ht="20.100000000000001" customHeight="1" x14ac:dyDescent="0.3">
      <c r="A17" s="124"/>
      <c r="B17" s="371"/>
      <c r="C17" s="371"/>
      <c r="D17" s="371"/>
      <c r="E17" s="371"/>
      <c r="F17" s="371"/>
      <c r="G17" s="371"/>
      <c r="H17" s="371"/>
      <c r="I17" s="371"/>
      <c r="J17" s="371"/>
      <c r="K17" s="371"/>
      <c r="L17" s="371"/>
      <c r="M17" s="371"/>
      <c r="N17" s="371"/>
      <c r="O17" s="371"/>
      <c r="P17" s="371"/>
      <c r="Q17" s="371"/>
      <c r="R17" s="372"/>
      <c r="S17" s="130"/>
    </row>
    <row r="18" spans="1:19" s="18" customFormat="1" ht="20.100000000000001" customHeight="1" x14ac:dyDescent="0.3">
      <c r="A18" s="124"/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2"/>
      <c r="S18" s="130"/>
    </row>
    <row r="19" spans="1:19" s="18" customFormat="1" ht="20.100000000000001" customHeight="1" x14ac:dyDescent="0.3">
      <c r="A19" s="124"/>
      <c r="B19" s="371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2"/>
      <c r="S19" s="130"/>
    </row>
    <row r="20" spans="1:19" s="18" customFormat="1" ht="20.100000000000001" customHeight="1" x14ac:dyDescent="0.3">
      <c r="A20" s="124"/>
      <c r="B20" s="371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371"/>
      <c r="R20" s="372"/>
      <c r="S20" s="130"/>
    </row>
    <row r="21" spans="1:19" s="18" customFormat="1" ht="20.100000000000001" customHeight="1" x14ac:dyDescent="0.3">
      <c r="A21" s="124"/>
      <c r="B21" s="371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371"/>
      <c r="R21" s="372"/>
      <c r="S21" s="130"/>
    </row>
    <row r="22" spans="1:19" s="18" customFormat="1" ht="20.100000000000001" customHeight="1" x14ac:dyDescent="0.3">
      <c r="A22" s="124"/>
      <c r="B22" s="371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371"/>
      <c r="R22" s="372"/>
      <c r="S22" s="130"/>
    </row>
    <row r="23" spans="1:19" s="18" customFormat="1" ht="20.100000000000001" customHeight="1" x14ac:dyDescent="0.3">
      <c r="A23" s="124"/>
      <c r="B23" s="371"/>
      <c r="C23" s="371"/>
      <c r="D23" s="371"/>
      <c r="E23" s="371"/>
      <c r="F23" s="371"/>
      <c r="G23" s="371"/>
      <c r="H23" s="371"/>
      <c r="I23" s="371"/>
      <c r="J23" s="371"/>
      <c r="K23" s="371"/>
      <c r="L23" s="371"/>
      <c r="M23" s="371"/>
      <c r="N23" s="371"/>
      <c r="O23" s="371"/>
      <c r="P23" s="371"/>
      <c r="Q23" s="371"/>
      <c r="R23" s="372"/>
      <c r="S23" s="130"/>
    </row>
    <row r="24" spans="1:19" s="18" customFormat="1" ht="20.100000000000001" customHeight="1" x14ac:dyDescent="0.3">
      <c r="A24" s="124"/>
      <c r="B24" s="371"/>
      <c r="C24" s="371"/>
      <c r="D24" s="371"/>
      <c r="E24" s="371"/>
      <c r="F24" s="371"/>
      <c r="G24" s="371"/>
      <c r="H24" s="371"/>
      <c r="I24" s="371"/>
      <c r="J24" s="371"/>
      <c r="K24" s="371"/>
      <c r="L24" s="371"/>
      <c r="M24" s="371"/>
      <c r="N24" s="371"/>
      <c r="O24" s="371"/>
      <c r="P24" s="371"/>
      <c r="Q24" s="371"/>
      <c r="R24" s="372"/>
      <c r="S24" s="130"/>
    </row>
    <row r="25" spans="1:19" s="18" customFormat="1" ht="20.100000000000001" customHeight="1" x14ac:dyDescent="0.3">
      <c r="A25" s="124"/>
      <c r="B25" s="371"/>
      <c r="C25" s="371"/>
      <c r="D25" s="371"/>
      <c r="E25" s="371"/>
      <c r="F25" s="371"/>
      <c r="G25" s="371"/>
      <c r="H25" s="371"/>
      <c r="I25" s="371"/>
      <c r="J25" s="371"/>
      <c r="K25" s="371"/>
      <c r="L25" s="371"/>
      <c r="M25" s="371"/>
      <c r="N25" s="371"/>
      <c r="O25" s="371"/>
      <c r="P25" s="371"/>
      <c r="Q25" s="371"/>
      <c r="R25" s="372"/>
      <c r="S25" s="130"/>
    </row>
    <row r="26" spans="1:19" s="18" customFormat="1" ht="20.100000000000001" customHeight="1" x14ac:dyDescent="0.3">
      <c r="A26" s="124"/>
      <c r="B26" s="371"/>
      <c r="C26" s="371"/>
      <c r="D26" s="371"/>
      <c r="E26" s="371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2"/>
      <c r="S26" s="130"/>
    </row>
    <row r="27" spans="1:19" s="18" customFormat="1" ht="20.100000000000001" customHeight="1" x14ac:dyDescent="0.3">
      <c r="A27" s="124"/>
      <c r="B27" s="371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2"/>
      <c r="S27" s="130"/>
    </row>
    <row r="28" spans="1:19" s="18" customFormat="1" ht="20.100000000000001" customHeight="1" x14ac:dyDescent="0.3">
      <c r="A28" s="124"/>
      <c r="B28" s="371"/>
      <c r="C28" s="371"/>
      <c r="D28" s="371"/>
      <c r="E28" s="371"/>
      <c r="F28" s="371"/>
      <c r="G28" s="371"/>
      <c r="H28" s="371"/>
      <c r="I28" s="371"/>
      <c r="J28" s="371"/>
      <c r="K28" s="371"/>
      <c r="L28" s="371"/>
      <c r="M28" s="371"/>
      <c r="N28" s="371"/>
      <c r="O28" s="371"/>
      <c r="P28" s="371"/>
      <c r="Q28" s="371"/>
      <c r="R28" s="372"/>
      <c r="S28" s="130"/>
    </row>
    <row r="29" spans="1:19" s="18" customFormat="1" ht="20.100000000000001" customHeight="1" x14ac:dyDescent="0.3">
      <c r="A29" s="124"/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2"/>
      <c r="S29" s="130"/>
    </row>
    <row r="30" spans="1:19" s="18" customFormat="1" ht="20.100000000000001" customHeight="1" x14ac:dyDescent="0.3">
      <c r="A30" s="124"/>
      <c r="B30" s="371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1"/>
      <c r="N30" s="371"/>
      <c r="O30" s="371"/>
      <c r="P30" s="371"/>
      <c r="Q30" s="371"/>
      <c r="R30" s="372"/>
      <c r="S30" s="130"/>
    </row>
    <row r="31" spans="1:19" s="18" customFormat="1" ht="20.100000000000001" customHeight="1" x14ac:dyDescent="0.3">
      <c r="A31" s="124"/>
      <c r="B31" s="371"/>
      <c r="C31" s="371"/>
      <c r="D31" s="371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371"/>
      <c r="P31" s="371"/>
      <c r="Q31" s="371"/>
      <c r="R31" s="372"/>
      <c r="S31" s="130"/>
    </row>
    <row r="32" spans="1:19" s="18" customFormat="1" ht="20.100000000000001" customHeight="1" x14ac:dyDescent="0.3">
      <c r="A32" s="124"/>
      <c r="B32" s="371"/>
      <c r="C32" s="371"/>
      <c r="D32" s="371"/>
      <c r="E32" s="371"/>
      <c r="F32" s="371"/>
      <c r="G32" s="371"/>
      <c r="H32" s="371"/>
      <c r="I32" s="371"/>
      <c r="J32" s="371"/>
      <c r="K32" s="371"/>
      <c r="L32" s="371"/>
      <c r="M32" s="371"/>
      <c r="N32" s="371"/>
      <c r="O32" s="371"/>
      <c r="P32" s="371"/>
      <c r="Q32" s="371"/>
      <c r="R32" s="372"/>
      <c r="S32" s="130"/>
    </row>
    <row r="33" spans="1:19" s="18" customFormat="1" ht="20.100000000000001" customHeight="1" x14ac:dyDescent="0.3">
      <c r="A33" s="124"/>
      <c r="B33" s="371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1"/>
      <c r="N33" s="371"/>
      <c r="O33" s="371"/>
      <c r="P33" s="371"/>
      <c r="Q33" s="371"/>
      <c r="R33" s="372"/>
      <c r="S33" s="130"/>
    </row>
    <row r="34" spans="1:19" s="18" customFormat="1" ht="20.100000000000001" customHeight="1" x14ac:dyDescent="0.3">
      <c r="A34" s="124"/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2"/>
      <c r="S34" s="130"/>
    </row>
    <row r="35" spans="1:19" s="18" customFormat="1" ht="20.100000000000001" customHeight="1" x14ac:dyDescent="0.3">
      <c r="A35" s="124"/>
      <c r="B35" s="371"/>
      <c r="C35" s="371"/>
      <c r="D35" s="371"/>
      <c r="E35" s="371"/>
      <c r="F35" s="371"/>
      <c r="G35" s="371"/>
      <c r="H35" s="371"/>
      <c r="I35" s="371"/>
      <c r="J35" s="371"/>
      <c r="K35" s="371"/>
      <c r="L35" s="371"/>
      <c r="M35" s="371"/>
      <c r="N35" s="371"/>
      <c r="O35" s="371"/>
      <c r="P35" s="371"/>
      <c r="Q35" s="371"/>
      <c r="R35" s="372"/>
      <c r="S35" s="130"/>
    </row>
    <row r="36" spans="1:19" s="18" customFormat="1" ht="20.100000000000001" customHeight="1" thickBot="1" x14ac:dyDescent="0.35">
      <c r="A36" s="152"/>
      <c r="B36" s="371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1"/>
      <c r="O36" s="371"/>
      <c r="P36" s="371"/>
      <c r="Q36" s="371"/>
      <c r="R36" s="372"/>
      <c r="S36" s="130"/>
    </row>
    <row r="37" spans="1:19" s="19" customFormat="1" ht="20.100000000000001" customHeight="1" thickBot="1" x14ac:dyDescent="0.3">
      <c r="A37" s="398" t="s">
        <v>72</v>
      </c>
      <c r="B37" s="399"/>
      <c r="C37" s="399"/>
      <c r="D37" s="399"/>
      <c r="E37" s="399"/>
      <c r="F37" s="399"/>
      <c r="G37" s="399"/>
      <c r="H37" s="400"/>
      <c r="I37" s="398" t="s">
        <v>71</v>
      </c>
      <c r="J37" s="399"/>
      <c r="K37" s="399"/>
      <c r="L37" s="399"/>
      <c r="M37" s="399"/>
      <c r="N37" s="399"/>
      <c r="O37" s="399"/>
      <c r="P37" s="399"/>
      <c r="Q37" s="399"/>
      <c r="R37" s="400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54" t="s">
        <v>16</v>
      </c>
      <c r="K38" s="355"/>
      <c r="L38" s="134" t="s">
        <v>0</v>
      </c>
      <c r="M38" s="135" t="s">
        <v>15</v>
      </c>
      <c r="N38" s="354" t="s">
        <v>16</v>
      </c>
      <c r="O38" s="380"/>
      <c r="P38" s="380"/>
      <c r="Q38" s="355"/>
      <c r="R38" s="136" t="s">
        <v>0</v>
      </c>
      <c r="S38" s="130"/>
    </row>
    <row r="39" spans="1:19" s="18" customFormat="1" ht="20.100000000000001" customHeight="1" x14ac:dyDescent="0.3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39"/>
      <c r="K39" s="341"/>
      <c r="L39" s="143"/>
      <c r="M39" s="144"/>
      <c r="N39" s="339"/>
      <c r="O39" s="340"/>
      <c r="P39" s="340"/>
      <c r="Q39" s="341"/>
      <c r="R39" s="36"/>
      <c r="S39" s="130"/>
    </row>
    <row r="40" spans="1:19" s="18" customFormat="1" ht="20.100000000000001" customHeight="1" x14ac:dyDescent="0.3">
      <c r="A40" s="35"/>
      <c r="B40" s="123"/>
      <c r="C40" s="142"/>
      <c r="D40" s="143"/>
      <c r="E40" s="144"/>
      <c r="F40" s="123"/>
      <c r="G40" s="142"/>
      <c r="H40" s="145"/>
      <c r="I40" s="35"/>
      <c r="J40" s="339"/>
      <c r="K40" s="341"/>
      <c r="L40" s="143"/>
      <c r="M40" s="144"/>
      <c r="N40" s="339"/>
      <c r="O40" s="340"/>
      <c r="P40" s="340"/>
      <c r="Q40" s="341"/>
      <c r="R40" s="36"/>
      <c r="S40" s="130"/>
    </row>
    <row r="41" spans="1:19" s="18" customFormat="1" ht="20.100000000000001" customHeight="1" x14ac:dyDescent="0.3">
      <c r="A41" s="35"/>
      <c r="B41" s="123"/>
      <c r="C41" s="142"/>
      <c r="D41" s="143"/>
      <c r="E41" s="144"/>
      <c r="F41" s="123"/>
      <c r="G41" s="142"/>
      <c r="H41" s="145"/>
      <c r="I41" s="35"/>
      <c r="J41" s="339"/>
      <c r="K41" s="341"/>
      <c r="L41" s="143"/>
      <c r="M41" s="144"/>
      <c r="N41" s="339"/>
      <c r="O41" s="340"/>
      <c r="P41" s="340"/>
      <c r="Q41" s="341"/>
      <c r="R41" s="36"/>
      <c r="S41" s="130"/>
    </row>
    <row r="42" spans="1:19" s="18" customFormat="1" ht="20.100000000000001" customHeight="1" x14ac:dyDescent="0.3">
      <c r="A42" s="35"/>
      <c r="B42" s="123"/>
      <c r="C42" s="142"/>
      <c r="D42" s="143"/>
      <c r="E42" s="144"/>
      <c r="F42" s="123"/>
      <c r="G42" s="142"/>
      <c r="H42" s="145"/>
      <c r="I42" s="35"/>
      <c r="J42" s="339"/>
      <c r="K42" s="341"/>
      <c r="L42" s="143"/>
      <c r="M42" s="144"/>
      <c r="N42" s="339"/>
      <c r="O42" s="340"/>
      <c r="P42" s="340"/>
      <c r="Q42" s="341"/>
      <c r="R42" s="36"/>
      <c r="S42" s="130"/>
    </row>
    <row r="43" spans="1:19" s="18" customFormat="1" ht="20.100000000000001" customHeight="1" x14ac:dyDescent="0.3">
      <c r="A43" s="35"/>
      <c r="B43" s="123"/>
      <c r="C43" s="142"/>
      <c r="D43" s="143"/>
      <c r="E43" s="144"/>
      <c r="F43" s="123"/>
      <c r="G43" s="142"/>
      <c r="H43" s="145"/>
      <c r="I43" s="35"/>
      <c r="J43" s="339"/>
      <c r="K43" s="341"/>
      <c r="L43" s="143"/>
      <c r="M43" s="144"/>
      <c r="N43" s="339"/>
      <c r="O43" s="340"/>
      <c r="P43" s="340"/>
      <c r="Q43" s="341"/>
      <c r="R43" s="36"/>
      <c r="S43" s="130"/>
    </row>
    <row r="44" spans="1:19" s="18" customFormat="1" ht="20.100000000000001" customHeight="1" x14ac:dyDescent="0.3">
      <c r="A44" s="35"/>
      <c r="B44" s="123"/>
      <c r="C44" s="142"/>
      <c r="D44" s="143"/>
      <c r="E44" s="144"/>
      <c r="F44" s="123"/>
      <c r="G44" s="142"/>
      <c r="H44" s="145"/>
      <c r="I44" s="35"/>
      <c r="J44" s="339"/>
      <c r="K44" s="341"/>
      <c r="L44" s="143"/>
      <c r="M44" s="144"/>
      <c r="N44" s="339"/>
      <c r="O44" s="340"/>
      <c r="P44" s="340"/>
      <c r="Q44" s="341"/>
      <c r="R44" s="36"/>
      <c r="S44" s="130"/>
    </row>
    <row r="45" spans="1:19" s="18" customFormat="1" ht="20.100000000000001" customHeight="1" x14ac:dyDescent="0.3">
      <c r="A45" s="35"/>
      <c r="B45" s="123"/>
      <c r="C45" s="142"/>
      <c r="D45" s="143"/>
      <c r="E45" s="144"/>
      <c r="F45" s="123"/>
      <c r="G45" s="142"/>
      <c r="H45" s="145"/>
      <c r="I45" s="35"/>
      <c r="J45" s="339"/>
      <c r="K45" s="341"/>
      <c r="L45" s="143"/>
      <c r="M45" s="144"/>
      <c r="N45" s="339"/>
      <c r="O45" s="340"/>
      <c r="P45" s="340"/>
      <c r="Q45" s="341"/>
      <c r="R45" s="36"/>
      <c r="S45" s="130"/>
    </row>
    <row r="46" spans="1:19" s="18" customFormat="1" ht="20.100000000000001" customHeight="1" x14ac:dyDescent="0.3">
      <c r="A46" s="35"/>
      <c r="B46" s="123"/>
      <c r="C46" s="142"/>
      <c r="D46" s="143"/>
      <c r="E46" s="144"/>
      <c r="F46" s="123"/>
      <c r="G46" s="142"/>
      <c r="H46" s="145"/>
      <c r="I46" s="35"/>
      <c r="J46" s="339"/>
      <c r="K46" s="341"/>
      <c r="L46" s="143"/>
      <c r="M46" s="144"/>
      <c r="N46" s="339"/>
      <c r="O46" s="340"/>
      <c r="P46" s="340"/>
      <c r="Q46" s="341"/>
      <c r="R46" s="36"/>
      <c r="S46" s="130"/>
    </row>
    <row r="47" spans="1:19" s="18" customFormat="1" ht="20.100000000000001" customHeight="1" x14ac:dyDescent="0.3">
      <c r="A47" s="35"/>
      <c r="B47" s="123"/>
      <c r="C47" s="142"/>
      <c r="D47" s="143"/>
      <c r="E47" s="144"/>
      <c r="F47" s="123"/>
      <c r="G47" s="142"/>
      <c r="H47" s="145"/>
      <c r="I47" s="35"/>
      <c r="J47" s="339"/>
      <c r="K47" s="341"/>
      <c r="L47" s="143"/>
      <c r="M47" s="144"/>
      <c r="N47" s="339"/>
      <c r="O47" s="340"/>
      <c r="P47" s="340"/>
      <c r="Q47" s="341"/>
      <c r="R47" s="36"/>
      <c r="S47" s="130"/>
    </row>
    <row r="48" spans="1:19" s="18" customFormat="1" ht="20.100000000000001" customHeight="1" x14ac:dyDescent="0.3">
      <c r="A48" s="35"/>
      <c r="B48" s="123"/>
      <c r="C48" s="142"/>
      <c r="D48" s="143"/>
      <c r="E48" s="144"/>
      <c r="F48" s="123"/>
      <c r="G48" s="142"/>
      <c r="H48" s="145"/>
      <c r="I48" s="35"/>
      <c r="J48" s="339"/>
      <c r="K48" s="341"/>
      <c r="L48" s="143"/>
      <c r="M48" s="144"/>
      <c r="N48" s="339"/>
      <c r="O48" s="340"/>
      <c r="P48" s="340"/>
      <c r="Q48" s="341"/>
      <c r="R48" s="36"/>
      <c r="S48" s="130"/>
    </row>
    <row r="49" spans="1:19" s="18" customFormat="1" ht="20.100000000000001" customHeight="1" x14ac:dyDescent="0.3">
      <c r="A49" s="35"/>
      <c r="B49" s="123"/>
      <c r="C49" s="142"/>
      <c r="D49" s="143"/>
      <c r="E49" s="144"/>
      <c r="F49" s="123"/>
      <c r="G49" s="142"/>
      <c r="H49" s="145"/>
      <c r="I49" s="35"/>
      <c r="J49" s="339"/>
      <c r="K49" s="341"/>
      <c r="L49" s="143"/>
      <c r="M49" s="144"/>
      <c r="N49" s="339"/>
      <c r="O49" s="340"/>
      <c r="P49" s="340"/>
      <c r="Q49" s="341"/>
      <c r="R49" s="36"/>
      <c r="S49" s="130"/>
    </row>
    <row r="50" spans="1:19" s="18" customFormat="1" ht="20.100000000000001" customHeight="1" x14ac:dyDescent="0.3">
      <c r="A50" s="35"/>
      <c r="B50" s="123"/>
      <c r="C50" s="142"/>
      <c r="D50" s="143"/>
      <c r="E50" s="144"/>
      <c r="F50" s="123"/>
      <c r="G50" s="142"/>
      <c r="H50" s="145"/>
      <c r="I50" s="35"/>
      <c r="J50" s="339"/>
      <c r="K50" s="341"/>
      <c r="L50" s="143"/>
      <c r="M50" s="144"/>
      <c r="N50" s="339"/>
      <c r="O50" s="340"/>
      <c r="P50" s="340"/>
      <c r="Q50" s="341"/>
      <c r="R50" s="36"/>
      <c r="S50" s="130"/>
    </row>
    <row r="51" spans="1:19" s="18" customFormat="1" ht="20.100000000000001" customHeight="1" x14ac:dyDescent="0.3">
      <c r="A51" s="35"/>
      <c r="B51" s="123"/>
      <c r="C51" s="142"/>
      <c r="D51" s="143"/>
      <c r="E51" s="144"/>
      <c r="F51" s="123"/>
      <c r="G51" s="142"/>
      <c r="H51" s="145"/>
      <c r="I51" s="35"/>
      <c r="J51" s="339"/>
      <c r="K51" s="341"/>
      <c r="L51" s="143"/>
      <c r="M51" s="144"/>
      <c r="N51" s="339"/>
      <c r="O51" s="340"/>
      <c r="P51" s="340"/>
      <c r="Q51" s="341"/>
      <c r="R51" s="36"/>
      <c r="S51" s="130"/>
    </row>
    <row r="52" spans="1:19" s="18" customFormat="1" ht="20.100000000000001" customHeight="1" x14ac:dyDescent="0.3">
      <c r="A52" s="35"/>
      <c r="B52" s="123"/>
      <c r="C52" s="142"/>
      <c r="D52" s="143"/>
      <c r="E52" s="144"/>
      <c r="F52" s="123"/>
      <c r="G52" s="142"/>
      <c r="H52" s="145"/>
      <c r="I52" s="35"/>
      <c r="J52" s="339"/>
      <c r="K52" s="341"/>
      <c r="L52" s="143"/>
      <c r="M52" s="144"/>
      <c r="N52" s="339"/>
      <c r="O52" s="340"/>
      <c r="P52" s="340"/>
      <c r="Q52" s="341"/>
      <c r="R52" s="36"/>
      <c r="S52" s="130"/>
    </row>
    <row r="53" spans="1:19" s="18" customFormat="1" ht="20.100000000000001" customHeight="1" thickBot="1" x14ac:dyDescent="0.35">
      <c r="A53" s="146"/>
      <c r="B53" s="147"/>
      <c r="C53" s="148"/>
      <c r="D53" s="149"/>
      <c r="E53" s="150"/>
      <c r="F53" s="147"/>
      <c r="G53" s="148"/>
      <c r="H53" s="151"/>
      <c r="I53" s="146"/>
      <c r="J53" s="339"/>
      <c r="K53" s="341"/>
      <c r="L53" s="149"/>
      <c r="M53" s="150"/>
      <c r="N53" s="339"/>
      <c r="O53" s="340"/>
      <c r="P53" s="340"/>
      <c r="Q53" s="341"/>
      <c r="R53" s="36"/>
      <c r="S53" s="130"/>
    </row>
    <row r="54" spans="1:19" s="18" customFormat="1" ht="20.100000000000001" customHeight="1" thickBot="1" x14ac:dyDescent="0.35">
      <c r="A54" s="403" t="s">
        <v>49</v>
      </c>
      <c r="B54" s="404"/>
      <c r="C54" s="401">
        <v>0</v>
      </c>
      <c r="D54" s="402"/>
      <c r="E54" s="391" t="s">
        <v>70</v>
      </c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2"/>
      <c r="R54" s="392"/>
      <c r="S54" s="130"/>
    </row>
    <row r="55" spans="1:19" s="18" customFormat="1" ht="20.100000000000001" customHeight="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90" t="s">
        <v>86</v>
      </c>
      <c r="N55" s="390"/>
      <c r="O55" s="390"/>
      <c r="P55" s="390"/>
      <c r="Q55" s="390"/>
      <c r="R55" s="390"/>
      <c r="S55" s="130"/>
    </row>
    <row r="56" spans="1:19" s="18" customFormat="1" ht="17.399999999999999" customHeight="1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399999999999999" customHeight="1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399999999999999" customHeight="1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399999999999999" customHeight="1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"/>
  <sheetViews>
    <sheetView workbookViewId="0"/>
  </sheetViews>
  <sheetFormatPr defaultRowHeight="13.2" x14ac:dyDescent="0.25"/>
  <cols>
    <col min="1" max="1" width="5.21875" bestFit="1" customWidth="1"/>
    <col min="2" max="3" width="8.44140625" customWidth="1"/>
    <col min="4" max="5" width="12.44140625" bestFit="1" customWidth="1"/>
    <col min="6" max="6" width="10" bestFit="1" customWidth="1"/>
    <col min="7" max="7" width="10.21875" bestFit="1" customWidth="1"/>
    <col min="8" max="8" width="11.77734375" bestFit="1" customWidth="1"/>
  </cols>
  <sheetData>
    <row r="1" spans="1:8" x14ac:dyDescent="0.25">
      <c r="A1" s="420" t="s">
        <v>200</v>
      </c>
      <c r="B1" s="419" t="s">
        <v>201</v>
      </c>
      <c r="C1" s="419" t="s">
        <v>202</v>
      </c>
      <c r="D1" s="419" t="s">
        <v>203</v>
      </c>
      <c r="E1" s="419" t="s">
        <v>204</v>
      </c>
      <c r="F1" s="419" t="s">
        <v>205</v>
      </c>
      <c r="G1" s="419" t="s">
        <v>206</v>
      </c>
      <c r="H1" s="419" t="s">
        <v>207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Normal="100" workbookViewId="0">
      <selection activeCell="M25" sqref="M25"/>
    </sheetView>
  </sheetViews>
  <sheetFormatPr defaultColWidth="9.109375" defaultRowHeight="13.2" x14ac:dyDescent="0.25"/>
  <cols>
    <col min="1" max="1" width="9.6640625" style="8" customWidth="1" collapsed="1"/>
    <col min="2" max="2" width="8.6640625" style="8" customWidth="1" collapsed="1"/>
    <col min="3" max="3" width="22.6640625" style="8" customWidth="1" collapsed="1"/>
    <col min="4" max="4" width="6.6640625" style="8" customWidth="1" collapsed="1"/>
    <col min="5" max="5" width="7.6640625" style="8" customWidth="1" collapsed="1"/>
    <col min="6" max="6" width="6.33203125" style="8" customWidth="1" collapsed="1"/>
    <col min="7" max="7" width="5.6640625" style="8" customWidth="1" collapsed="1"/>
    <col min="8" max="8" width="7.6640625" style="8" customWidth="1" collapsed="1"/>
    <col min="9" max="9" width="6.33203125" style="8" customWidth="1" collapsed="1"/>
    <col min="10" max="10" width="5.6640625" style="8" customWidth="1" collapsed="1"/>
    <col min="11" max="15" width="7.6640625" style="8" customWidth="1" collapsed="1"/>
    <col min="16" max="18" width="6.6640625" style="8" customWidth="1" collapsed="1"/>
    <col min="19" max="19" width="10.6640625" style="8" customWidth="1" collapsed="1"/>
    <col min="20" max="20" width="6.6640625" style="8" customWidth="1" collapsed="1"/>
    <col min="21" max="21" width="7.6640625" style="8" customWidth="1" collapsed="1"/>
    <col min="22" max="22" width="10.6640625" style="8" customWidth="1" collapsed="1"/>
    <col min="23" max="23" width="6.6640625" style="8" customWidth="1" collapsed="1"/>
    <col min="24" max="24" width="7.6640625" style="8" customWidth="1" collapsed="1"/>
    <col min="25" max="25" width="7.5546875" style="8" bestFit="1" customWidth="1" collapsed="1"/>
    <col min="26" max="27" width="7.6640625" style="8" customWidth="1" collapsed="1"/>
    <col min="28" max="28" width="6.6640625" style="8" customWidth="1" collapsed="1"/>
    <col min="29" max="29" width="7.6640625" style="8" customWidth="1" collapsed="1"/>
    <col min="30" max="16384" width="9.109375" style="8" collapsed="1"/>
  </cols>
  <sheetData>
    <row r="1" spans="1:29" s="9" customFormat="1" ht="20.100000000000001" customHeight="1" x14ac:dyDescent="0.25">
      <c r="A1" s="243" t="s">
        <v>26</v>
      </c>
      <c r="B1" s="244"/>
      <c r="C1" s="273" t="str">
        <f ca="1">IF(ISBLANK(INDIRECT("Cover!D3")),"",INDIRECT("Cover!D3"))</f>
        <v>*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2" t="s">
        <v>28</v>
      </c>
      <c r="AA1" s="255" t="str">
        <f ca="1">IF(ISBLANK(INDIRECT("Cover!O2")),"",INDIRECT("Cover!O2"))</f>
        <v>*</v>
      </c>
      <c r="AB1" s="255"/>
      <c r="AC1" s="256"/>
    </row>
    <row r="2" spans="1:29" s="9" customFormat="1" ht="20.100000000000001" customHeight="1" thickBot="1" x14ac:dyDescent="0.3">
      <c r="A2" s="245" t="s">
        <v>27</v>
      </c>
      <c r="B2" s="246"/>
      <c r="C2" s="280" t="str">
        <f ca="1">IF(ISBLANK(INDIRECT("Cover!D4")),"",INDIRECT("Cover!D4"))</f>
        <v>*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1"/>
      <c r="AA2" s="58"/>
      <c r="AB2" s="32"/>
      <c r="AC2" s="164"/>
    </row>
    <row r="3" spans="1:29" s="9" customFormat="1" ht="20.100000000000001" customHeight="1" x14ac:dyDescent="0.25">
      <c r="A3" s="278" t="s">
        <v>46</v>
      </c>
      <c r="B3" s="278" t="s">
        <v>0</v>
      </c>
      <c r="C3" s="278" t="s">
        <v>1</v>
      </c>
      <c r="D3" s="265" t="s">
        <v>83</v>
      </c>
      <c r="E3" s="266"/>
      <c r="F3" s="263" t="s">
        <v>2</v>
      </c>
      <c r="G3" s="264"/>
      <c r="H3" s="264"/>
      <c r="I3" s="263" t="s">
        <v>5</v>
      </c>
      <c r="J3" s="264"/>
      <c r="K3" s="264"/>
      <c r="L3" s="263" t="s">
        <v>8</v>
      </c>
      <c r="M3" s="274"/>
      <c r="N3" s="23" t="s">
        <v>6</v>
      </c>
      <c r="O3" s="23" t="s">
        <v>22</v>
      </c>
      <c r="P3" s="277" t="s">
        <v>81</v>
      </c>
      <c r="Q3" s="264"/>
      <c r="R3" s="274"/>
      <c r="S3" s="263" t="s">
        <v>77</v>
      </c>
      <c r="T3" s="264"/>
      <c r="U3" s="264"/>
      <c r="V3" s="263" t="s">
        <v>78</v>
      </c>
      <c r="W3" s="264"/>
      <c r="X3" s="274"/>
      <c r="Y3" s="271" t="s">
        <v>82</v>
      </c>
      <c r="Z3" s="257" t="s">
        <v>11</v>
      </c>
      <c r="AA3" s="258"/>
      <c r="AB3" s="258"/>
      <c r="AC3" s="259"/>
    </row>
    <row r="4" spans="1:29" s="9" customFormat="1" ht="20.100000000000001" customHeight="1" thickBot="1" x14ac:dyDescent="0.3">
      <c r="A4" s="279"/>
      <c r="B4" s="279"/>
      <c r="C4" s="279"/>
      <c r="D4" s="267"/>
      <c r="E4" s="268"/>
      <c r="F4" s="60" t="s">
        <v>3</v>
      </c>
      <c r="G4" s="269" t="s">
        <v>4</v>
      </c>
      <c r="H4" s="270"/>
      <c r="I4" s="60" t="s">
        <v>3</v>
      </c>
      <c r="J4" s="269" t="s">
        <v>4</v>
      </c>
      <c r="K4" s="270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9" t="s">
        <v>79</v>
      </c>
      <c r="U4" s="270"/>
      <c r="V4" s="60" t="s">
        <v>80</v>
      </c>
      <c r="W4" s="269" t="s">
        <v>79</v>
      </c>
      <c r="X4" s="270"/>
      <c r="Y4" s="272"/>
      <c r="Z4" s="260"/>
      <c r="AA4" s="261"/>
      <c r="AB4" s="261"/>
      <c r="AC4" s="262"/>
    </row>
    <row r="5" spans="1:29" s="9" customFormat="1" ht="20.100000000000001" customHeight="1" x14ac:dyDescent="0.25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9"/>
      <c r="AA5" s="290"/>
      <c r="AB5" s="290"/>
      <c r="AC5" s="291"/>
    </row>
    <row r="6" spans="1:29" s="9" customFormat="1" ht="20.100000000000001" customHeight="1" x14ac:dyDescent="0.25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52"/>
      <c r="AA6" s="253"/>
      <c r="AB6" s="253"/>
      <c r="AC6" s="254"/>
    </row>
    <row r="7" spans="1:29" s="18" customFormat="1" ht="20.100000000000001" customHeight="1" x14ac:dyDescent="0.25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52"/>
      <c r="AA7" s="253"/>
      <c r="AB7" s="253"/>
      <c r="AC7" s="254"/>
    </row>
    <row r="8" spans="1:29" s="18" customFormat="1" ht="20.100000000000001" customHeight="1" x14ac:dyDescent="0.25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52"/>
      <c r="AA8" s="253"/>
      <c r="AB8" s="253"/>
      <c r="AC8" s="254"/>
    </row>
    <row r="9" spans="1:29" s="18" customFormat="1" ht="20.100000000000001" customHeight="1" x14ac:dyDescent="0.25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52"/>
      <c r="AA9" s="253"/>
      <c r="AB9" s="253"/>
      <c r="AC9" s="254"/>
    </row>
    <row r="10" spans="1:29" s="18" customFormat="1" ht="19.5" customHeight="1" x14ac:dyDescent="0.25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52"/>
      <c r="AA10" s="253"/>
      <c r="AB10" s="253"/>
      <c r="AC10" s="254"/>
    </row>
    <row r="11" spans="1:29" s="18" customFormat="1" ht="20.100000000000001" customHeight="1" x14ac:dyDescent="0.25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52"/>
      <c r="AA11" s="253"/>
      <c r="AB11" s="253"/>
      <c r="AC11" s="254"/>
    </row>
    <row r="12" spans="1:29" s="18" customFormat="1" ht="20.100000000000001" customHeight="1" x14ac:dyDescent="0.25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52"/>
      <c r="AA12" s="253"/>
      <c r="AB12" s="253"/>
      <c r="AC12" s="254"/>
    </row>
    <row r="13" spans="1:29" s="18" customFormat="1" ht="20.100000000000001" customHeight="1" x14ac:dyDescent="0.25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52"/>
      <c r="AA13" s="253"/>
      <c r="AB13" s="253"/>
      <c r="AC13" s="254"/>
    </row>
    <row r="14" spans="1:29" s="18" customFormat="1" ht="20.100000000000001" customHeight="1" x14ac:dyDescent="0.25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52"/>
      <c r="AA14" s="253"/>
      <c r="AB14" s="253"/>
      <c r="AC14" s="254"/>
    </row>
    <row r="15" spans="1:29" s="18" customFormat="1" ht="20.100000000000001" customHeight="1" x14ac:dyDescent="0.25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52"/>
      <c r="AA15" s="253"/>
      <c r="AB15" s="253"/>
      <c r="AC15" s="254"/>
    </row>
    <row r="16" spans="1:29" s="18" customFormat="1" ht="20.100000000000001" customHeight="1" x14ac:dyDescent="0.25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52"/>
      <c r="AA16" s="253"/>
      <c r="AB16" s="253"/>
      <c r="AC16" s="254"/>
    </row>
    <row r="17" spans="1:29" s="18" customFormat="1" ht="20.100000000000001" customHeight="1" x14ac:dyDescent="0.25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52"/>
      <c r="AA17" s="253"/>
      <c r="AB17" s="253"/>
      <c r="AC17" s="254"/>
    </row>
    <row r="18" spans="1:29" s="18" customFormat="1" ht="20.100000000000001" customHeight="1" x14ac:dyDescent="0.25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52"/>
      <c r="AA18" s="253"/>
      <c r="AB18" s="253"/>
      <c r="AC18" s="254"/>
    </row>
    <row r="19" spans="1:29" s="18" customFormat="1" ht="20.100000000000001" customHeight="1" x14ac:dyDescent="0.25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52"/>
      <c r="AA19" s="253"/>
      <c r="AB19" s="253"/>
      <c r="AC19" s="254"/>
    </row>
    <row r="20" spans="1:29" s="18" customFormat="1" ht="20.100000000000001" customHeight="1" x14ac:dyDescent="0.25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52"/>
      <c r="AA20" s="253"/>
      <c r="AB20" s="253"/>
      <c r="AC20" s="254"/>
    </row>
    <row r="21" spans="1:29" s="18" customFormat="1" ht="20.100000000000001" customHeight="1" x14ac:dyDescent="0.25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52"/>
      <c r="AA21" s="253"/>
      <c r="AB21" s="253"/>
      <c r="AC21" s="254"/>
    </row>
    <row r="22" spans="1:29" s="18" customFormat="1" ht="20.100000000000001" customHeight="1" x14ac:dyDescent="0.25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52"/>
      <c r="AA22" s="253"/>
      <c r="AB22" s="253"/>
      <c r="AC22" s="254"/>
    </row>
    <row r="23" spans="1:29" s="18" customFormat="1" ht="20.100000000000001" customHeight="1" x14ac:dyDescent="0.25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52"/>
      <c r="AA23" s="253"/>
      <c r="AB23" s="253"/>
      <c r="AC23" s="254"/>
    </row>
    <row r="24" spans="1:29" s="18" customFormat="1" ht="20.100000000000001" customHeight="1" x14ac:dyDescent="0.25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52"/>
      <c r="AA24" s="253"/>
      <c r="AB24" s="253"/>
      <c r="AC24" s="254"/>
    </row>
    <row r="25" spans="1:29" s="18" customFormat="1" ht="20.100000000000001" customHeight="1" x14ac:dyDescent="0.25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52"/>
      <c r="AA25" s="253"/>
      <c r="AB25" s="253"/>
      <c r="AC25" s="254"/>
    </row>
    <row r="26" spans="1:29" s="18" customFormat="1" ht="20.100000000000001" customHeight="1" x14ac:dyDescent="0.25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52"/>
      <c r="AA26" s="253"/>
      <c r="AB26" s="253"/>
      <c r="AC26" s="254"/>
    </row>
    <row r="27" spans="1:29" s="18" customFormat="1" ht="20.100000000000001" customHeight="1" x14ac:dyDescent="0.25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52"/>
      <c r="AA27" s="253"/>
      <c r="AB27" s="253"/>
      <c r="AC27" s="254"/>
    </row>
    <row r="28" spans="1:29" s="18" customFormat="1" ht="20.100000000000001" customHeight="1" x14ac:dyDescent="0.25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52"/>
      <c r="AA28" s="253"/>
      <c r="AB28" s="253"/>
      <c r="AC28" s="254"/>
    </row>
    <row r="29" spans="1:29" s="18" customFormat="1" ht="20.100000000000001" customHeight="1" x14ac:dyDescent="0.25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52"/>
      <c r="AA29" s="253"/>
      <c r="AB29" s="253"/>
      <c r="AC29" s="254"/>
    </row>
    <row r="30" spans="1:29" s="18" customFormat="1" ht="20.100000000000001" customHeight="1" x14ac:dyDescent="0.25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52"/>
      <c r="AA30" s="253"/>
      <c r="AB30" s="253"/>
      <c r="AC30" s="254"/>
    </row>
    <row r="31" spans="1:29" s="18" customFormat="1" ht="20.100000000000001" customHeight="1" x14ac:dyDescent="0.25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52"/>
      <c r="AA31" s="253"/>
      <c r="AB31" s="253"/>
      <c r="AC31" s="254"/>
    </row>
    <row r="32" spans="1:29" s="18" customFormat="1" ht="20.100000000000001" customHeight="1" x14ac:dyDescent="0.25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52"/>
      <c r="AA32" s="253"/>
      <c r="AB32" s="253"/>
      <c r="AC32" s="254"/>
    </row>
    <row r="33" spans="1:29" s="18" customFormat="1" ht="20.100000000000001" customHeight="1" x14ac:dyDescent="0.25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52"/>
      <c r="AA33" s="253"/>
      <c r="AB33" s="253"/>
      <c r="AC33" s="254"/>
    </row>
    <row r="34" spans="1:29" s="18" customFormat="1" ht="20.100000000000001" customHeight="1" x14ac:dyDescent="0.25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52"/>
      <c r="AA34" s="253"/>
      <c r="AB34" s="253"/>
      <c r="AC34" s="254"/>
    </row>
    <row r="35" spans="1:29" s="18" customFormat="1" ht="20.100000000000001" customHeight="1" x14ac:dyDescent="0.25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52"/>
      <c r="AA35" s="253"/>
      <c r="AB35" s="253"/>
      <c r="AC35" s="254"/>
    </row>
    <row r="36" spans="1:29" s="18" customFormat="1" ht="20.100000000000001" customHeight="1" x14ac:dyDescent="0.25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52"/>
      <c r="AA36" s="253"/>
      <c r="AB36" s="253"/>
      <c r="AC36" s="254"/>
    </row>
    <row r="37" spans="1:29" s="18" customFormat="1" ht="20.100000000000001" customHeight="1" x14ac:dyDescent="0.25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52"/>
      <c r="AA37" s="253"/>
      <c r="AB37" s="253"/>
      <c r="AC37" s="254"/>
    </row>
    <row r="38" spans="1:29" s="18" customFormat="1" ht="20.100000000000001" customHeight="1" x14ac:dyDescent="0.25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52"/>
      <c r="AA38" s="253"/>
      <c r="AB38" s="253"/>
      <c r="AC38" s="254"/>
    </row>
    <row r="39" spans="1:29" s="18" customFormat="1" ht="20.100000000000001" customHeight="1" x14ac:dyDescent="0.25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52"/>
      <c r="AA39" s="253"/>
      <c r="AB39" s="253"/>
      <c r="AC39" s="254"/>
    </row>
    <row r="40" spans="1:29" s="18" customFormat="1" ht="20.100000000000001" customHeight="1" x14ac:dyDescent="0.25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52"/>
      <c r="AA40" s="253"/>
      <c r="AB40" s="253"/>
      <c r="AC40" s="254"/>
    </row>
    <row r="41" spans="1:29" s="18" customFormat="1" ht="20.100000000000001" customHeight="1" thickBot="1" x14ac:dyDescent="0.3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52"/>
      <c r="AA41" s="253"/>
      <c r="AB41" s="253"/>
      <c r="AC41" s="254"/>
    </row>
    <row r="42" spans="1:29" s="18" customFormat="1" ht="20.100000000000001" customHeight="1" thickBot="1" x14ac:dyDescent="0.3">
      <c r="A42" s="73" t="s">
        <v>49</v>
      </c>
      <c r="B42" s="287">
        <f>SUM(B5:B41)</f>
        <v>0</v>
      </c>
      <c r="C42" s="288"/>
      <c r="D42" s="284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5"/>
      <c r="AB42" s="285"/>
      <c r="AC42" s="286"/>
    </row>
    <row r="43" spans="1:29" s="18" customFormat="1" ht="20.100000000000001" customHeight="1" x14ac:dyDescent="0.25">
      <c r="A43" s="163" t="s">
        <v>25</v>
      </c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6"/>
    </row>
    <row r="44" spans="1:29" s="18" customFormat="1" ht="20.100000000000001" customHeight="1" x14ac:dyDescent="0.25">
      <c r="A44" s="252"/>
      <c r="B44" s="253"/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C44" s="254"/>
    </row>
    <row r="45" spans="1:29" s="18" customFormat="1" ht="20.100000000000001" customHeight="1" thickBot="1" x14ac:dyDescent="0.3">
      <c r="A45" s="281"/>
      <c r="B45" s="282"/>
      <c r="C45" s="282"/>
      <c r="D45" s="282"/>
      <c r="E45" s="282"/>
      <c r="F45" s="282"/>
      <c r="G45" s="282"/>
      <c r="H45" s="282"/>
      <c r="I45" s="282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3"/>
    </row>
    <row r="46" spans="1:29" s="18" customFormat="1" ht="17.399999999999999" customHeight="1" x14ac:dyDescent="0.25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399999999999999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399999999999999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399999999999999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399999999999999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399999999999999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ColWidth="9.109375" defaultRowHeight="15" customHeight="1" x14ac:dyDescent="0.25"/>
  <cols>
    <col min="1" max="3" width="5.6640625" style="208" customWidth="1" collapsed="1"/>
    <col min="4" max="4" width="41.33203125" style="208" customWidth="1" collapsed="1"/>
    <col min="5" max="5" width="11.44140625" style="208" customWidth="1" collapsed="1"/>
    <col min="6" max="6" width="25.109375" style="208" customWidth="1" collapsed="1"/>
    <col min="7" max="16384" width="9.109375" style="208" collapsed="1"/>
  </cols>
  <sheetData>
    <row r="1" spans="1:6" ht="19.5" customHeight="1" x14ac:dyDescent="0.25">
      <c r="A1" s="414" t="s">
        <v>91</v>
      </c>
      <c r="B1" s="414"/>
      <c r="C1" s="414"/>
      <c r="D1" s="414"/>
      <c r="E1" s="414"/>
      <c r="F1" s="414"/>
    </row>
    <row r="2" spans="1:6" ht="47.25" customHeight="1" x14ac:dyDescent="0.25">
      <c r="A2" s="414"/>
      <c r="B2" s="414"/>
      <c r="C2" s="414"/>
      <c r="D2" s="414"/>
      <c r="E2" s="414"/>
      <c r="F2" s="414"/>
    </row>
    <row r="3" spans="1:6" ht="18" customHeight="1" x14ac:dyDescent="0.25">
      <c r="A3" s="405" t="s">
        <v>119</v>
      </c>
      <c r="B3" s="405"/>
      <c r="C3" s="405"/>
      <c r="D3" s="210"/>
      <c r="E3" s="209" t="s">
        <v>92</v>
      </c>
      <c r="F3" s="211"/>
    </row>
    <row r="4" spans="1:6" ht="18" customHeight="1" x14ac:dyDescent="0.25">
      <c r="A4" s="405" t="s">
        <v>120</v>
      </c>
      <c r="B4" s="405"/>
      <c r="C4" s="405"/>
      <c r="D4" s="212"/>
      <c r="E4" s="209" t="s">
        <v>93</v>
      </c>
      <c r="F4" s="211"/>
    </row>
    <row r="5" spans="1:6" ht="18.75" customHeight="1" thickBot="1" x14ac:dyDescent="0.3">
      <c r="A5" s="418"/>
      <c r="B5" s="418"/>
      <c r="C5" s="418"/>
      <c r="D5" s="213"/>
      <c r="E5" s="214"/>
      <c r="F5" s="215"/>
    </row>
    <row r="6" spans="1:6" ht="19.5" customHeight="1" thickBot="1" x14ac:dyDescent="0.3">
      <c r="A6" s="216" t="s">
        <v>94</v>
      </c>
      <c r="B6" s="217" t="s">
        <v>95</v>
      </c>
      <c r="C6" s="217" t="s">
        <v>96</v>
      </c>
      <c r="D6" s="415" t="s">
        <v>97</v>
      </c>
      <c r="E6" s="416"/>
      <c r="F6" s="417"/>
    </row>
    <row r="7" spans="1:6" ht="15" customHeight="1" thickTop="1" x14ac:dyDescent="0.25">
      <c r="A7" s="218"/>
      <c r="B7" s="219"/>
      <c r="C7" s="219"/>
      <c r="D7" s="406" t="s">
        <v>98</v>
      </c>
      <c r="E7" s="406"/>
      <c r="F7" s="407"/>
    </row>
    <row r="8" spans="1:6" ht="15" customHeight="1" x14ac:dyDescent="0.25">
      <c r="A8" s="220"/>
      <c r="B8" s="221"/>
      <c r="C8" s="221"/>
      <c r="D8" s="408" t="s">
        <v>99</v>
      </c>
      <c r="E8" s="408"/>
      <c r="F8" s="409"/>
    </row>
    <row r="9" spans="1:6" ht="15" customHeight="1" x14ac:dyDescent="0.25">
      <c r="A9" s="220"/>
      <c r="B9" s="221"/>
      <c r="C9" s="221"/>
      <c r="D9" s="408" t="s">
        <v>100</v>
      </c>
      <c r="E9" s="408"/>
      <c r="F9" s="409"/>
    </row>
    <row r="10" spans="1:6" ht="15" customHeight="1" x14ac:dyDescent="0.25">
      <c r="A10" s="220"/>
      <c r="B10" s="221"/>
      <c r="C10" s="221"/>
      <c r="D10" s="408" t="s">
        <v>101</v>
      </c>
      <c r="E10" s="408"/>
      <c r="F10" s="409"/>
    </row>
    <row r="11" spans="1:6" ht="15" customHeight="1" x14ac:dyDescent="0.25">
      <c r="A11" s="220"/>
      <c r="B11" s="221"/>
      <c r="C11" s="221"/>
      <c r="D11" s="408" t="s">
        <v>102</v>
      </c>
      <c r="E11" s="408"/>
      <c r="F11" s="409"/>
    </row>
    <row r="12" spans="1:6" ht="15" customHeight="1" x14ac:dyDescent="0.25">
      <c r="A12" s="220"/>
      <c r="B12" s="221"/>
      <c r="C12" s="221"/>
      <c r="D12" s="408" t="s">
        <v>103</v>
      </c>
      <c r="E12" s="408"/>
      <c r="F12" s="409"/>
    </row>
    <row r="13" spans="1:6" ht="15" customHeight="1" x14ac:dyDescent="0.25">
      <c r="A13" s="220"/>
      <c r="B13" s="221"/>
      <c r="C13" s="221"/>
      <c r="D13" s="408" t="s">
        <v>104</v>
      </c>
      <c r="E13" s="408"/>
      <c r="F13" s="409"/>
    </row>
    <row r="14" spans="1:6" ht="15" customHeight="1" x14ac:dyDescent="0.25">
      <c r="A14" s="220"/>
      <c r="B14" s="221"/>
      <c r="C14" s="221"/>
      <c r="D14" s="408" t="s">
        <v>105</v>
      </c>
      <c r="E14" s="408"/>
      <c r="F14" s="409"/>
    </row>
    <row r="15" spans="1:6" ht="15" customHeight="1" x14ac:dyDescent="0.25">
      <c r="A15" s="220"/>
      <c r="B15" s="221"/>
      <c r="C15" s="221"/>
      <c r="D15" s="408" t="s">
        <v>106</v>
      </c>
      <c r="E15" s="408"/>
      <c r="F15" s="409"/>
    </row>
    <row r="16" spans="1:6" ht="15" customHeight="1" x14ac:dyDescent="0.25">
      <c r="A16" s="220"/>
      <c r="B16" s="221"/>
      <c r="C16" s="221"/>
      <c r="D16" s="408" t="s">
        <v>107</v>
      </c>
      <c r="E16" s="408"/>
      <c r="F16" s="409"/>
    </row>
    <row r="17" spans="1:6" ht="15" customHeight="1" x14ac:dyDescent="0.25">
      <c r="A17" s="220"/>
      <c r="B17" s="221"/>
      <c r="C17" s="221"/>
      <c r="D17" s="408" t="s">
        <v>108</v>
      </c>
      <c r="E17" s="408"/>
      <c r="F17" s="409"/>
    </row>
    <row r="18" spans="1:6" ht="15" customHeight="1" x14ac:dyDescent="0.25">
      <c r="A18" s="220"/>
      <c r="B18" s="221"/>
      <c r="C18" s="221"/>
      <c r="D18" s="408" t="s">
        <v>109</v>
      </c>
      <c r="E18" s="408"/>
      <c r="F18" s="409"/>
    </row>
    <row r="19" spans="1:6" ht="15" customHeight="1" x14ac:dyDescent="0.25">
      <c r="A19" s="220"/>
      <c r="B19" s="221"/>
      <c r="C19" s="221"/>
      <c r="D19" s="408" t="s">
        <v>110</v>
      </c>
      <c r="E19" s="408"/>
      <c r="F19" s="409"/>
    </row>
    <row r="20" spans="1:6" ht="15" customHeight="1" x14ac:dyDescent="0.25">
      <c r="A20" s="220"/>
      <c r="B20" s="221"/>
      <c r="C20" s="221"/>
      <c r="D20" s="408" t="s">
        <v>111</v>
      </c>
      <c r="E20" s="408"/>
      <c r="F20" s="409"/>
    </row>
    <row r="21" spans="1:6" ht="15" customHeight="1" x14ac:dyDescent="0.25">
      <c r="A21" s="220"/>
      <c r="B21" s="221"/>
      <c r="C21" s="221"/>
      <c r="D21" s="408" t="s">
        <v>112</v>
      </c>
      <c r="E21" s="408"/>
      <c r="F21" s="409"/>
    </row>
    <row r="22" spans="1:6" ht="15" customHeight="1" x14ac:dyDescent="0.25">
      <c r="A22" s="220"/>
      <c r="B22" s="221"/>
      <c r="C22" s="221"/>
      <c r="D22" s="408" t="s">
        <v>113</v>
      </c>
      <c r="E22" s="408"/>
      <c r="F22" s="409"/>
    </row>
    <row r="23" spans="1:6" ht="15" customHeight="1" x14ac:dyDescent="0.25">
      <c r="A23" s="220"/>
      <c r="B23" s="221"/>
      <c r="C23" s="221"/>
      <c r="D23" s="408" t="s">
        <v>114</v>
      </c>
      <c r="E23" s="408"/>
      <c r="F23" s="409"/>
    </row>
    <row r="24" spans="1:6" ht="15" customHeight="1" x14ac:dyDescent="0.25">
      <c r="A24" s="220"/>
      <c r="B24" s="221"/>
      <c r="C24" s="221"/>
      <c r="D24" s="408" t="s">
        <v>115</v>
      </c>
      <c r="E24" s="408"/>
      <c r="F24" s="409"/>
    </row>
    <row r="25" spans="1:6" ht="15" customHeight="1" x14ac:dyDescent="0.25">
      <c r="A25" s="220"/>
      <c r="B25" s="221"/>
      <c r="C25" s="221"/>
      <c r="D25" s="408" t="s">
        <v>116</v>
      </c>
      <c r="E25" s="408"/>
      <c r="F25" s="409"/>
    </row>
    <row r="26" spans="1:6" ht="15" customHeight="1" x14ac:dyDescent="0.25">
      <c r="A26" s="220"/>
      <c r="B26" s="221"/>
      <c r="C26" s="221"/>
      <c r="D26" s="408" t="s">
        <v>117</v>
      </c>
      <c r="E26" s="408"/>
      <c r="F26" s="409"/>
    </row>
    <row r="27" spans="1:6" ht="15" customHeight="1" x14ac:dyDescent="0.25">
      <c r="A27" s="220"/>
      <c r="B27" s="221"/>
      <c r="C27" s="221"/>
      <c r="D27" s="408" t="s">
        <v>118</v>
      </c>
      <c r="E27" s="408"/>
      <c r="F27" s="409"/>
    </row>
    <row r="28" spans="1:6" ht="15" customHeight="1" x14ac:dyDescent="0.25">
      <c r="A28" s="220"/>
      <c r="B28" s="221"/>
      <c r="C28" s="221"/>
      <c r="D28" s="408"/>
      <c r="E28" s="408"/>
      <c r="F28" s="409"/>
    </row>
    <row r="29" spans="1:6" ht="15" customHeight="1" x14ac:dyDescent="0.25">
      <c r="A29" s="220"/>
      <c r="B29" s="221"/>
      <c r="C29" s="221"/>
      <c r="D29" s="408"/>
      <c r="E29" s="408"/>
      <c r="F29" s="409"/>
    </row>
    <row r="30" spans="1:6" ht="15" customHeight="1" x14ac:dyDescent="0.25">
      <c r="A30" s="220"/>
      <c r="B30" s="221"/>
      <c r="C30" s="221"/>
      <c r="D30" s="408"/>
      <c r="E30" s="408"/>
      <c r="F30" s="409"/>
    </row>
    <row r="31" spans="1:6" ht="15" customHeight="1" x14ac:dyDescent="0.25">
      <c r="A31" s="220"/>
      <c r="B31" s="221"/>
      <c r="C31" s="221"/>
      <c r="D31" s="408"/>
      <c r="E31" s="408"/>
      <c r="F31" s="409"/>
    </row>
    <row r="32" spans="1:6" ht="15" customHeight="1" x14ac:dyDescent="0.25">
      <c r="A32" s="220"/>
      <c r="B32" s="221"/>
      <c r="C32" s="221"/>
      <c r="D32" s="408"/>
      <c r="E32" s="408"/>
      <c r="F32" s="409"/>
    </row>
    <row r="33" spans="1:6" ht="15" customHeight="1" x14ac:dyDescent="0.25">
      <c r="A33" s="220"/>
      <c r="B33" s="221"/>
      <c r="C33" s="221"/>
      <c r="D33" s="408"/>
      <c r="E33" s="408"/>
      <c r="F33" s="409"/>
    </row>
    <row r="34" spans="1:6" ht="15" customHeight="1" x14ac:dyDescent="0.25">
      <c r="A34" s="220"/>
      <c r="B34" s="221"/>
      <c r="C34" s="221"/>
      <c r="D34" s="408"/>
      <c r="E34" s="408"/>
      <c r="F34" s="409"/>
    </row>
    <row r="35" spans="1:6" ht="15" customHeight="1" x14ac:dyDescent="0.25">
      <c r="A35" s="220"/>
      <c r="B35" s="221"/>
      <c r="C35" s="221"/>
      <c r="D35" s="408"/>
      <c r="E35" s="408"/>
      <c r="F35" s="409"/>
    </row>
    <row r="36" spans="1:6" ht="15" customHeight="1" x14ac:dyDescent="0.25">
      <c r="A36" s="220"/>
      <c r="B36" s="221"/>
      <c r="C36" s="221"/>
      <c r="D36" s="408"/>
      <c r="E36" s="408"/>
      <c r="F36" s="409"/>
    </row>
    <row r="37" spans="1:6" ht="15" customHeight="1" x14ac:dyDescent="0.25">
      <c r="A37" s="220"/>
      <c r="B37" s="221"/>
      <c r="C37" s="221"/>
      <c r="D37" s="408"/>
      <c r="E37" s="408"/>
      <c r="F37" s="409"/>
    </row>
    <row r="38" spans="1:6" ht="15" customHeight="1" x14ac:dyDescent="0.25">
      <c r="A38" s="220"/>
      <c r="B38" s="221"/>
      <c r="C38" s="221"/>
      <c r="D38" s="408"/>
      <c r="E38" s="408"/>
      <c r="F38" s="409"/>
    </row>
    <row r="39" spans="1:6" ht="15" customHeight="1" x14ac:dyDescent="0.25">
      <c r="A39" s="220"/>
      <c r="B39" s="221"/>
      <c r="C39" s="221"/>
      <c r="D39" s="408"/>
      <c r="E39" s="408"/>
      <c r="F39" s="409"/>
    </row>
    <row r="40" spans="1:6" ht="15" customHeight="1" x14ac:dyDescent="0.25">
      <c r="A40" s="220"/>
      <c r="B40" s="221"/>
      <c r="C40" s="221"/>
      <c r="D40" s="408"/>
      <c r="E40" s="408"/>
      <c r="F40" s="409"/>
    </row>
    <row r="41" spans="1:6" ht="15" customHeight="1" x14ac:dyDescent="0.25">
      <c r="A41" s="220"/>
      <c r="B41" s="221"/>
      <c r="C41" s="221"/>
      <c r="D41" s="408"/>
      <c r="E41" s="408"/>
      <c r="F41" s="409"/>
    </row>
    <row r="42" spans="1:6" ht="15" customHeight="1" x14ac:dyDescent="0.25">
      <c r="A42" s="220"/>
      <c r="B42" s="221"/>
      <c r="C42" s="221"/>
      <c r="D42" s="408"/>
      <c r="E42" s="408"/>
      <c r="F42" s="409"/>
    </row>
    <row r="43" spans="1:6" ht="15" customHeight="1" x14ac:dyDescent="0.25">
      <c r="A43" s="220"/>
      <c r="B43" s="222"/>
      <c r="C43" s="222"/>
      <c r="D43" s="408"/>
      <c r="E43" s="408"/>
      <c r="F43" s="409"/>
    </row>
    <row r="44" spans="1:6" ht="15" customHeight="1" x14ac:dyDescent="0.25">
      <c r="A44" s="223"/>
      <c r="B44" s="224"/>
      <c r="C44" s="224"/>
      <c r="D44" s="412"/>
      <c r="E44" s="412"/>
      <c r="F44" s="413"/>
    </row>
    <row r="45" spans="1:6" ht="15" customHeight="1" x14ac:dyDescent="0.25">
      <c r="A45" s="225"/>
      <c r="B45" s="222"/>
      <c r="C45" s="222"/>
      <c r="D45" s="408"/>
      <c r="E45" s="408"/>
      <c r="F45" s="409"/>
    </row>
    <row r="46" spans="1:6" ht="15" customHeight="1" x14ac:dyDescent="0.25">
      <c r="A46" s="223"/>
      <c r="B46" s="224"/>
      <c r="C46" s="224"/>
      <c r="D46" s="412"/>
      <c r="E46" s="412"/>
      <c r="F46" s="413"/>
    </row>
    <row r="47" spans="1:6" ht="15" customHeight="1" thickBot="1" x14ac:dyDescent="0.3">
      <c r="A47" s="226"/>
      <c r="B47" s="227"/>
      <c r="C47" s="227"/>
      <c r="D47" s="410"/>
      <c r="E47" s="410"/>
      <c r="F47" s="411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121920</xdr:colOff>
                <xdr:row>6</xdr:row>
                <xdr:rowOff>38100</xdr:rowOff>
              </from>
              <to>
                <xdr:col>0</xdr:col>
                <xdr:colOff>251460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121920</xdr:colOff>
                <xdr:row>6</xdr:row>
                <xdr:rowOff>38100</xdr:rowOff>
              </from>
              <to>
                <xdr:col>2</xdr:col>
                <xdr:colOff>251460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121920</xdr:colOff>
                <xdr:row>7</xdr:row>
                <xdr:rowOff>38100</xdr:rowOff>
              </from>
              <to>
                <xdr:col>0</xdr:col>
                <xdr:colOff>251460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121920</xdr:colOff>
                <xdr:row>7</xdr:row>
                <xdr:rowOff>38100</xdr:rowOff>
              </from>
              <to>
                <xdr:col>2</xdr:col>
                <xdr:colOff>251460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121920</xdr:colOff>
                <xdr:row>8</xdr:row>
                <xdr:rowOff>38100</xdr:rowOff>
              </from>
              <to>
                <xdr:col>0</xdr:col>
                <xdr:colOff>251460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121920</xdr:colOff>
                <xdr:row>8</xdr:row>
                <xdr:rowOff>38100</xdr:rowOff>
              </from>
              <to>
                <xdr:col>2</xdr:col>
                <xdr:colOff>251460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121920</xdr:colOff>
                <xdr:row>9</xdr:row>
                <xdr:rowOff>38100</xdr:rowOff>
              </from>
              <to>
                <xdr:col>0</xdr:col>
                <xdr:colOff>251460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121920</xdr:colOff>
                <xdr:row>9</xdr:row>
                <xdr:rowOff>38100</xdr:rowOff>
              </from>
              <to>
                <xdr:col>2</xdr:col>
                <xdr:colOff>251460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121920</xdr:colOff>
                <xdr:row>10</xdr:row>
                <xdr:rowOff>38100</xdr:rowOff>
              </from>
              <to>
                <xdr:col>0</xdr:col>
                <xdr:colOff>251460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121920</xdr:colOff>
                <xdr:row>10</xdr:row>
                <xdr:rowOff>38100</xdr:rowOff>
              </from>
              <to>
                <xdr:col>2</xdr:col>
                <xdr:colOff>251460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121920</xdr:colOff>
                <xdr:row>11</xdr:row>
                <xdr:rowOff>38100</xdr:rowOff>
              </from>
              <to>
                <xdr:col>0</xdr:col>
                <xdr:colOff>251460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121920</xdr:colOff>
                <xdr:row>11</xdr:row>
                <xdr:rowOff>38100</xdr:rowOff>
              </from>
              <to>
                <xdr:col>2</xdr:col>
                <xdr:colOff>251460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121920</xdr:colOff>
                <xdr:row>12</xdr:row>
                <xdr:rowOff>38100</xdr:rowOff>
              </from>
              <to>
                <xdr:col>0</xdr:col>
                <xdr:colOff>251460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121920</xdr:colOff>
                <xdr:row>12</xdr:row>
                <xdr:rowOff>38100</xdr:rowOff>
              </from>
              <to>
                <xdr:col>2</xdr:col>
                <xdr:colOff>251460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121920</xdr:colOff>
                <xdr:row>13</xdr:row>
                <xdr:rowOff>38100</xdr:rowOff>
              </from>
              <to>
                <xdr:col>0</xdr:col>
                <xdr:colOff>251460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121920</xdr:colOff>
                <xdr:row>13</xdr:row>
                <xdr:rowOff>38100</xdr:rowOff>
              </from>
              <to>
                <xdr:col>2</xdr:col>
                <xdr:colOff>251460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121920</xdr:colOff>
                <xdr:row>14</xdr:row>
                <xdr:rowOff>38100</xdr:rowOff>
              </from>
              <to>
                <xdr:col>0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121920</xdr:colOff>
                <xdr:row>14</xdr:row>
                <xdr:rowOff>38100</xdr:rowOff>
              </from>
              <to>
                <xdr:col>0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121920</xdr:colOff>
                <xdr:row>14</xdr:row>
                <xdr:rowOff>38100</xdr:rowOff>
              </from>
              <to>
                <xdr:col>2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121920</xdr:colOff>
                <xdr:row>15</xdr:row>
                <xdr:rowOff>38100</xdr:rowOff>
              </from>
              <to>
                <xdr:col>0</xdr:col>
                <xdr:colOff>251460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121920</xdr:colOff>
                <xdr:row>15</xdr:row>
                <xdr:rowOff>38100</xdr:rowOff>
              </from>
              <to>
                <xdr:col>2</xdr:col>
                <xdr:colOff>251460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121920</xdr:colOff>
                <xdr:row>16</xdr:row>
                <xdr:rowOff>38100</xdr:rowOff>
              </from>
              <to>
                <xdr:col>0</xdr:col>
                <xdr:colOff>251460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121920</xdr:colOff>
                <xdr:row>16</xdr:row>
                <xdr:rowOff>38100</xdr:rowOff>
              </from>
              <to>
                <xdr:col>2</xdr:col>
                <xdr:colOff>251460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121920</xdr:colOff>
                <xdr:row>17</xdr:row>
                <xdr:rowOff>38100</xdr:rowOff>
              </from>
              <to>
                <xdr:col>0</xdr:col>
                <xdr:colOff>251460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121920</xdr:colOff>
                <xdr:row>17</xdr:row>
                <xdr:rowOff>38100</xdr:rowOff>
              </from>
              <to>
                <xdr:col>2</xdr:col>
                <xdr:colOff>251460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121920</xdr:colOff>
                <xdr:row>18</xdr:row>
                <xdr:rowOff>38100</xdr:rowOff>
              </from>
              <to>
                <xdr:col>0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121920</xdr:colOff>
                <xdr:row>18</xdr:row>
                <xdr:rowOff>38100</xdr:rowOff>
              </from>
              <to>
                <xdr:col>2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121920</xdr:colOff>
                <xdr:row>19</xdr:row>
                <xdr:rowOff>38100</xdr:rowOff>
              </from>
              <to>
                <xdr:col>0</xdr:col>
                <xdr:colOff>251460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121920</xdr:colOff>
                <xdr:row>19</xdr:row>
                <xdr:rowOff>38100</xdr:rowOff>
              </from>
              <to>
                <xdr:col>2</xdr:col>
                <xdr:colOff>251460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121920</xdr:colOff>
                <xdr:row>20</xdr:row>
                <xdr:rowOff>38100</xdr:rowOff>
              </from>
              <to>
                <xdr:col>0</xdr:col>
                <xdr:colOff>251460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121920</xdr:colOff>
                <xdr:row>20</xdr:row>
                <xdr:rowOff>38100</xdr:rowOff>
              </from>
              <to>
                <xdr:col>2</xdr:col>
                <xdr:colOff>251460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121920</xdr:colOff>
                <xdr:row>21</xdr:row>
                <xdr:rowOff>38100</xdr:rowOff>
              </from>
              <to>
                <xdr:col>0</xdr:col>
                <xdr:colOff>251460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121920</xdr:colOff>
                <xdr:row>21</xdr:row>
                <xdr:rowOff>38100</xdr:rowOff>
              </from>
              <to>
                <xdr:col>2</xdr:col>
                <xdr:colOff>251460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121920</xdr:colOff>
                <xdr:row>22</xdr:row>
                <xdr:rowOff>38100</xdr:rowOff>
              </from>
              <to>
                <xdr:col>0</xdr:col>
                <xdr:colOff>251460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121920</xdr:colOff>
                <xdr:row>22</xdr:row>
                <xdr:rowOff>38100</xdr:rowOff>
              </from>
              <to>
                <xdr:col>2</xdr:col>
                <xdr:colOff>251460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121920</xdr:colOff>
                <xdr:row>23</xdr:row>
                <xdr:rowOff>38100</xdr:rowOff>
              </from>
              <to>
                <xdr:col>0</xdr:col>
                <xdr:colOff>251460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121920</xdr:colOff>
                <xdr:row>23</xdr:row>
                <xdr:rowOff>38100</xdr:rowOff>
              </from>
              <to>
                <xdr:col>2</xdr:col>
                <xdr:colOff>251460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121920</xdr:colOff>
                <xdr:row>24</xdr:row>
                <xdr:rowOff>38100</xdr:rowOff>
              </from>
              <to>
                <xdr:col>0</xdr:col>
                <xdr:colOff>251460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121920</xdr:colOff>
                <xdr:row>24</xdr:row>
                <xdr:rowOff>38100</xdr:rowOff>
              </from>
              <to>
                <xdr:col>2</xdr:col>
                <xdr:colOff>251460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121920</xdr:colOff>
                <xdr:row>25</xdr:row>
                <xdr:rowOff>38100</xdr:rowOff>
              </from>
              <to>
                <xdr:col>0</xdr:col>
                <xdr:colOff>251460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121920</xdr:colOff>
                <xdr:row>25</xdr:row>
                <xdr:rowOff>38100</xdr:rowOff>
              </from>
              <to>
                <xdr:col>2</xdr:col>
                <xdr:colOff>251460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121920</xdr:colOff>
                <xdr:row>26</xdr:row>
                <xdr:rowOff>38100</xdr:rowOff>
              </from>
              <to>
                <xdr:col>0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121920</xdr:colOff>
                <xdr:row>26</xdr:row>
                <xdr:rowOff>38100</xdr:rowOff>
              </from>
              <to>
                <xdr:col>2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121920</xdr:colOff>
                <xdr:row>27</xdr:row>
                <xdr:rowOff>38100</xdr:rowOff>
              </from>
              <to>
                <xdr:col>0</xdr:col>
                <xdr:colOff>251460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121920</xdr:colOff>
                <xdr:row>27</xdr:row>
                <xdr:rowOff>38100</xdr:rowOff>
              </from>
              <to>
                <xdr:col>2</xdr:col>
                <xdr:colOff>251460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121920</xdr:colOff>
                <xdr:row>28</xdr:row>
                <xdr:rowOff>38100</xdr:rowOff>
              </from>
              <to>
                <xdr:col>0</xdr:col>
                <xdr:colOff>251460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121920</xdr:colOff>
                <xdr:row>28</xdr:row>
                <xdr:rowOff>38100</xdr:rowOff>
              </from>
              <to>
                <xdr:col>2</xdr:col>
                <xdr:colOff>251460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121920</xdr:colOff>
                <xdr:row>29</xdr:row>
                <xdr:rowOff>38100</xdr:rowOff>
              </from>
              <to>
                <xdr:col>0</xdr:col>
                <xdr:colOff>251460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121920</xdr:colOff>
                <xdr:row>29</xdr:row>
                <xdr:rowOff>38100</xdr:rowOff>
              </from>
              <to>
                <xdr:col>2</xdr:col>
                <xdr:colOff>251460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121920</xdr:colOff>
                <xdr:row>30</xdr:row>
                <xdr:rowOff>38100</xdr:rowOff>
              </from>
              <to>
                <xdr:col>0</xdr:col>
                <xdr:colOff>251460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121920</xdr:colOff>
                <xdr:row>30</xdr:row>
                <xdr:rowOff>38100</xdr:rowOff>
              </from>
              <to>
                <xdr:col>2</xdr:col>
                <xdr:colOff>251460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121920</xdr:colOff>
                <xdr:row>31</xdr:row>
                <xdr:rowOff>38100</xdr:rowOff>
              </from>
              <to>
                <xdr:col>0</xdr:col>
                <xdr:colOff>251460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121920</xdr:colOff>
                <xdr:row>31</xdr:row>
                <xdr:rowOff>38100</xdr:rowOff>
              </from>
              <to>
                <xdr:col>2</xdr:col>
                <xdr:colOff>251460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121920</xdr:colOff>
                <xdr:row>32</xdr:row>
                <xdr:rowOff>38100</xdr:rowOff>
              </from>
              <to>
                <xdr:col>0</xdr:col>
                <xdr:colOff>251460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121920</xdr:colOff>
                <xdr:row>32</xdr:row>
                <xdr:rowOff>38100</xdr:rowOff>
              </from>
              <to>
                <xdr:col>2</xdr:col>
                <xdr:colOff>251460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121920</xdr:colOff>
                <xdr:row>33</xdr:row>
                <xdr:rowOff>38100</xdr:rowOff>
              </from>
              <to>
                <xdr:col>0</xdr:col>
                <xdr:colOff>251460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121920</xdr:colOff>
                <xdr:row>33</xdr:row>
                <xdr:rowOff>38100</xdr:rowOff>
              </from>
              <to>
                <xdr:col>2</xdr:col>
                <xdr:colOff>251460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121920</xdr:colOff>
                <xdr:row>34</xdr:row>
                <xdr:rowOff>38100</xdr:rowOff>
              </from>
              <to>
                <xdr:col>0</xdr:col>
                <xdr:colOff>251460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121920</xdr:colOff>
                <xdr:row>34</xdr:row>
                <xdr:rowOff>38100</xdr:rowOff>
              </from>
              <to>
                <xdr:col>2</xdr:col>
                <xdr:colOff>251460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121920</xdr:colOff>
                <xdr:row>35</xdr:row>
                <xdr:rowOff>38100</xdr:rowOff>
              </from>
              <to>
                <xdr:col>0</xdr:col>
                <xdr:colOff>251460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121920</xdr:colOff>
                <xdr:row>35</xdr:row>
                <xdr:rowOff>38100</xdr:rowOff>
              </from>
              <to>
                <xdr:col>2</xdr:col>
                <xdr:colOff>251460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121920</xdr:colOff>
                <xdr:row>36</xdr:row>
                <xdr:rowOff>38100</xdr:rowOff>
              </from>
              <to>
                <xdr:col>0</xdr:col>
                <xdr:colOff>251460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121920</xdr:colOff>
                <xdr:row>36</xdr:row>
                <xdr:rowOff>38100</xdr:rowOff>
              </from>
              <to>
                <xdr:col>2</xdr:col>
                <xdr:colOff>251460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121920</xdr:colOff>
                <xdr:row>37</xdr:row>
                <xdr:rowOff>38100</xdr:rowOff>
              </from>
              <to>
                <xdr:col>0</xdr:col>
                <xdr:colOff>251460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121920</xdr:colOff>
                <xdr:row>37</xdr:row>
                <xdr:rowOff>38100</xdr:rowOff>
              </from>
              <to>
                <xdr:col>2</xdr:col>
                <xdr:colOff>251460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121920</xdr:colOff>
                <xdr:row>38</xdr:row>
                <xdr:rowOff>38100</xdr:rowOff>
              </from>
              <to>
                <xdr:col>0</xdr:col>
                <xdr:colOff>251460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121920</xdr:colOff>
                <xdr:row>38</xdr:row>
                <xdr:rowOff>38100</xdr:rowOff>
              </from>
              <to>
                <xdr:col>2</xdr:col>
                <xdr:colOff>251460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121920</xdr:colOff>
                <xdr:row>39</xdr:row>
                <xdr:rowOff>38100</xdr:rowOff>
              </from>
              <to>
                <xdr:col>0</xdr:col>
                <xdr:colOff>251460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121920</xdr:colOff>
                <xdr:row>39</xdr:row>
                <xdr:rowOff>38100</xdr:rowOff>
              </from>
              <to>
                <xdr:col>2</xdr:col>
                <xdr:colOff>251460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121920</xdr:colOff>
                <xdr:row>40</xdr:row>
                <xdr:rowOff>38100</xdr:rowOff>
              </from>
              <to>
                <xdr:col>0</xdr:col>
                <xdr:colOff>251460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121920</xdr:colOff>
                <xdr:row>40</xdr:row>
                <xdr:rowOff>38100</xdr:rowOff>
              </from>
              <to>
                <xdr:col>2</xdr:col>
                <xdr:colOff>251460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121920</xdr:colOff>
                <xdr:row>41</xdr:row>
                <xdr:rowOff>38100</xdr:rowOff>
              </from>
              <to>
                <xdr:col>0</xdr:col>
                <xdr:colOff>251460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121920</xdr:colOff>
                <xdr:row>41</xdr:row>
                <xdr:rowOff>38100</xdr:rowOff>
              </from>
              <to>
                <xdr:col>2</xdr:col>
                <xdr:colOff>251460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121920</xdr:colOff>
                <xdr:row>42</xdr:row>
                <xdr:rowOff>38100</xdr:rowOff>
              </from>
              <to>
                <xdr:col>0</xdr:col>
                <xdr:colOff>251460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121920</xdr:colOff>
                <xdr:row>42</xdr:row>
                <xdr:rowOff>38100</xdr:rowOff>
              </from>
              <to>
                <xdr:col>2</xdr:col>
                <xdr:colOff>251460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121920</xdr:colOff>
                <xdr:row>43</xdr:row>
                <xdr:rowOff>38100</xdr:rowOff>
              </from>
              <to>
                <xdr:col>0</xdr:col>
                <xdr:colOff>251460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121920</xdr:colOff>
                <xdr:row>43</xdr:row>
                <xdr:rowOff>38100</xdr:rowOff>
              </from>
              <to>
                <xdr:col>2</xdr:col>
                <xdr:colOff>251460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121920</xdr:colOff>
                <xdr:row>44</xdr:row>
                <xdr:rowOff>38100</xdr:rowOff>
              </from>
              <to>
                <xdr:col>0</xdr:col>
                <xdr:colOff>251460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121920</xdr:colOff>
                <xdr:row>44</xdr:row>
                <xdr:rowOff>38100</xdr:rowOff>
              </from>
              <to>
                <xdr:col>2</xdr:col>
                <xdr:colOff>251460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121920</xdr:colOff>
                <xdr:row>45</xdr:row>
                <xdr:rowOff>38100</xdr:rowOff>
              </from>
              <to>
                <xdr:col>0</xdr:col>
                <xdr:colOff>251460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121920</xdr:colOff>
                <xdr:row>45</xdr:row>
                <xdr:rowOff>38100</xdr:rowOff>
              </from>
              <to>
                <xdr:col>2</xdr:col>
                <xdr:colOff>251460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121920</xdr:colOff>
                <xdr:row>6</xdr:row>
                <xdr:rowOff>38100</xdr:rowOff>
              </from>
              <to>
                <xdr:col>1</xdr:col>
                <xdr:colOff>251460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121920</xdr:colOff>
                <xdr:row>7</xdr:row>
                <xdr:rowOff>45720</xdr:rowOff>
              </from>
              <to>
                <xdr:col>1</xdr:col>
                <xdr:colOff>251460</xdr:colOff>
                <xdr:row>8</xdr:row>
                <xdr:rowOff>7620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121920</xdr:colOff>
                <xdr:row>8</xdr:row>
                <xdr:rowOff>38100</xdr:rowOff>
              </from>
              <to>
                <xdr:col>1</xdr:col>
                <xdr:colOff>251460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121920</xdr:colOff>
                <xdr:row>9</xdr:row>
                <xdr:rowOff>38100</xdr:rowOff>
              </from>
              <to>
                <xdr:col>1</xdr:col>
                <xdr:colOff>251460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121920</xdr:colOff>
                <xdr:row>10</xdr:row>
                <xdr:rowOff>38100</xdr:rowOff>
              </from>
              <to>
                <xdr:col>1</xdr:col>
                <xdr:colOff>251460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121920</xdr:colOff>
                <xdr:row>11</xdr:row>
                <xdr:rowOff>38100</xdr:rowOff>
              </from>
              <to>
                <xdr:col>1</xdr:col>
                <xdr:colOff>251460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121920</xdr:colOff>
                <xdr:row>12</xdr:row>
                <xdr:rowOff>38100</xdr:rowOff>
              </from>
              <to>
                <xdr:col>1</xdr:col>
                <xdr:colOff>251460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121920</xdr:colOff>
                <xdr:row>13</xdr:row>
                <xdr:rowOff>38100</xdr:rowOff>
              </from>
              <to>
                <xdr:col>1</xdr:col>
                <xdr:colOff>251460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121920</xdr:colOff>
                <xdr:row>14</xdr:row>
                <xdr:rowOff>38100</xdr:rowOff>
              </from>
              <to>
                <xdr:col>1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121920</xdr:colOff>
                <xdr:row>15</xdr:row>
                <xdr:rowOff>38100</xdr:rowOff>
              </from>
              <to>
                <xdr:col>1</xdr:col>
                <xdr:colOff>251460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121920</xdr:colOff>
                <xdr:row>16</xdr:row>
                <xdr:rowOff>38100</xdr:rowOff>
              </from>
              <to>
                <xdr:col>1</xdr:col>
                <xdr:colOff>251460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121920</xdr:colOff>
                <xdr:row>17</xdr:row>
                <xdr:rowOff>38100</xdr:rowOff>
              </from>
              <to>
                <xdr:col>1</xdr:col>
                <xdr:colOff>251460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121920</xdr:colOff>
                <xdr:row>18</xdr:row>
                <xdr:rowOff>38100</xdr:rowOff>
              </from>
              <to>
                <xdr:col>1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121920</xdr:colOff>
                <xdr:row>19</xdr:row>
                <xdr:rowOff>38100</xdr:rowOff>
              </from>
              <to>
                <xdr:col>1</xdr:col>
                <xdr:colOff>251460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121920</xdr:colOff>
                <xdr:row>20</xdr:row>
                <xdr:rowOff>38100</xdr:rowOff>
              </from>
              <to>
                <xdr:col>1</xdr:col>
                <xdr:colOff>251460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121920</xdr:colOff>
                <xdr:row>21</xdr:row>
                <xdr:rowOff>38100</xdr:rowOff>
              </from>
              <to>
                <xdr:col>1</xdr:col>
                <xdr:colOff>251460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121920</xdr:colOff>
                <xdr:row>22</xdr:row>
                <xdr:rowOff>38100</xdr:rowOff>
              </from>
              <to>
                <xdr:col>1</xdr:col>
                <xdr:colOff>251460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121920</xdr:colOff>
                <xdr:row>23</xdr:row>
                <xdr:rowOff>38100</xdr:rowOff>
              </from>
              <to>
                <xdr:col>1</xdr:col>
                <xdr:colOff>251460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121920</xdr:colOff>
                <xdr:row>24</xdr:row>
                <xdr:rowOff>38100</xdr:rowOff>
              </from>
              <to>
                <xdr:col>1</xdr:col>
                <xdr:colOff>251460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121920</xdr:colOff>
                <xdr:row>25</xdr:row>
                <xdr:rowOff>38100</xdr:rowOff>
              </from>
              <to>
                <xdr:col>1</xdr:col>
                <xdr:colOff>251460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121920</xdr:colOff>
                <xdr:row>26</xdr:row>
                <xdr:rowOff>38100</xdr:rowOff>
              </from>
              <to>
                <xdr:col>1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121920</xdr:colOff>
                <xdr:row>27</xdr:row>
                <xdr:rowOff>38100</xdr:rowOff>
              </from>
              <to>
                <xdr:col>1</xdr:col>
                <xdr:colOff>251460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121920</xdr:colOff>
                <xdr:row>28</xdr:row>
                <xdr:rowOff>38100</xdr:rowOff>
              </from>
              <to>
                <xdr:col>1</xdr:col>
                <xdr:colOff>251460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121920</xdr:colOff>
                <xdr:row>30</xdr:row>
                <xdr:rowOff>38100</xdr:rowOff>
              </from>
              <to>
                <xdr:col>1</xdr:col>
                <xdr:colOff>251460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121920</xdr:colOff>
                <xdr:row>29</xdr:row>
                <xdr:rowOff>38100</xdr:rowOff>
              </from>
              <to>
                <xdr:col>1</xdr:col>
                <xdr:colOff>251460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121920</xdr:colOff>
                <xdr:row>31</xdr:row>
                <xdr:rowOff>38100</xdr:rowOff>
              </from>
              <to>
                <xdr:col>1</xdr:col>
                <xdr:colOff>251460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121920</xdr:colOff>
                <xdr:row>32</xdr:row>
                <xdr:rowOff>38100</xdr:rowOff>
              </from>
              <to>
                <xdr:col>1</xdr:col>
                <xdr:colOff>251460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121920</xdr:colOff>
                <xdr:row>33</xdr:row>
                <xdr:rowOff>38100</xdr:rowOff>
              </from>
              <to>
                <xdr:col>1</xdr:col>
                <xdr:colOff>251460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121920</xdr:colOff>
                <xdr:row>34</xdr:row>
                <xdr:rowOff>38100</xdr:rowOff>
              </from>
              <to>
                <xdr:col>1</xdr:col>
                <xdr:colOff>251460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121920</xdr:colOff>
                <xdr:row>35</xdr:row>
                <xdr:rowOff>38100</xdr:rowOff>
              </from>
              <to>
                <xdr:col>1</xdr:col>
                <xdr:colOff>251460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121920</xdr:colOff>
                <xdr:row>37</xdr:row>
                <xdr:rowOff>38100</xdr:rowOff>
              </from>
              <to>
                <xdr:col>1</xdr:col>
                <xdr:colOff>251460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121920</xdr:colOff>
                <xdr:row>36</xdr:row>
                <xdr:rowOff>38100</xdr:rowOff>
              </from>
              <to>
                <xdr:col>1</xdr:col>
                <xdr:colOff>251460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121920</xdr:colOff>
                <xdr:row>38</xdr:row>
                <xdr:rowOff>38100</xdr:rowOff>
              </from>
              <to>
                <xdr:col>1</xdr:col>
                <xdr:colOff>251460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121920</xdr:colOff>
                <xdr:row>39</xdr:row>
                <xdr:rowOff>38100</xdr:rowOff>
              </from>
              <to>
                <xdr:col>1</xdr:col>
                <xdr:colOff>251460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121920</xdr:colOff>
                <xdr:row>40</xdr:row>
                <xdr:rowOff>38100</xdr:rowOff>
              </from>
              <to>
                <xdr:col>1</xdr:col>
                <xdr:colOff>251460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121920</xdr:colOff>
                <xdr:row>41</xdr:row>
                <xdr:rowOff>38100</xdr:rowOff>
              </from>
              <to>
                <xdr:col>1</xdr:col>
                <xdr:colOff>251460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121920</xdr:colOff>
                <xdr:row>42</xdr:row>
                <xdr:rowOff>38100</xdr:rowOff>
              </from>
              <to>
                <xdr:col>1</xdr:col>
                <xdr:colOff>251460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121920</xdr:colOff>
                <xdr:row>43</xdr:row>
                <xdr:rowOff>38100</xdr:rowOff>
              </from>
              <to>
                <xdr:col>1</xdr:col>
                <xdr:colOff>251460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121920</xdr:colOff>
                <xdr:row>44</xdr:row>
                <xdr:rowOff>38100</xdr:rowOff>
              </from>
              <to>
                <xdr:col>1</xdr:col>
                <xdr:colOff>251460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121920</xdr:colOff>
                <xdr:row>45</xdr:row>
                <xdr:rowOff>38100</xdr:rowOff>
              </from>
              <to>
                <xdr:col>1</xdr:col>
                <xdr:colOff>251460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137160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121920</xdr:colOff>
                <xdr:row>46</xdr:row>
                <xdr:rowOff>38100</xdr:rowOff>
              </from>
              <to>
                <xdr:col>2</xdr:col>
                <xdr:colOff>251460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121920</xdr:colOff>
                <xdr:row>46</xdr:row>
                <xdr:rowOff>38100</xdr:rowOff>
              </from>
              <to>
                <xdr:col>1</xdr:col>
                <xdr:colOff>251460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3.2" x14ac:dyDescent="0.25"/>
  <cols>
    <col min="2" max="2" width="20" bestFit="1" customWidth="1"/>
    <col min="3" max="3" width="27.109375" bestFit="1" customWidth="1"/>
    <col min="4" max="4" width="4.33203125" customWidth="1"/>
    <col min="5" max="5" width="20.6640625" customWidth="1"/>
    <col min="6" max="6" width="4.109375" customWidth="1"/>
    <col min="7" max="7" width="20" customWidth="1"/>
    <col min="8" max="8" width="20" bestFit="1" customWidth="1"/>
    <col min="9" max="9" width="24" bestFit="1" customWidth="1"/>
    <col min="10" max="10" width="19.109375" bestFit="1" customWidth="1"/>
    <col min="11" max="11" width="13.5546875" bestFit="1" customWidth="1"/>
    <col min="12" max="12" width="21.109375" bestFit="1" customWidth="1"/>
    <col min="13" max="13" width="27.109375" bestFit="1" customWidth="1"/>
    <col min="14" max="14" width="25.33203125" bestFit="1" customWidth="1"/>
    <col min="15" max="15" width="16" bestFit="1" customWidth="1"/>
    <col min="16" max="16" width="20.88671875" bestFit="1" customWidth="1"/>
    <col min="17" max="17" width="24.5546875" bestFit="1" customWidth="1"/>
    <col min="18" max="18" width="21.44140625" bestFit="1" customWidth="1"/>
    <col min="19" max="19" width="19.33203125" bestFit="1" customWidth="1"/>
    <col min="20" max="21" width="24" bestFit="1" customWidth="1"/>
  </cols>
  <sheetData>
    <row r="2" spans="2:13" x14ac:dyDescent="0.25">
      <c r="B2" s="237" t="s">
        <v>123</v>
      </c>
      <c r="C2" s="237" t="s">
        <v>124</v>
      </c>
      <c r="E2" s="238"/>
      <c r="G2" s="237" t="s">
        <v>125</v>
      </c>
      <c r="H2" s="239" t="s">
        <v>126</v>
      </c>
    </row>
    <row r="3" spans="2:13" x14ac:dyDescent="0.25">
      <c r="B3" s="240" t="s">
        <v>84</v>
      </c>
      <c r="C3" s="240" t="s">
        <v>84</v>
      </c>
      <c r="E3" s="238" t="s">
        <v>126</v>
      </c>
      <c r="G3" s="237" t="s">
        <v>127</v>
      </c>
      <c r="H3" t="s">
        <v>126</v>
      </c>
      <c r="J3" s="237"/>
    </row>
    <row r="4" spans="2:13" x14ac:dyDescent="0.25">
      <c r="B4" s="237" t="s">
        <v>126</v>
      </c>
      <c r="C4" t="s">
        <v>126</v>
      </c>
      <c r="E4" s="238" t="s">
        <v>128</v>
      </c>
    </row>
    <row r="5" spans="2:13" x14ac:dyDescent="0.25">
      <c r="B5" t="s">
        <v>128</v>
      </c>
      <c r="C5" t="s">
        <v>128</v>
      </c>
      <c r="E5" s="238" t="s">
        <v>129</v>
      </c>
    </row>
    <row r="6" spans="2:13" x14ac:dyDescent="0.25">
      <c r="B6" t="s">
        <v>129</v>
      </c>
      <c r="C6" t="s">
        <v>130</v>
      </c>
      <c r="E6" s="238" t="s">
        <v>131</v>
      </c>
      <c r="H6" s="237"/>
      <c r="J6" s="237" t="s">
        <v>132</v>
      </c>
      <c r="K6" s="237" t="str">
        <f ca="1">INDIRECT("ProjectTypes[Type]")</f>
        <v>Bank</v>
      </c>
      <c r="M6" s="237" t="s">
        <v>133</v>
      </c>
    </row>
    <row r="7" spans="2:13" x14ac:dyDescent="0.25">
      <c r="B7" t="s">
        <v>129</v>
      </c>
      <c r="C7" t="s">
        <v>134</v>
      </c>
      <c r="E7" s="238" t="s">
        <v>135</v>
      </c>
      <c r="J7" s="237" t="s">
        <v>136</v>
      </c>
      <c r="K7">
        <f ca="1">MATCH(INDIRECT("H2"),INDIRECT("ProjectTypes[Category]"),0)-1</f>
        <v>1</v>
      </c>
      <c r="L7" s="237" t="s">
        <v>136</v>
      </c>
      <c r="M7" s="237" t="s">
        <v>137</v>
      </c>
    </row>
    <row r="8" spans="2:13" x14ac:dyDescent="0.25">
      <c r="B8" t="s">
        <v>129</v>
      </c>
      <c r="C8" t="s">
        <v>138</v>
      </c>
      <c r="E8" s="238" t="s">
        <v>139</v>
      </c>
      <c r="H8" s="237"/>
      <c r="J8" s="237" t="s">
        <v>140</v>
      </c>
      <c r="K8">
        <v>0</v>
      </c>
      <c r="L8" s="237" t="s">
        <v>141</v>
      </c>
      <c r="M8" s="237" t="s">
        <v>142</v>
      </c>
    </row>
    <row r="9" spans="2:13" x14ac:dyDescent="0.25">
      <c r="B9" t="s">
        <v>129</v>
      </c>
      <c r="C9" t="s">
        <v>143</v>
      </c>
      <c r="E9" s="238" t="s">
        <v>144</v>
      </c>
      <c r="J9" s="237" t="s">
        <v>145</v>
      </c>
      <c r="K9">
        <f ca="1">COUNTIF(INDIRECT("ProjectTypes[Category]"),INDIRECT("H2"))</f>
        <v>1</v>
      </c>
      <c r="L9" s="237" t="s">
        <v>136</v>
      </c>
      <c r="M9" s="237" t="s">
        <v>146</v>
      </c>
    </row>
    <row r="10" spans="2:13" x14ac:dyDescent="0.25">
      <c r="B10" t="s">
        <v>129</v>
      </c>
      <c r="C10" t="s">
        <v>147</v>
      </c>
      <c r="E10" s="238" t="s">
        <v>148</v>
      </c>
      <c r="I10" s="237"/>
      <c r="J10" s="237" t="s">
        <v>149</v>
      </c>
      <c r="K10" s="237">
        <v>1</v>
      </c>
      <c r="L10" s="237" t="s">
        <v>150</v>
      </c>
    </row>
    <row r="11" spans="2:13" x14ac:dyDescent="0.25">
      <c r="B11" t="s">
        <v>129</v>
      </c>
      <c r="C11" t="s">
        <v>151</v>
      </c>
      <c r="E11" s="238" t="s">
        <v>152</v>
      </c>
      <c r="I11" s="237"/>
      <c r="J11" s="237"/>
      <c r="K11" s="237"/>
    </row>
    <row r="12" spans="2:13" x14ac:dyDescent="0.25">
      <c r="B12" t="s">
        <v>129</v>
      </c>
      <c r="C12" t="s">
        <v>153</v>
      </c>
      <c r="E12" s="238" t="s">
        <v>154</v>
      </c>
      <c r="I12" s="237"/>
      <c r="J12" s="237"/>
      <c r="K12" s="237"/>
    </row>
    <row r="13" spans="2:13" x14ac:dyDescent="0.25">
      <c r="B13" t="s">
        <v>131</v>
      </c>
      <c r="C13" t="s">
        <v>131</v>
      </c>
      <c r="E13" s="238" t="s">
        <v>155</v>
      </c>
      <c r="I13" s="237"/>
      <c r="J13" s="237"/>
      <c r="K13" s="237"/>
    </row>
    <row r="14" spans="2:13" x14ac:dyDescent="0.25">
      <c r="B14" t="s">
        <v>135</v>
      </c>
      <c r="C14" t="s">
        <v>156</v>
      </c>
      <c r="E14" s="238" t="s">
        <v>157</v>
      </c>
      <c r="I14" s="237"/>
      <c r="J14" s="237"/>
      <c r="K14" s="237"/>
    </row>
    <row r="15" spans="2:13" x14ac:dyDescent="0.25">
      <c r="B15" t="s">
        <v>135</v>
      </c>
      <c r="C15" t="s">
        <v>158</v>
      </c>
      <c r="E15" s="238" t="s">
        <v>159</v>
      </c>
      <c r="I15" s="237"/>
      <c r="J15" s="237"/>
      <c r="K15" s="237"/>
    </row>
    <row r="16" spans="2:13" x14ac:dyDescent="0.25">
      <c r="B16" t="s">
        <v>135</v>
      </c>
      <c r="C16" t="s">
        <v>160</v>
      </c>
      <c r="E16" s="238" t="s">
        <v>161</v>
      </c>
      <c r="I16" s="237"/>
      <c r="J16" s="237"/>
      <c r="K16" s="237"/>
    </row>
    <row r="17" spans="2:11" x14ac:dyDescent="0.25">
      <c r="B17" t="s">
        <v>135</v>
      </c>
      <c r="C17" t="s">
        <v>162</v>
      </c>
      <c r="E17" s="238" t="s">
        <v>163</v>
      </c>
      <c r="I17" s="237"/>
      <c r="J17" s="237"/>
      <c r="K17" s="237"/>
    </row>
    <row r="18" spans="2:11" x14ac:dyDescent="0.25">
      <c r="B18" t="s">
        <v>135</v>
      </c>
      <c r="C18" t="s">
        <v>164</v>
      </c>
      <c r="E18" s="238" t="s">
        <v>165</v>
      </c>
    </row>
    <row r="19" spans="2:11" x14ac:dyDescent="0.25">
      <c r="B19" t="s">
        <v>135</v>
      </c>
      <c r="C19" t="s">
        <v>166</v>
      </c>
      <c r="E19" s="238" t="s">
        <v>167</v>
      </c>
    </row>
    <row r="20" spans="2:11" x14ac:dyDescent="0.25">
      <c r="B20" t="s">
        <v>139</v>
      </c>
      <c r="C20" t="s">
        <v>139</v>
      </c>
    </row>
    <row r="21" spans="2:11" x14ac:dyDescent="0.25">
      <c r="B21" t="s">
        <v>144</v>
      </c>
      <c r="C21" t="s">
        <v>168</v>
      </c>
    </row>
    <row r="22" spans="2:11" x14ac:dyDescent="0.25">
      <c r="B22" t="s">
        <v>144</v>
      </c>
      <c r="C22" t="s">
        <v>169</v>
      </c>
    </row>
    <row r="23" spans="2:11" x14ac:dyDescent="0.25">
      <c r="B23" t="s">
        <v>148</v>
      </c>
      <c r="C23" t="s">
        <v>148</v>
      </c>
    </row>
    <row r="24" spans="2:11" x14ac:dyDescent="0.25">
      <c r="B24" t="s">
        <v>152</v>
      </c>
      <c r="C24" t="s">
        <v>170</v>
      </c>
    </row>
    <row r="25" spans="2:11" x14ac:dyDescent="0.25">
      <c r="B25" t="s">
        <v>152</v>
      </c>
      <c r="C25" t="s">
        <v>171</v>
      </c>
    </row>
    <row r="26" spans="2:11" x14ac:dyDescent="0.25">
      <c r="B26" t="s">
        <v>152</v>
      </c>
      <c r="C26" t="s">
        <v>172</v>
      </c>
    </row>
    <row r="27" spans="2:11" x14ac:dyDescent="0.25">
      <c r="B27" t="s">
        <v>154</v>
      </c>
      <c r="C27" t="s">
        <v>173</v>
      </c>
    </row>
    <row r="28" spans="2:11" x14ac:dyDescent="0.25">
      <c r="B28" t="s">
        <v>155</v>
      </c>
      <c r="C28" t="s">
        <v>174</v>
      </c>
    </row>
    <row r="29" spans="2:11" x14ac:dyDescent="0.25">
      <c r="B29" t="s">
        <v>155</v>
      </c>
      <c r="C29" t="s">
        <v>175</v>
      </c>
    </row>
    <row r="30" spans="2:11" x14ac:dyDescent="0.25">
      <c r="B30" t="s">
        <v>155</v>
      </c>
      <c r="C30" t="s">
        <v>176</v>
      </c>
    </row>
    <row r="31" spans="2:11" x14ac:dyDescent="0.25">
      <c r="B31" t="s">
        <v>157</v>
      </c>
      <c r="C31" t="s">
        <v>177</v>
      </c>
    </row>
    <row r="32" spans="2:11" x14ac:dyDescent="0.25">
      <c r="B32" t="s">
        <v>159</v>
      </c>
      <c r="C32" t="s">
        <v>178</v>
      </c>
    </row>
    <row r="33" spans="2:3" x14ac:dyDescent="0.25">
      <c r="B33" t="s">
        <v>159</v>
      </c>
      <c r="C33" t="s">
        <v>179</v>
      </c>
    </row>
    <row r="34" spans="2:3" x14ac:dyDescent="0.25">
      <c r="B34" t="s">
        <v>159</v>
      </c>
      <c r="C34" t="s">
        <v>180</v>
      </c>
    </row>
    <row r="35" spans="2:3" x14ac:dyDescent="0.25">
      <c r="B35" t="s">
        <v>161</v>
      </c>
      <c r="C35" t="s">
        <v>181</v>
      </c>
    </row>
    <row r="36" spans="2:3" x14ac:dyDescent="0.25">
      <c r="B36" t="s">
        <v>161</v>
      </c>
      <c r="C36" t="s">
        <v>182</v>
      </c>
    </row>
    <row r="37" spans="2:3" x14ac:dyDescent="0.25">
      <c r="B37" t="s">
        <v>161</v>
      </c>
      <c r="C37" t="s">
        <v>183</v>
      </c>
    </row>
    <row r="38" spans="2:3" x14ac:dyDescent="0.25">
      <c r="B38" t="s">
        <v>161</v>
      </c>
      <c r="C38" t="s">
        <v>184</v>
      </c>
    </row>
    <row r="39" spans="2:3" x14ac:dyDescent="0.25">
      <c r="B39" t="s">
        <v>161</v>
      </c>
      <c r="C39" t="s">
        <v>185</v>
      </c>
    </row>
    <row r="40" spans="2:3" x14ac:dyDescent="0.25">
      <c r="B40" t="s">
        <v>161</v>
      </c>
      <c r="C40" t="s">
        <v>186</v>
      </c>
    </row>
    <row r="41" spans="2:3" x14ac:dyDescent="0.25">
      <c r="B41" t="s">
        <v>161</v>
      </c>
      <c r="C41" t="s">
        <v>187</v>
      </c>
    </row>
    <row r="42" spans="2:3" x14ac:dyDescent="0.25">
      <c r="B42" t="s">
        <v>161</v>
      </c>
      <c r="C42" t="s">
        <v>188</v>
      </c>
    </row>
    <row r="43" spans="2:3" x14ac:dyDescent="0.25">
      <c r="B43" t="s">
        <v>161</v>
      </c>
      <c r="C43" t="s">
        <v>189</v>
      </c>
    </row>
    <row r="44" spans="2:3" x14ac:dyDescent="0.25">
      <c r="B44" t="s">
        <v>161</v>
      </c>
      <c r="C44" t="s">
        <v>190</v>
      </c>
    </row>
    <row r="45" spans="2:3" x14ac:dyDescent="0.25">
      <c r="B45" t="s">
        <v>163</v>
      </c>
      <c r="C45" t="s">
        <v>163</v>
      </c>
    </row>
    <row r="46" spans="2:3" x14ac:dyDescent="0.25">
      <c r="B46" t="s">
        <v>165</v>
      </c>
      <c r="C46" t="s">
        <v>191</v>
      </c>
    </row>
    <row r="47" spans="2:3" x14ac:dyDescent="0.25">
      <c r="B47" t="s">
        <v>165</v>
      </c>
      <c r="C47" t="s">
        <v>192</v>
      </c>
    </row>
    <row r="48" spans="2:3" x14ac:dyDescent="0.25">
      <c r="B48" t="s">
        <v>165</v>
      </c>
      <c r="C48" t="s">
        <v>193</v>
      </c>
    </row>
    <row r="49" spans="2:3" x14ac:dyDescent="0.25">
      <c r="B49" t="s">
        <v>165</v>
      </c>
      <c r="C49" t="s">
        <v>194</v>
      </c>
    </row>
    <row r="50" spans="2:3" x14ac:dyDescent="0.25">
      <c r="B50" t="s">
        <v>165</v>
      </c>
      <c r="C50" t="s">
        <v>195</v>
      </c>
    </row>
    <row r="51" spans="2:3" x14ac:dyDescent="0.25">
      <c r="B51" t="s">
        <v>167</v>
      </c>
      <c r="C51" t="s">
        <v>196</v>
      </c>
    </row>
    <row r="52" spans="2:3" x14ac:dyDescent="0.25">
      <c r="B52" t="s">
        <v>167</v>
      </c>
      <c r="C52" t="s">
        <v>197</v>
      </c>
    </row>
    <row r="53" spans="2:3" x14ac:dyDescent="0.25">
      <c r="B53" t="s">
        <v>167</v>
      </c>
      <c r="C53" t="s">
        <v>198</v>
      </c>
    </row>
    <row r="54" spans="2:3" x14ac:dyDescent="0.25">
      <c r="B54" t="s">
        <v>167</v>
      </c>
      <c r="C54" t="s">
        <v>199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3.2" x14ac:dyDescent="0.25"/>
  <sheetData>
    <row r="1" spans="1:1" ht="15.6" x14ac:dyDescent="0.25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 (1)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 (1)'!Print_Area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2019-05-15T17:54:35Z</dcterms:modified>
</cp:coreProperties>
</file>