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C1" i="12"/>
  <c r="C2" i="12"/>
  <c r="AA1" i="10"/>
  <c r="R2" i="15"/>
  <c r="C2" i="64"/>
  <c r="C2" i="15"/>
  <c r="M2" i="12"/>
  <c r="C2" i="10"/>
  <c r="K1" i="64"/>
  <c r="K1" i="12"/>
  <c r="O1" i="13"/>
  <c r="C1" i="15"/>
  <c r="C2" i="13"/>
  <c r="C1" i="10"/>
  <c r="K1" i="14"/>
  <c r="C1" i="64"/>
  <c r="C1" i="13"/>
  <c r="Q2" i="13"/>
  <c r="M2" i="14"/>
  <c r="P1" i="15"/>
  <c r="C1" i="14"/>
  <c r="M2" i="64"/>
  <c r="C54" i="9"/>
  <c r="AC2" i="10"/>
  <c r="C2" i="14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WLU - Wind, Ultimate (LRFD, 1.0W)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<sst xmlns="http://schemas.openxmlformats.org/spreadsheetml/2006/main" count="2361" uniqueCount="145">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</sst>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0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2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6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49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4" t="s">
        <v>33</v>
      </c>
      <c r="B1" s="30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1" t="str">
        <f ca="1">IF(ISBLANK(INDIRECT("Cover!O2")),"",INDIRECT("Cover!O2"))</f>
        <v>*</v>
      </c>
      <c r="Q1" s="311"/>
      <c r="R1" s="31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6" t="s">
        <v>35</v>
      </c>
      <c r="B2" s="307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8" t="s">
        <v>47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1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3"/>
      <c r="S4" s="17"/>
    </row>
    <row r="5" spans="1:32" s="18" customFormat="1" ht="20.100000000000001" customHeight="1" x14ac:dyDescent="0.2">
      <c r="A5" s="125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3"/>
      <c r="S5" s="17"/>
    </row>
    <row r="6" spans="1:32" s="18" customFormat="1" ht="20.100000000000001" customHeight="1" x14ac:dyDescent="0.2">
      <c r="A6" s="125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3"/>
      <c r="S6" s="17"/>
    </row>
    <row r="7" spans="1:32" s="18" customFormat="1" ht="20.100000000000001" customHeight="1" x14ac:dyDescent="0.2">
      <c r="A7" s="125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3"/>
      <c r="S7" s="17"/>
    </row>
    <row r="8" spans="1:32" s="18" customFormat="1" ht="20.100000000000001" customHeight="1" x14ac:dyDescent="0.2">
      <c r="A8" s="125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3"/>
      <c r="S8" s="17"/>
    </row>
    <row r="9" spans="1:32" s="18" customFormat="1" ht="20.100000000000001" customHeight="1" x14ac:dyDescent="0.2">
      <c r="A9" s="125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3"/>
      <c r="S9" s="17"/>
    </row>
    <row r="10" spans="1:32" s="18" customFormat="1" ht="20.100000000000001" customHeight="1" x14ac:dyDescent="0.2">
      <c r="A10" s="125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3"/>
      <c r="S10" s="17"/>
    </row>
    <row r="11" spans="1:32" s="18" customFormat="1" ht="20.100000000000001" customHeight="1" x14ac:dyDescent="0.2">
      <c r="A11" s="125"/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3"/>
      <c r="S11" s="17"/>
    </row>
    <row r="12" spans="1:32" s="18" customFormat="1" ht="20.100000000000001" customHeight="1" x14ac:dyDescent="0.2">
      <c r="A12" s="125"/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3"/>
      <c r="S12" s="17"/>
    </row>
    <row r="13" spans="1:32" s="18" customFormat="1" ht="20.100000000000001" customHeight="1" x14ac:dyDescent="0.2">
      <c r="A13" s="125"/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3"/>
      <c r="S13" s="17"/>
    </row>
    <row r="14" spans="1:32" s="18" customFormat="1" ht="20.100000000000001" customHeight="1" x14ac:dyDescent="0.2">
      <c r="A14" s="125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17"/>
    </row>
    <row r="15" spans="1:32" s="18" customFormat="1" ht="20.100000000000001" customHeight="1" x14ac:dyDescent="0.2">
      <c r="A15" s="125"/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  <c r="S15" s="17"/>
    </row>
    <row r="16" spans="1:32" s="18" customFormat="1" ht="20.100000000000001" customHeight="1" x14ac:dyDescent="0.2">
      <c r="A16" s="125"/>
      <c r="B16" s="302"/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3"/>
      <c r="S16" s="17"/>
    </row>
    <row r="17" spans="1:19" s="18" customFormat="1" ht="20.100000000000001" customHeight="1" x14ac:dyDescent="0.2">
      <c r="A17" s="125"/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  <c r="S17" s="17"/>
    </row>
    <row r="18" spans="1:19" s="18" customFormat="1" ht="20.100000000000001" customHeight="1" x14ac:dyDescent="0.2">
      <c r="A18" s="125"/>
      <c r="B18" s="302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3"/>
      <c r="S18" s="17"/>
    </row>
    <row r="19" spans="1:19" s="18" customFormat="1" ht="20.100000000000001" customHeight="1" x14ac:dyDescent="0.2">
      <c r="A19" s="125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3"/>
      <c r="S19" s="17"/>
    </row>
    <row r="20" spans="1:19" s="18" customFormat="1" ht="20.100000000000001" customHeight="1" x14ac:dyDescent="0.2">
      <c r="A20" s="125"/>
      <c r="B20" s="30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3"/>
      <c r="S20" s="17"/>
    </row>
    <row r="21" spans="1:19" s="18" customFormat="1" ht="20.100000000000001" customHeight="1" x14ac:dyDescent="0.2">
      <c r="A21" s="125"/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302"/>
      <c r="P21" s="302"/>
      <c r="Q21" s="302"/>
      <c r="R21" s="303"/>
      <c r="S21" s="17"/>
    </row>
    <row r="22" spans="1:19" s="18" customFormat="1" ht="20.100000000000001" customHeight="1" x14ac:dyDescent="0.2">
      <c r="A22" s="125"/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3"/>
      <c r="S22" s="17"/>
    </row>
    <row r="23" spans="1:19" s="18" customFormat="1" ht="20.100000000000001" customHeight="1" x14ac:dyDescent="0.2">
      <c r="A23" s="125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3"/>
      <c r="S23" s="17"/>
    </row>
    <row r="24" spans="1:19" s="18" customFormat="1" ht="20.100000000000001" customHeight="1" x14ac:dyDescent="0.2">
      <c r="A24" s="125"/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3"/>
      <c r="S24" s="17"/>
    </row>
    <row r="25" spans="1:19" s="18" customFormat="1" ht="20.100000000000001" customHeight="1" x14ac:dyDescent="0.2">
      <c r="A25" s="125"/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3"/>
      <c r="S25" s="17"/>
    </row>
    <row r="26" spans="1:19" s="18" customFormat="1" ht="20.100000000000001" customHeight="1" x14ac:dyDescent="0.2">
      <c r="A26" s="125"/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3"/>
      <c r="S26" s="17"/>
    </row>
    <row r="27" spans="1:19" s="18" customFormat="1" ht="20.100000000000001" customHeight="1" x14ac:dyDescent="0.2">
      <c r="A27" s="125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3"/>
      <c r="S27" s="17"/>
    </row>
    <row r="28" spans="1:19" s="18" customFormat="1" ht="20.100000000000001" customHeight="1" x14ac:dyDescent="0.2">
      <c r="A28" s="125"/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3"/>
      <c r="S28" s="17"/>
    </row>
    <row r="29" spans="1:19" s="18" customFormat="1" ht="20.100000000000001" customHeight="1" x14ac:dyDescent="0.2">
      <c r="A29" s="125"/>
      <c r="B29" s="302"/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/>
      <c r="Q29" s="302"/>
      <c r="R29" s="303"/>
      <c r="S29" s="17"/>
    </row>
    <row r="30" spans="1:19" s="18" customFormat="1" ht="20.100000000000001" customHeight="1" x14ac:dyDescent="0.2">
      <c r="A30" s="125"/>
      <c r="B30" s="302"/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3"/>
      <c r="S30" s="17"/>
    </row>
    <row r="31" spans="1:19" s="18" customFormat="1" ht="20.100000000000001" customHeight="1" x14ac:dyDescent="0.2">
      <c r="A31" s="125"/>
      <c r="B31" s="302"/>
      <c r="C31" s="302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3"/>
      <c r="S31" s="17"/>
    </row>
    <row r="32" spans="1:19" s="18" customFormat="1" ht="20.100000000000001" customHeight="1" x14ac:dyDescent="0.2">
      <c r="A32" s="125"/>
      <c r="B32" s="302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3"/>
      <c r="S32" s="17"/>
    </row>
    <row r="33" spans="1:19" s="18" customFormat="1" ht="20.100000000000001" customHeight="1" x14ac:dyDescent="0.2">
      <c r="A33" s="125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3"/>
      <c r="S33" s="17"/>
    </row>
    <row r="34" spans="1:19" s="18" customFormat="1" ht="20.100000000000001" customHeight="1" x14ac:dyDescent="0.2">
      <c r="A34" s="125"/>
      <c r="B34" s="302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2"/>
      <c r="O34" s="302"/>
      <c r="P34" s="302"/>
      <c r="Q34" s="302"/>
      <c r="R34" s="303"/>
      <c r="S34" s="17"/>
    </row>
    <row r="35" spans="1:19" s="18" customFormat="1" ht="20.100000000000001" customHeight="1" x14ac:dyDescent="0.2">
      <c r="A35" s="125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3"/>
      <c r="S35" s="17"/>
    </row>
    <row r="36" spans="1:19" s="18" customFormat="1" ht="20.100000000000001" customHeight="1" x14ac:dyDescent="0.2">
      <c r="A36" s="125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3"/>
      <c r="S36" s="17"/>
    </row>
    <row r="37" spans="1:19" s="18" customFormat="1" ht="20.100000000000001" customHeight="1" x14ac:dyDescent="0.2">
      <c r="A37" s="125"/>
      <c r="B37" s="302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2"/>
      <c r="R37" s="303"/>
      <c r="S37" s="17"/>
    </row>
    <row r="38" spans="1:19" s="18" customFormat="1" ht="20.100000000000001" customHeight="1" x14ac:dyDescent="0.2">
      <c r="A38" s="125"/>
      <c r="B38" s="302"/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3"/>
      <c r="S38" s="17"/>
    </row>
    <row r="39" spans="1:19" s="18" customFormat="1" ht="20.100000000000001" customHeight="1" x14ac:dyDescent="0.2">
      <c r="A39" s="125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2"/>
      <c r="R39" s="303"/>
      <c r="S39" s="17"/>
    </row>
    <row r="40" spans="1:19" s="18" customFormat="1" ht="20.100000000000001" customHeight="1" x14ac:dyDescent="0.2">
      <c r="A40" s="125"/>
      <c r="B40" s="302"/>
      <c r="C40" s="302"/>
      <c r="D40" s="302"/>
      <c r="E40" s="302"/>
      <c r="F40" s="30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2"/>
      <c r="R40" s="303"/>
      <c r="S40" s="17"/>
    </row>
    <row r="41" spans="1:19" s="18" customFormat="1" ht="20.100000000000001" customHeight="1" x14ac:dyDescent="0.2">
      <c r="A41" s="125"/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3"/>
      <c r="S41" s="17"/>
    </row>
    <row r="42" spans="1:19" s="18" customFormat="1" ht="20.100000000000001" customHeight="1" x14ac:dyDescent="0.2">
      <c r="A42" s="125"/>
      <c r="B42" s="302"/>
      <c r="C42" s="302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2"/>
      <c r="R42" s="303"/>
      <c r="S42" s="17"/>
    </row>
    <row r="43" spans="1:19" s="18" customFormat="1" ht="20.100000000000001" customHeight="1" x14ac:dyDescent="0.2">
      <c r="A43" s="125"/>
      <c r="B43" s="302"/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2"/>
      <c r="R43" s="303"/>
      <c r="S43" s="17"/>
    </row>
    <row r="44" spans="1:19" s="18" customFormat="1" ht="20.100000000000001" customHeight="1" x14ac:dyDescent="0.2">
      <c r="A44" s="125"/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2"/>
      <c r="R44" s="303"/>
      <c r="S44" s="17"/>
    </row>
    <row r="45" spans="1:19" s="18" customFormat="1" ht="20.100000000000001" customHeight="1" x14ac:dyDescent="0.2">
      <c r="A45" s="125"/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2"/>
      <c r="R45" s="303"/>
      <c r="S45" s="17"/>
    </row>
    <row r="46" spans="1:19" s="18" customFormat="1" ht="20.100000000000001" customHeight="1" x14ac:dyDescent="0.2">
      <c r="A46" s="125"/>
      <c r="B46" s="302"/>
      <c r="C46" s="302"/>
      <c r="D46" s="302"/>
      <c r="E46" s="302"/>
      <c r="F46" s="30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2"/>
      <c r="R46" s="303"/>
      <c r="S46" s="17"/>
    </row>
    <row r="47" spans="1:19" s="18" customFormat="1" ht="20.100000000000001" customHeight="1" x14ac:dyDescent="0.2">
      <c r="A47" s="125"/>
      <c r="B47" s="302"/>
      <c r="C47" s="302"/>
      <c r="D47" s="302"/>
      <c r="E47" s="302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2"/>
      <c r="R47" s="303"/>
      <c r="S47" s="17"/>
    </row>
    <row r="48" spans="1:19" s="18" customFormat="1" ht="20.100000000000001" customHeight="1" x14ac:dyDescent="0.2">
      <c r="A48" s="125"/>
      <c r="B48" s="302"/>
      <c r="C48" s="302"/>
      <c r="D48" s="302"/>
      <c r="E48" s="302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2"/>
      <c r="R48" s="303"/>
      <c r="S48" s="17"/>
    </row>
    <row r="49" spans="1:19" s="18" customFormat="1" ht="20.100000000000001" customHeight="1" x14ac:dyDescent="0.2">
      <c r="A49" s="125"/>
      <c r="B49" s="302"/>
      <c r="C49" s="302"/>
      <c r="D49" s="302"/>
      <c r="E49" s="302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2"/>
      <c r="R49" s="303"/>
      <c r="S49" s="17"/>
    </row>
    <row r="50" spans="1:19" s="18" customFormat="1" ht="20.100000000000001" customHeight="1" x14ac:dyDescent="0.2">
      <c r="A50" s="125"/>
      <c r="B50" s="302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2"/>
      <c r="P50" s="302"/>
      <c r="Q50" s="302"/>
      <c r="R50" s="303"/>
      <c r="S50" s="17"/>
    </row>
    <row r="51" spans="1:19" s="18" customFormat="1" ht="20.100000000000001" customHeight="1" x14ac:dyDescent="0.2">
      <c r="A51" s="125"/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3"/>
      <c r="S51" s="17"/>
    </row>
    <row r="52" spans="1:19" s="18" customFormat="1" ht="20.100000000000001" customHeight="1" x14ac:dyDescent="0.2">
      <c r="A52" s="125"/>
      <c r="B52" s="302"/>
      <c r="C52" s="302"/>
      <c r="D52" s="302"/>
      <c r="E52" s="302"/>
      <c r="F52" s="302"/>
      <c r="G52" s="302"/>
      <c r="H52" s="302"/>
      <c r="I52" s="302"/>
      <c r="J52" s="302"/>
      <c r="K52" s="302"/>
      <c r="L52" s="302"/>
      <c r="M52" s="302"/>
      <c r="N52" s="302"/>
      <c r="O52" s="302"/>
      <c r="P52" s="302"/>
      <c r="Q52" s="302"/>
      <c r="R52" s="303"/>
      <c r="S52" s="17"/>
    </row>
    <row r="53" spans="1:19" s="18" customFormat="1" ht="20.100000000000001" customHeight="1" thickBot="1" x14ac:dyDescent="0.25">
      <c r="A53" s="125"/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3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4" t="s">
        <v>26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327"/>
      <c r="Z1" s="22" t="s">
        <v>28</v>
      </c>
      <c r="AA1" s="345" t="str">
        <f ca="1">IF(ISBLANK(INDIRECT("Cover!O2")),"",INDIRECT("Cover!O2"))</f>
        <v>*</v>
      </c>
      <c r="AB1" s="345"/>
      <c r="AC1" s="346"/>
    </row>
    <row r="2" spans="1:29" s="9" customFormat="1" ht="20.100000000000001" customHeight="1" thickBot="1" x14ac:dyDescent="0.25">
      <c r="A2" s="306" t="s">
        <v>27</v>
      </c>
      <c r="B2" s="307"/>
      <c r="C2" s="338" t="str">
        <f ca="1">IF(ISBLANK(INDIRECT("Cover!D4")),"",INDIRECT("Cover!D4"))</f>
        <v>*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6" t="s">
        <v>46</v>
      </c>
      <c r="B3" s="336" t="s">
        <v>0</v>
      </c>
      <c r="C3" s="336" t="s">
        <v>1</v>
      </c>
      <c r="D3" s="339" t="s">
        <v>83</v>
      </c>
      <c r="E3" s="340"/>
      <c r="F3" s="328" t="s">
        <v>2</v>
      </c>
      <c r="G3" s="329"/>
      <c r="H3" s="329"/>
      <c r="I3" s="328" t="s">
        <v>5</v>
      </c>
      <c r="J3" s="329"/>
      <c r="K3" s="329"/>
      <c r="L3" s="328" t="s">
        <v>8</v>
      </c>
      <c r="M3" s="330"/>
      <c r="N3" s="23" t="s">
        <v>6</v>
      </c>
      <c r="O3" s="23" t="s">
        <v>22</v>
      </c>
      <c r="P3" s="335" t="s">
        <v>81</v>
      </c>
      <c r="Q3" s="329"/>
      <c r="R3" s="330"/>
      <c r="S3" s="328" t="s">
        <v>77</v>
      </c>
      <c r="T3" s="329"/>
      <c r="U3" s="329"/>
      <c r="V3" s="328" t="s">
        <v>78</v>
      </c>
      <c r="W3" s="329"/>
      <c r="X3" s="330"/>
      <c r="Y3" s="343" t="s">
        <v>82</v>
      </c>
      <c r="Z3" s="347" t="s">
        <v>11</v>
      </c>
      <c r="AA3" s="348"/>
      <c r="AB3" s="348"/>
      <c r="AC3" s="349"/>
    </row>
    <row r="4" spans="1:29" s="9" customFormat="1" ht="20.100000000000001" customHeight="1" thickBot="1" x14ac:dyDescent="0.25">
      <c r="A4" s="337"/>
      <c r="B4" s="337"/>
      <c r="C4" s="337"/>
      <c r="D4" s="341"/>
      <c r="E4" s="342"/>
      <c r="F4" s="61" t="s">
        <v>3</v>
      </c>
      <c r="G4" s="333" t="s">
        <v>4</v>
      </c>
      <c r="H4" s="334"/>
      <c r="I4" s="61" t="s">
        <v>3</v>
      </c>
      <c r="J4" s="333" t="s">
        <v>4</v>
      </c>
      <c r="K4" s="334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33" t="s">
        <v>79</v>
      </c>
      <c r="U4" s="334"/>
      <c r="V4" s="61" t="s">
        <v>80</v>
      </c>
      <c r="W4" s="333" t="s">
        <v>79</v>
      </c>
      <c r="X4" s="334"/>
      <c r="Y4" s="344"/>
      <c r="Z4" s="350"/>
      <c r="AA4" s="351"/>
      <c r="AB4" s="351"/>
      <c r="AC4" s="352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1"/>
      <c r="AA5" s="322"/>
      <c r="AB5" s="322"/>
      <c r="AC5" s="323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24"/>
      <c r="AA6" s="325"/>
      <c r="AB6" s="325"/>
      <c r="AC6" s="326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24"/>
      <c r="AA7" s="325"/>
      <c r="AB7" s="325"/>
      <c r="AC7" s="326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24"/>
      <c r="AA8" s="325"/>
      <c r="AB8" s="325"/>
      <c r="AC8" s="326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24"/>
      <c r="AA9" s="325"/>
      <c r="AB9" s="325"/>
      <c r="AC9" s="326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24"/>
      <c r="AA10" s="325"/>
      <c r="AB10" s="325"/>
      <c r="AC10" s="326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24"/>
      <c r="AA11" s="325"/>
      <c r="AB11" s="325"/>
      <c r="AC11" s="326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24"/>
      <c r="AA12" s="325"/>
      <c r="AB12" s="325"/>
      <c r="AC12" s="326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24"/>
      <c r="AA13" s="325"/>
      <c r="AB13" s="325"/>
      <c r="AC13" s="326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24"/>
      <c r="AA14" s="325"/>
      <c r="AB14" s="325"/>
      <c r="AC14" s="326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24"/>
      <c r="AA15" s="325"/>
      <c r="AB15" s="325"/>
      <c r="AC15" s="326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24"/>
      <c r="AA16" s="325"/>
      <c r="AB16" s="325"/>
      <c r="AC16" s="326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24"/>
      <c r="AA17" s="325"/>
      <c r="AB17" s="325"/>
      <c r="AC17" s="326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24"/>
      <c r="AA18" s="325"/>
      <c r="AB18" s="325"/>
      <c r="AC18" s="326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24"/>
      <c r="AA19" s="325"/>
      <c r="AB19" s="325"/>
      <c r="AC19" s="326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24"/>
      <c r="AA20" s="325"/>
      <c r="AB20" s="325"/>
      <c r="AC20" s="326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24"/>
      <c r="AA21" s="325"/>
      <c r="AB21" s="325"/>
      <c r="AC21" s="326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24"/>
      <c r="AA22" s="325"/>
      <c r="AB22" s="325"/>
      <c r="AC22" s="326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24"/>
      <c r="AA23" s="325"/>
      <c r="AB23" s="325"/>
      <c r="AC23" s="326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24"/>
      <c r="AA24" s="325"/>
      <c r="AB24" s="325"/>
      <c r="AC24" s="326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24"/>
      <c r="AA25" s="325"/>
      <c r="AB25" s="325"/>
      <c r="AC25" s="326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24"/>
      <c r="AA26" s="325"/>
      <c r="AB26" s="325"/>
      <c r="AC26" s="326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24"/>
      <c r="AA27" s="325"/>
      <c r="AB27" s="325"/>
      <c r="AC27" s="326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24"/>
      <c r="AA28" s="325"/>
      <c r="AB28" s="325"/>
      <c r="AC28" s="326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24"/>
      <c r="AA29" s="325"/>
      <c r="AB29" s="325"/>
      <c r="AC29" s="326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24"/>
      <c r="AA30" s="325"/>
      <c r="AB30" s="325"/>
      <c r="AC30" s="326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24"/>
      <c r="AA31" s="325"/>
      <c r="AB31" s="325"/>
      <c r="AC31" s="326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24"/>
      <c r="AA32" s="325"/>
      <c r="AB32" s="325"/>
      <c r="AC32" s="326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24"/>
      <c r="AA33" s="325"/>
      <c r="AB33" s="325"/>
      <c r="AC33" s="326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24"/>
      <c r="AA34" s="325"/>
      <c r="AB34" s="325"/>
      <c r="AC34" s="326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24"/>
      <c r="AA35" s="325"/>
      <c r="AB35" s="325"/>
      <c r="AC35" s="326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24"/>
      <c r="AA36" s="325"/>
      <c r="AB36" s="325"/>
      <c r="AC36" s="326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24"/>
      <c r="AA37" s="325"/>
      <c r="AB37" s="325"/>
      <c r="AC37" s="326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24"/>
      <c r="AA38" s="325"/>
      <c r="AB38" s="325"/>
      <c r="AC38" s="326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24"/>
      <c r="AA39" s="325"/>
      <c r="AB39" s="325"/>
      <c r="AC39" s="326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24"/>
      <c r="AA40" s="325"/>
      <c r="AB40" s="325"/>
      <c r="AC40" s="326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24"/>
      <c r="AA41" s="325"/>
      <c r="AB41" s="325"/>
      <c r="AC41" s="326"/>
    </row>
    <row r="42" spans="1:29" s="18" customFormat="1" ht="20.100000000000001" customHeight="1" thickBot="1" x14ac:dyDescent="0.25">
      <c r="A42" s="74" t="s">
        <v>49</v>
      </c>
      <c r="B42" s="319">
        <f>SUM(B5:B41)</f>
        <v>0</v>
      </c>
      <c r="C42" s="320"/>
      <c r="D42" s="316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8"/>
    </row>
    <row r="43" spans="1:29" s="18" customFormat="1" ht="20.100000000000001" customHeight="1" x14ac:dyDescent="0.2">
      <c r="A43" s="164" t="s">
        <v>25</v>
      </c>
      <c r="B43" s="331"/>
      <c r="C43" s="331"/>
      <c r="D43" s="331"/>
      <c r="E43" s="331"/>
      <c r="F43" s="331"/>
      <c r="G43" s="331"/>
      <c r="H43" s="331"/>
      <c r="I43" s="331"/>
      <c r="J43" s="331"/>
      <c r="K43" s="331"/>
      <c r="L43" s="331"/>
      <c r="M43" s="331"/>
      <c r="N43" s="331"/>
      <c r="O43" s="331"/>
      <c r="P43" s="331"/>
      <c r="Q43" s="331"/>
      <c r="R43" s="331"/>
      <c r="S43" s="331"/>
      <c r="T43" s="331"/>
      <c r="U43" s="331"/>
      <c r="V43" s="331"/>
      <c r="W43" s="331"/>
      <c r="X43" s="331"/>
      <c r="Y43" s="331"/>
      <c r="Z43" s="331"/>
      <c r="AA43" s="331"/>
      <c r="AB43" s="331"/>
      <c r="AC43" s="332"/>
    </row>
    <row r="44" spans="1:29" s="18" customFormat="1" ht="20.100000000000001" customHeight="1" x14ac:dyDescent="0.2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6"/>
    </row>
    <row r="45" spans="1:29" s="18" customFormat="1" ht="20.100000000000001" customHeight="1" thickBot="1" x14ac:dyDescent="0.25">
      <c r="A45" s="313"/>
      <c r="B45" s="314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5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5" t="s">
        <v>29</v>
      </c>
      <c r="B1" s="366"/>
      <c r="C1" s="362" t="str">
        <f ca="1">IF(ISBLANK(INDIRECT("Cover!D3")),"",INDIRECT("Cover!D3"))</f>
        <v>*</v>
      </c>
      <c r="D1" s="362"/>
      <c r="E1" s="362"/>
      <c r="F1" s="362"/>
      <c r="G1" s="362"/>
      <c r="H1" s="362"/>
      <c r="I1" s="362"/>
      <c r="J1" s="47" t="s">
        <v>19</v>
      </c>
      <c r="K1" s="353" t="str">
        <f ca="1">IF(ISBLANK(INDIRECT("Cover!O2")),"",INDIRECT("Cover!O2"))</f>
        <v>*</v>
      </c>
      <c r="L1" s="353"/>
      <c r="M1" s="354"/>
    </row>
    <row r="2" spans="1:13" ht="20.100000000000001" customHeight="1" thickBot="1" x14ac:dyDescent="0.25">
      <c r="A2" s="367" t="s">
        <v>30</v>
      </c>
      <c r="B2" s="368"/>
      <c r="C2" s="361" t="str">
        <f ca="1">IF(ISBLANK(INDIRECT("Cover!D4")),"",INDIRECT("Cover!D4"))</f>
        <v>*</v>
      </c>
      <c r="D2" s="361"/>
      <c r="E2" s="361"/>
      <c r="F2" s="361"/>
      <c r="G2" s="361"/>
      <c r="H2" s="361"/>
      <c r="I2" s="361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8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59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59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59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59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59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59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59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59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59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59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59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59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59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59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59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59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59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59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59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59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59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69"/>
      <c r="B25" s="370"/>
      <c r="C25" s="371"/>
      <c r="D25" s="372" t="s">
        <v>49</v>
      </c>
      <c r="E25" s="373"/>
      <c r="F25" s="1">
        <f>ROUNDUP(SUM(F4:F24)*1.02,-1)</f>
        <v>0</v>
      </c>
      <c r="G25" s="359"/>
      <c r="H25" s="369"/>
      <c r="I25" s="370"/>
      <c r="J25" s="371"/>
      <c r="K25" s="372" t="s">
        <v>49</v>
      </c>
      <c r="L25" s="373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59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59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59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59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59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59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59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59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59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59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59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59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59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59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59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59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59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59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59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59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59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69"/>
      <c r="B47" s="370"/>
      <c r="C47" s="371"/>
      <c r="D47" s="372" t="s">
        <v>49</v>
      </c>
      <c r="E47" s="373"/>
      <c r="F47" s="1">
        <f>ROUNDUP(SUM(F26:F46)*1.02,-1)</f>
        <v>0</v>
      </c>
      <c r="G47" s="359"/>
      <c r="H47" s="369"/>
      <c r="I47" s="370"/>
      <c r="J47" s="371"/>
      <c r="K47" s="372" t="s">
        <v>49</v>
      </c>
      <c r="L47" s="373"/>
      <c r="M47" s="1">
        <f>ROUNDUP(SUM(M26:M46)*1.02,-1)</f>
        <v>0</v>
      </c>
    </row>
    <row r="48" spans="1:13" ht="9.9499999999999993" customHeight="1" thickBot="1" x14ac:dyDescent="0.25">
      <c r="A48" s="355"/>
      <c r="B48" s="356"/>
      <c r="C48" s="356"/>
      <c r="D48" s="356"/>
      <c r="E48" s="356"/>
      <c r="F48" s="357"/>
      <c r="G48" s="359"/>
      <c r="H48" s="355"/>
      <c r="I48" s="356"/>
      <c r="J48" s="356"/>
      <c r="K48" s="356"/>
      <c r="L48" s="356"/>
      <c r="M48" s="357"/>
    </row>
    <row r="49" spans="1:13" ht="20.100000000000001" customHeight="1" thickBot="1" x14ac:dyDescent="0.3">
      <c r="A49" s="363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59"/>
      <c r="H49" s="363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4"/>
      <c r="B50" s="55"/>
      <c r="C50" s="3"/>
      <c r="D50" s="56"/>
      <c r="E50" s="57"/>
      <c r="F50" s="58" t="str">
        <f>IF(ISBLANK(D50),"",ROUNDUP((D50*E50)*0.5*1.02,-1))</f>
        <v/>
      </c>
      <c r="G50" s="360"/>
      <c r="H50" s="364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4" t="s">
        <v>29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22" t="s">
        <v>19</v>
      </c>
      <c r="O1" s="345" t="str">
        <f ca="1">IF(ISBLANK(INDIRECT("Cover!O2")),"",INDIRECT("Cover!O2"))</f>
        <v>*</v>
      </c>
      <c r="P1" s="345"/>
      <c r="Q1" s="346"/>
      <c r="S1" s="380"/>
      <c r="T1" s="381"/>
      <c r="U1" s="381"/>
      <c r="V1" s="381"/>
      <c r="W1" s="381"/>
      <c r="X1" s="381"/>
    </row>
    <row r="2" spans="1:24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82" t="s">
        <v>90</v>
      </c>
      <c r="T2" s="383"/>
      <c r="U2" s="383"/>
      <c r="V2" s="383"/>
      <c r="W2" s="383"/>
      <c r="X2" s="384"/>
    </row>
    <row r="3" spans="1:24" ht="20.100000000000001" customHeight="1" thickBot="1" x14ac:dyDescent="0.3">
      <c r="A3" s="34" t="s">
        <v>15</v>
      </c>
      <c r="B3" s="376" t="s">
        <v>16</v>
      </c>
      <c r="C3" s="377"/>
      <c r="D3" s="34"/>
      <c r="E3" s="376" t="s">
        <v>17</v>
      </c>
      <c r="F3" s="377"/>
      <c r="G3" s="34" t="s">
        <v>4</v>
      </c>
      <c r="H3" s="34" t="s">
        <v>18</v>
      </c>
      <c r="I3" s="390"/>
      <c r="J3" s="34" t="s">
        <v>15</v>
      </c>
      <c r="K3" s="376" t="s">
        <v>16</v>
      </c>
      <c r="L3" s="377"/>
      <c r="M3" s="34"/>
      <c r="N3" s="376" t="s">
        <v>17</v>
      </c>
      <c r="O3" s="377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8"/>
      <c r="C4" s="379"/>
      <c r="D4" s="112"/>
      <c r="E4" s="85"/>
      <c r="F4" s="113"/>
      <c r="G4" s="114"/>
      <c r="H4" s="115" t="str">
        <f>IF(ISBLANK(E4),"",IF(D4="X",((E4+(F4/12))*G4)/100*0.5,((E4+(F4/12))*G4)/100))</f>
        <v/>
      </c>
      <c r="I4" s="391"/>
      <c r="J4" s="111"/>
      <c r="K4" s="378"/>
      <c r="L4" s="379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4"/>
      <c r="C5" s="375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91"/>
      <c r="J5" s="39"/>
      <c r="K5" s="374"/>
      <c r="L5" s="375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4"/>
      <c r="C6" s="375"/>
      <c r="D6" s="40"/>
      <c r="E6" s="41"/>
      <c r="F6" s="42"/>
      <c r="G6" s="110"/>
      <c r="H6" s="44" t="str">
        <f t="shared" si="0"/>
        <v/>
      </c>
      <c r="I6" s="391"/>
      <c r="J6" s="39"/>
      <c r="K6" s="374"/>
      <c r="L6" s="375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4"/>
      <c r="C7" s="375"/>
      <c r="D7" s="40"/>
      <c r="E7" s="41"/>
      <c r="F7" s="42"/>
      <c r="G7" s="110"/>
      <c r="H7" s="44" t="str">
        <f t="shared" si="0"/>
        <v/>
      </c>
      <c r="I7" s="391"/>
      <c r="J7" s="39"/>
      <c r="K7" s="374"/>
      <c r="L7" s="375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4"/>
      <c r="C8" s="375"/>
      <c r="D8" s="40"/>
      <c r="E8" s="41"/>
      <c r="F8" s="42"/>
      <c r="G8" s="110"/>
      <c r="H8" s="44" t="str">
        <f t="shared" si="0"/>
        <v/>
      </c>
      <c r="I8" s="391"/>
      <c r="J8" s="39"/>
      <c r="K8" s="374"/>
      <c r="L8" s="375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4"/>
      <c r="C9" s="375"/>
      <c r="D9" s="40"/>
      <c r="E9" s="41"/>
      <c r="F9" s="42"/>
      <c r="G9" s="110"/>
      <c r="H9" s="44" t="str">
        <f t="shared" si="0"/>
        <v/>
      </c>
      <c r="I9" s="391"/>
      <c r="J9" s="39"/>
      <c r="K9" s="374"/>
      <c r="L9" s="375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4"/>
      <c r="C10" s="375"/>
      <c r="D10" s="40"/>
      <c r="E10" s="41"/>
      <c r="F10" s="42"/>
      <c r="G10" s="110"/>
      <c r="H10" s="44" t="str">
        <f t="shared" si="0"/>
        <v/>
      </c>
      <c r="I10" s="391"/>
      <c r="J10" s="39"/>
      <c r="K10" s="374"/>
      <c r="L10" s="375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4"/>
      <c r="C11" s="375"/>
      <c r="D11" s="40"/>
      <c r="E11" s="41"/>
      <c r="F11" s="42"/>
      <c r="G11" s="110"/>
      <c r="H11" s="44" t="str">
        <f t="shared" si="0"/>
        <v/>
      </c>
      <c r="I11" s="391"/>
      <c r="J11" s="39"/>
      <c r="K11" s="374"/>
      <c r="L11" s="375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4"/>
      <c r="C12" s="375"/>
      <c r="D12" s="40"/>
      <c r="E12" s="41"/>
      <c r="F12" s="42"/>
      <c r="G12" s="110"/>
      <c r="H12" s="44" t="str">
        <f t="shared" si="0"/>
        <v/>
      </c>
      <c r="I12" s="391"/>
      <c r="J12" s="39"/>
      <c r="K12" s="374"/>
      <c r="L12" s="375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4"/>
      <c r="C13" s="375"/>
      <c r="D13" s="40"/>
      <c r="E13" s="41"/>
      <c r="F13" s="42"/>
      <c r="G13" s="110"/>
      <c r="H13" s="44" t="str">
        <f t="shared" si="0"/>
        <v/>
      </c>
      <c r="I13" s="391"/>
      <c r="J13" s="39"/>
      <c r="K13" s="374"/>
      <c r="L13" s="375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4"/>
      <c r="C14" s="375"/>
      <c r="D14" s="40"/>
      <c r="E14" s="41"/>
      <c r="F14" s="42"/>
      <c r="G14" s="110"/>
      <c r="H14" s="44" t="str">
        <f t="shared" si="0"/>
        <v/>
      </c>
      <c r="I14" s="391"/>
      <c r="J14" s="39"/>
      <c r="K14" s="374"/>
      <c r="L14" s="375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4"/>
      <c r="C15" s="375"/>
      <c r="D15" s="40"/>
      <c r="E15" s="41"/>
      <c r="F15" s="42"/>
      <c r="G15" s="110"/>
      <c r="H15" s="44" t="str">
        <f t="shared" si="0"/>
        <v/>
      </c>
      <c r="I15" s="391"/>
      <c r="J15" s="39"/>
      <c r="K15" s="374"/>
      <c r="L15" s="375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4"/>
      <c r="C16" s="375"/>
      <c r="D16" s="40"/>
      <c r="E16" s="41"/>
      <c r="F16" s="42"/>
      <c r="G16" s="110"/>
      <c r="H16" s="44" t="str">
        <f t="shared" si="0"/>
        <v/>
      </c>
      <c r="I16" s="391"/>
      <c r="J16" s="39"/>
      <c r="K16" s="374"/>
      <c r="L16" s="375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4"/>
      <c r="C17" s="375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91"/>
      <c r="J17" s="39"/>
      <c r="K17" s="374"/>
      <c r="L17" s="375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4"/>
      <c r="C18" s="375"/>
      <c r="D18" s="40"/>
      <c r="E18" s="41"/>
      <c r="F18" s="42"/>
      <c r="G18" s="110"/>
      <c r="H18" s="44" t="str">
        <f t="shared" si="2"/>
        <v/>
      </c>
      <c r="I18" s="391"/>
      <c r="J18" s="39"/>
      <c r="K18" s="374"/>
      <c r="L18" s="375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4"/>
      <c r="C19" s="375"/>
      <c r="D19" s="40"/>
      <c r="E19" s="41"/>
      <c r="F19" s="42"/>
      <c r="G19" s="110"/>
      <c r="H19" s="44" t="str">
        <f t="shared" si="2"/>
        <v/>
      </c>
      <c r="I19" s="391"/>
      <c r="J19" s="39"/>
      <c r="K19" s="374"/>
      <c r="L19" s="375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4"/>
      <c r="C20" s="375"/>
      <c r="D20" s="40"/>
      <c r="E20" s="41"/>
      <c r="F20" s="42"/>
      <c r="G20" s="110"/>
      <c r="H20" s="44" t="str">
        <f t="shared" si="2"/>
        <v/>
      </c>
      <c r="I20" s="391"/>
      <c r="J20" s="39"/>
      <c r="K20" s="374"/>
      <c r="L20" s="375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4"/>
      <c r="C21" s="375"/>
      <c r="D21" s="40"/>
      <c r="E21" s="41"/>
      <c r="F21" s="42"/>
      <c r="G21" s="110"/>
      <c r="H21" s="44" t="str">
        <f t="shared" si="2"/>
        <v/>
      </c>
      <c r="I21" s="391"/>
      <c r="J21" s="39"/>
      <c r="K21" s="374"/>
      <c r="L21" s="375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4"/>
      <c r="C22" s="375"/>
      <c r="D22" s="40"/>
      <c r="E22" s="41"/>
      <c r="F22" s="42"/>
      <c r="G22" s="110"/>
      <c r="H22" s="44" t="str">
        <f t="shared" si="2"/>
        <v/>
      </c>
      <c r="I22" s="391"/>
      <c r="J22" s="39"/>
      <c r="K22" s="374"/>
      <c r="L22" s="375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4"/>
      <c r="C23" s="375"/>
      <c r="D23" s="40"/>
      <c r="E23" s="41"/>
      <c r="F23" s="42"/>
      <c r="G23" s="110"/>
      <c r="H23" s="44" t="str">
        <f t="shared" si="2"/>
        <v/>
      </c>
      <c r="I23" s="391"/>
      <c r="J23" s="39"/>
      <c r="K23" s="374"/>
      <c r="L23" s="375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4"/>
      <c r="C24" s="375"/>
      <c r="D24" s="40"/>
      <c r="E24" s="41"/>
      <c r="F24" s="42"/>
      <c r="G24" s="110"/>
      <c r="H24" s="44" t="str">
        <f t="shared" si="2"/>
        <v/>
      </c>
      <c r="I24" s="391"/>
      <c r="J24" s="39"/>
      <c r="K24" s="374"/>
      <c r="L24" s="375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4"/>
      <c r="C25" s="375"/>
      <c r="D25" s="40"/>
      <c r="E25" s="41"/>
      <c r="F25" s="42"/>
      <c r="G25" s="110"/>
      <c r="H25" s="44" t="str">
        <f t="shared" si="0"/>
        <v/>
      </c>
      <c r="I25" s="391"/>
      <c r="J25" s="39"/>
      <c r="K25" s="374"/>
      <c r="L25" s="375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4"/>
      <c r="C26" s="375"/>
      <c r="D26" s="40"/>
      <c r="E26" s="41"/>
      <c r="F26" s="42"/>
      <c r="G26" s="110"/>
      <c r="H26" s="44" t="str">
        <f t="shared" si="0"/>
        <v/>
      </c>
      <c r="I26" s="391"/>
      <c r="J26" s="39"/>
      <c r="K26" s="374"/>
      <c r="L26" s="375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391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7"/>
      <c r="B28" s="388"/>
      <c r="C28" s="388"/>
      <c r="D28" s="389"/>
      <c r="E28" s="385" t="s">
        <v>49</v>
      </c>
      <c r="F28" s="386"/>
      <c r="G28" s="386"/>
      <c r="H28" s="5">
        <f>ROUNDUP(SUM(H4:H27)*U5,0)</f>
        <v>0</v>
      </c>
      <c r="I28" s="391"/>
      <c r="J28" s="387"/>
      <c r="K28" s="388"/>
      <c r="L28" s="388"/>
      <c r="M28" s="389"/>
      <c r="N28" s="385" t="s">
        <v>49</v>
      </c>
      <c r="O28" s="386"/>
      <c r="P28" s="386"/>
      <c r="Q28" s="5">
        <f>ROUNDUP(SUM(Q4:Q27)*X5,0)</f>
        <v>0</v>
      </c>
    </row>
    <row r="29" spans="1:17" ht="20.100000000000001" customHeight="1" x14ac:dyDescent="0.2">
      <c r="A29" s="111"/>
      <c r="B29" s="378"/>
      <c r="C29" s="379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91"/>
      <c r="J29" s="111"/>
      <c r="K29" s="378"/>
      <c r="L29" s="379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4"/>
      <c r="C30" s="375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91"/>
      <c r="J30" s="39"/>
      <c r="K30" s="374"/>
      <c r="L30" s="375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4"/>
      <c r="C31" s="375"/>
      <c r="D31" s="40"/>
      <c r="E31" s="41"/>
      <c r="F31" s="42"/>
      <c r="G31" s="110"/>
      <c r="H31" s="44" t="str">
        <f t="shared" si="4"/>
        <v/>
      </c>
      <c r="I31" s="391"/>
      <c r="J31" s="39"/>
      <c r="K31" s="374"/>
      <c r="L31" s="375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4"/>
      <c r="C32" s="375"/>
      <c r="D32" s="40"/>
      <c r="E32" s="41"/>
      <c r="F32" s="42"/>
      <c r="G32" s="110"/>
      <c r="H32" s="44" t="str">
        <f t="shared" si="4"/>
        <v/>
      </c>
      <c r="I32" s="391"/>
      <c r="J32" s="39"/>
      <c r="K32" s="374"/>
      <c r="L32" s="375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4"/>
      <c r="C33" s="375"/>
      <c r="D33" s="40"/>
      <c r="E33" s="41"/>
      <c r="F33" s="42"/>
      <c r="G33" s="110"/>
      <c r="H33" s="44" t="str">
        <f t="shared" si="4"/>
        <v/>
      </c>
      <c r="I33" s="391"/>
      <c r="J33" s="39"/>
      <c r="K33" s="374"/>
      <c r="L33" s="375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4"/>
      <c r="C34" s="375"/>
      <c r="D34" s="40"/>
      <c r="E34" s="41"/>
      <c r="F34" s="42"/>
      <c r="G34" s="110"/>
      <c r="H34" s="44" t="str">
        <f t="shared" si="4"/>
        <v/>
      </c>
      <c r="I34" s="391"/>
      <c r="J34" s="39"/>
      <c r="K34" s="374"/>
      <c r="L34" s="375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4"/>
      <c r="C35" s="375"/>
      <c r="D35" s="40"/>
      <c r="E35" s="41"/>
      <c r="F35" s="42"/>
      <c r="G35" s="110"/>
      <c r="H35" s="44" t="str">
        <f t="shared" si="4"/>
        <v/>
      </c>
      <c r="I35" s="391"/>
      <c r="J35" s="39"/>
      <c r="K35" s="374"/>
      <c r="L35" s="375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4"/>
      <c r="C36" s="375"/>
      <c r="D36" s="40"/>
      <c r="E36" s="41"/>
      <c r="F36" s="42"/>
      <c r="G36" s="110"/>
      <c r="H36" s="44" t="str">
        <f t="shared" si="4"/>
        <v/>
      </c>
      <c r="I36" s="391"/>
      <c r="J36" s="39"/>
      <c r="K36" s="374"/>
      <c r="L36" s="375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4"/>
      <c r="C37" s="375"/>
      <c r="D37" s="40"/>
      <c r="E37" s="41"/>
      <c r="F37" s="42"/>
      <c r="G37" s="110"/>
      <c r="H37" s="44" t="str">
        <f t="shared" si="4"/>
        <v/>
      </c>
      <c r="I37" s="391"/>
      <c r="J37" s="39"/>
      <c r="K37" s="374"/>
      <c r="L37" s="375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4"/>
      <c r="C38" s="375"/>
      <c r="D38" s="40"/>
      <c r="E38" s="41"/>
      <c r="F38" s="42"/>
      <c r="G38" s="110"/>
      <c r="H38" s="44" t="str">
        <f t="shared" si="4"/>
        <v/>
      </c>
      <c r="I38" s="391"/>
      <c r="J38" s="39"/>
      <c r="K38" s="374"/>
      <c r="L38" s="375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4"/>
      <c r="C39" s="375"/>
      <c r="D39" s="40"/>
      <c r="E39" s="41"/>
      <c r="F39" s="42"/>
      <c r="G39" s="110"/>
      <c r="H39" s="44" t="str">
        <f t="shared" si="4"/>
        <v/>
      </c>
      <c r="I39" s="391"/>
      <c r="J39" s="39"/>
      <c r="K39" s="374"/>
      <c r="L39" s="375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4"/>
      <c r="C40" s="375"/>
      <c r="D40" s="40"/>
      <c r="E40" s="41"/>
      <c r="F40" s="42"/>
      <c r="G40" s="110"/>
      <c r="H40" s="44" t="str">
        <f t="shared" si="4"/>
        <v/>
      </c>
      <c r="I40" s="391"/>
      <c r="J40" s="39"/>
      <c r="K40" s="374"/>
      <c r="L40" s="375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4"/>
      <c r="C41" s="375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91"/>
      <c r="J41" s="39"/>
      <c r="K41" s="374"/>
      <c r="L41" s="375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4"/>
      <c r="C42" s="375"/>
      <c r="D42" s="40"/>
      <c r="E42" s="41"/>
      <c r="F42" s="42"/>
      <c r="G42" s="110"/>
      <c r="H42" s="44" t="str">
        <f t="shared" si="6"/>
        <v/>
      </c>
      <c r="I42" s="391"/>
      <c r="J42" s="39"/>
      <c r="K42" s="374"/>
      <c r="L42" s="375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4"/>
      <c r="C43" s="375"/>
      <c r="D43" s="40"/>
      <c r="E43" s="41"/>
      <c r="F43" s="42"/>
      <c r="G43" s="110"/>
      <c r="H43" s="44" t="str">
        <f t="shared" si="6"/>
        <v/>
      </c>
      <c r="I43" s="391"/>
      <c r="J43" s="39"/>
      <c r="K43" s="374"/>
      <c r="L43" s="375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4"/>
      <c r="C44" s="375"/>
      <c r="D44" s="40"/>
      <c r="E44" s="41"/>
      <c r="F44" s="42"/>
      <c r="G44" s="110"/>
      <c r="H44" s="44" t="str">
        <f t="shared" si="6"/>
        <v/>
      </c>
      <c r="I44" s="391"/>
      <c r="J44" s="39"/>
      <c r="K44" s="374"/>
      <c r="L44" s="375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4"/>
      <c r="C45" s="375"/>
      <c r="D45" s="40"/>
      <c r="E45" s="41"/>
      <c r="F45" s="42"/>
      <c r="G45" s="110"/>
      <c r="H45" s="44" t="str">
        <f t="shared" si="6"/>
        <v/>
      </c>
      <c r="I45" s="391"/>
      <c r="J45" s="39"/>
      <c r="K45" s="374"/>
      <c r="L45" s="375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4"/>
      <c r="C46" s="375"/>
      <c r="D46" s="40"/>
      <c r="E46" s="41"/>
      <c r="F46" s="42"/>
      <c r="G46" s="110"/>
      <c r="H46" s="44" t="str">
        <f t="shared" si="6"/>
        <v/>
      </c>
      <c r="I46" s="391"/>
      <c r="J46" s="39"/>
      <c r="K46" s="374"/>
      <c r="L46" s="375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4"/>
      <c r="C47" s="375"/>
      <c r="D47" s="40"/>
      <c r="E47" s="41"/>
      <c r="F47" s="42"/>
      <c r="G47" s="110"/>
      <c r="H47" s="44" t="str">
        <f t="shared" si="6"/>
        <v/>
      </c>
      <c r="I47" s="391"/>
      <c r="J47" s="39"/>
      <c r="K47" s="374"/>
      <c r="L47" s="375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4"/>
      <c r="C48" s="375"/>
      <c r="D48" s="40"/>
      <c r="E48" s="41"/>
      <c r="F48" s="42"/>
      <c r="G48" s="110"/>
      <c r="H48" s="44" t="str">
        <f t="shared" si="6"/>
        <v/>
      </c>
      <c r="I48" s="391"/>
      <c r="J48" s="39"/>
      <c r="K48" s="374"/>
      <c r="L48" s="375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4"/>
      <c r="C49" s="375"/>
      <c r="D49" s="40"/>
      <c r="E49" s="41"/>
      <c r="F49" s="42"/>
      <c r="G49" s="110"/>
      <c r="H49" s="44" t="str">
        <f t="shared" si="6"/>
        <v/>
      </c>
      <c r="I49" s="391"/>
      <c r="J49" s="39"/>
      <c r="K49" s="374"/>
      <c r="L49" s="375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4"/>
      <c r="C50" s="375"/>
      <c r="D50" s="40"/>
      <c r="E50" s="41"/>
      <c r="F50" s="42"/>
      <c r="G50" s="110"/>
      <c r="H50" s="44" t="str">
        <f t="shared" si="6"/>
        <v/>
      </c>
      <c r="I50" s="391"/>
      <c r="J50" s="39"/>
      <c r="K50" s="374"/>
      <c r="L50" s="375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4"/>
      <c r="C51" s="375"/>
      <c r="D51" s="40"/>
      <c r="E51" s="41"/>
      <c r="F51" s="42"/>
      <c r="G51" s="110"/>
      <c r="H51" s="44" t="str">
        <f t="shared" si="6"/>
        <v/>
      </c>
      <c r="I51" s="391"/>
      <c r="J51" s="39"/>
      <c r="K51" s="374"/>
      <c r="L51" s="375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391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7"/>
      <c r="B53" s="388"/>
      <c r="C53" s="388"/>
      <c r="D53" s="389"/>
      <c r="E53" s="385" t="s">
        <v>49</v>
      </c>
      <c r="F53" s="386"/>
      <c r="G53" s="386"/>
      <c r="H53" s="5">
        <f>ROUNDUP(SUM(H29:H52)*U8,0)</f>
        <v>0</v>
      </c>
      <c r="I53" s="392"/>
      <c r="J53" s="387"/>
      <c r="K53" s="388"/>
      <c r="L53" s="388"/>
      <c r="M53" s="389"/>
      <c r="N53" s="385" t="s">
        <v>49</v>
      </c>
      <c r="O53" s="386"/>
      <c r="P53" s="38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4" t="s">
        <v>29</v>
      </c>
      <c r="B1" s="305"/>
      <c r="C1" s="413" t="str">
        <f ca="1">IF(ISBLANK(INDIRECT("Cover!D3")),"",INDIRECT("Cover!D3"))</f>
        <v>*</v>
      </c>
      <c r="D1" s="413"/>
      <c r="E1" s="413"/>
      <c r="F1" s="413"/>
      <c r="G1" s="413"/>
      <c r="H1" s="413"/>
      <c r="I1" s="305" t="s">
        <v>19</v>
      </c>
      <c r="J1" s="305"/>
      <c r="K1" s="345" t="str">
        <f ca="1">IF(ISBLANK(INDIRECT("Cover!O2")),"",INDIRECT("Cover!O2"))</f>
        <v>*</v>
      </c>
      <c r="L1" s="345"/>
      <c r="M1" s="346"/>
    </row>
    <row r="2" spans="1:13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07" t="s">
        <v>38</v>
      </c>
      <c r="J2" s="307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76" t="s">
        <v>20</v>
      </c>
      <c r="C3" s="412"/>
      <c r="D3" s="377"/>
      <c r="E3" s="34" t="s">
        <v>0</v>
      </c>
      <c r="F3" s="390"/>
      <c r="G3" s="34" t="s">
        <v>15</v>
      </c>
      <c r="H3" s="376" t="s">
        <v>42</v>
      </c>
      <c r="I3" s="412"/>
      <c r="J3" s="412"/>
      <c r="K3" s="412"/>
      <c r="L3" s="377"/>
      <c r="M3" s="34" t="s">
        <v>4</v>
      </c>
    </row>
    <row r="4" spans="1:13" ht="20.100000000000001" customHeight="1" x14ac:dyDescent="0.2">
      <c r="A4" s="75"/>
      <c r="B4" s="407"/>
      <c r="C4" s="408"/>
      <c r="D4" s="409"/>
      <c r="E4" s="77"/>
      <c r="F4" s="391"/>
      <c r="G4" s="75"/>
      <c r="H4" s="407"/>
      <c r="I4" s="408"/>
      <c r="J4" s="408"/>
      <c r="K4" s="408"/>
      <c r="L4" s="409"/>
      <c r="M4" s="77"/>
    </row>
    <row r="5" spans="1:13" ht="20.100000000000001" customHeight="1" x14ac:dyDescent="0.2">
      <c r="A5" s="35"/>
      <c r="B5" s="399"/>
      <c r="C5" s="406"/>
      <c r="D5" s="400"/>
      <c r="E5" s="36"/>
      <c r="F5" s="391"/>
      <c r="G5" s="35"/>
      <c r="H5" s="399"/>
      <c r="I5" s="406"/>
      <c r="J5" s="406"/>
      <c r="K5" s="406"/>
      <c r="L5" s="400"/>
      <c r="M5" s="36"/>
    </row>
    <row r="6" spans="1:13" ht="20.100000000000001" customHeight="1" x14ac:dyDescent="0.2">
      <c r="A6" s="35"/>
      <c r="B6" s="399"/>
      <c r="C6" s="406"/>
      <c r="D6" s="400"/>
      <c r="E6" s="36"/>
      <c r="F6" s="391"/>
      <c r="G6" s="35"/>
      <c r="H6" s="399"/>
      <c r="I6" s="406"/>
      <c r="J6" s="406"/>
      <c r="K6" s="406"/>
      <c r="L6" s="400"/>
      <c r="M6" s="36"/>
    </row>
    <row r="7" spans="1:13" ht="20.100000000000001" customHeight="1" x14ac:dyDescent="0.2">
      <c r="A7" s="35"/>
      <c r="B7" s="399"/>
      <c r="C7" s="406"/>
      <c r="D7" s="400"/>
      <c r="E7" s="36"/>
      <c r="F7" s="391"/>
      <c r="G7" s="35"/>
      <c r="H7" s="399"/>
      <c r="I7" s="406"/>
      <c r="J7" s="406"/>
      <c r="K7" s="406"/>
      <c r="L7" s="400"/>
      <c r="M7" s="36"/>
    </row>
    <row r="8" spans="1:13" ht="20.100000000000001" customHeight="1" x14ac:dyDescent="0.2">
      <c r="A8" s="35"/>
      <c r="B8" s="399"/>
      <c r="C8" s="406"/>
      <c r="D8" s="400"/>
      <c r="E8" s="36"/>
      <c r="F8" s="391"/>
      <c r="G8" s="35"/>
      <c r="H8" s="399"/>
      <c r="I8" s="406"/>
      <c r="J8" s="406"/>
      <c r="K8" s="406"/>
      <c r="L8" s="400"/>
      <c r="M8" s="36"/>
    </row>
    <row r="9" spans="1:13" ht="20.100000000000001" customHeight="1" x14ac:dyDescent="0.2">
      <c r="A9" s="35"/>
      <c r="B9" s="399"/>
      <c r="C9" s="406"/>
      <c r="D9" s="400"/>
      <c r="E9" s="36"/>
      <c r="F9" s="391"/>
      <c r="G9" s="35"/>
      <c r="H9" s="399"/>
      <c r="I9" s="406"/>
      <c r="J9" s="406"/>
      <c r="K9" s="406"/>
      <c r="L9" s="400"/>
      <c r="M9" s="36"/>
    </row>
    <row r="10" spans="1:13" ht="20.100000000000001" customHeight="1" x14ac:dyDescent="0.2">
      <c r="A10" s="35"/>
      <c r="B10" s="399"/>
      <c r="C10" s="406"/>
      <c r="D10" s="400"/>
      <c r="E10" s="36"/>
      <c r="F10" s="391"/>
      <c r="G10" s="35"/>
      <c r="H10" s="399"/>
      <c r="I10" s="406"/>
      <c r="J10" s="406"/>
      <c r="K10" s="406"/>
      <c r="L10" s="400"/>
      <c r="M10" s="36"/>
    </row>
    <row r="11" spans="1:13" ht="20.100000000000001" customHeight="1" thickBot="1" x14ac:dyDescent="0.25">
      <c r="A11" s="121"/>
      <c r="B11" s="401"/>
      <c r="C11" s="411"/>
      <c r="D11" s="402"/>
      <c r="E11" s="123"/>
      <c r="F11" s="391"/>
      <c r="G11" s="121"/>
      <c r="H11" s="401"/>
      <c r="I11" s="411"/>
      <c r="J11" s="411"/>
      <c r="K11" s="411"/>
      <c r="L11" s="402"/>
      <c r="M11" s="123"/>
    </row>
    <row r="12" spans="1:13" ht="20.100000000000001" customHeight="1" thickBot="1" x14ac:dyDescent="0.25">
      <c r="A12" s="396"/>
      <c r="B12" s="397"/>
      <c r="C12" s="398"/>
      <c r="D12" s="4" t="s">
        <v>49</v>
      </c>
      <c r="E12" s="5">
        <f>ROUNDUP(SUM(E4:E11)*1.1,-3)</f>
        <v>0</v>
      </c>
      <c r="F12" s="391"/>
      <c r="G12" s="396"/>
      <c r="H12" s="397"/>
      <c r="I12" s="398"/>
      <c r="J12" s="385" t="s">
        <v>49</v>
      </c>
      <c r="K12" s="386"/>
      <c r="L12" s="38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76" t="s">
        <v>43</v>
      </c>
      <c r="C13" s="412"/>
      <c r="D13" s="377"/>
      <c r="E13" s="34" t="s">
        <v>4</v>
      </c>
      <c r="F13" s="391"/>
      <c r="G13" s="34" t="s">
        <v>15</v>
      </c>
      <c r="H13" s="376" t="s">
        <v>44</v>
      </c>
      <c r="I13" s="412"/>
      <c r="J13" s="412"/>
      <c r="K13" s="412"/>
      <c r="L13" s="377"/>
      <c r="M13" s="24" t="s">
        <v>0</v>
      </c>
    </row>
    <row r="14" spans="1:13" ht="20.100000000000001" customHeight="1" x14ac:dyDescent="0.2">
      <c r="A14" s="75"/>
      <c r="B14" s="407"/>
      <c r="C14" s="408"/>
      <c r="D14" s="409"/>
      <c r="E14" s="77"/>
      <c r="F14" s="391"/>
      <c r="G14" s="75"/>
      <c r="H14" s="407"/>
      <c r="I14" s="408"/>
      <c r="J14" s="408"/>
      <c r="K14" s="408"/>
      <c r="L14" s="409"/>
      <c r="M14" s="77"/>
    </row>
    <row r="15" spans="1:13" ht="20.100000000000001" customHeight="1" x14ac:dyDescent="0.2">
      <c r="A15" s="35"/>
      <c r="B15" s="399"/>
      <c r="C15" s="406"/>
      <c r="D15" s="400"/>
      <c r="E15" s="36"/>
      <c r="F15" s="391"/>
      <c r="G15" s="35"/>
      <c r="H15" s="399"/>
      <c r="I15" s="406"/>
      <c r="J15" s="406"/>
      <c r="K15" s="406"/>
      <c r="L15" s="400"/>
      <c r="M15" s="36"/>
    </row>
    <row r="16" spans="1:13" ht="20.100000000000001" customHeight="1" x14ac:dyDescent="0.2">
      <c r="A16" s="35"/>
      <c r="B16" s="399"/>
      <c r="C16" s="406"/>
      <c r="D16" s="400"/>
      <c r="E16" s="36"/>
      <c r="F16" s="391"/>
      <c r="G16" s="35"/>
      <c r="H16" s="399"/>
      <c r="I16" s="406"/>
      <c r="J16" s="406"/>
      <c r="K16" s="406"/>
      <c r="L16" s="400"/>
      <c r="M16" s="36"/>
    </row>
    <row r="17" spans="1:13" ht="20.100000000000001" customHeight="1" x14ac:dyDescent="0.2">
      <c r="A17" s="35"/>
      <c r="B17" s="399"/>
      <c r="C17" s="406"/>
      <c r="D17" s="400"/>
      <c r="E17" s="36"/>
      <c r="F17" s="391"/>
      <c r="G17" s="35"/>
      <c r="H17" s="399"/>
      <c r="I17" s="406"/>
      <c r="J17" s="406"/>
      <c r="K17" s="406"/>
      <c r="L17" s="400"/>
      <c r="M17" s="36"/>
    </row>
    <row r="18" spans="1:13" ht="20.100000000000001" customHeight="1" x14ac:dyDescent="0.2">
      <c r="A18" s="35"/>
      <c r="B18" s="399"/>
      <c r="C18" s="406"/>
      <c r="D18" s="400"/>
      <c r="E18" s="36"/>
      <c r="F18" s="391"/>
      <c r="G18" s="35"/>
      <c r="H18" s="399"/>
      <c r="I18" s="406"/>
      <c r="J18" s="406"/>
      <c r="K18" s="406"/>
      <c r="L18" s="400"/>
      <c r="M18" s="36"/>
    </row>
    <row r="19" spans="1:13" ht="20.100000000000001" customHeight="1" x14ac:dyDescent="0.2">
      <c r="A19" s="35"/>
      <c r="B19" s="399"/>
      <c r="C19" s="406"/>
      <c r="D19" s="400"/>
      <c r="E19" s="36"/>
      <c r="F19" s="391"/>
      <c r="G19" s="35"/>
      <c r="H19" s="399"/>
      <c r="I19" s="406"/>
      <c r="J19" s="406"/>
      <c r="K19" s="406"/>
      <c r="L19" s="400"/>
      <c r="M19" s="36"/>
    </row>
    <row r="20" spans="1:13" ht="20.100000000000001" customHeight="1" x14ac:dyDescent="0.2">
      <c r="A20" s="35"/>
      <c r="B20" s="399"/>
      <c r="C20" s="406"/>
      <c r="D20" s="400"/>
      <c r="E20" s="36"/>
      <c r="F20" s="391"/>
      <c r="G20" s="35"/>
      <c r="H20" s="399"/>
      <c r="I20" s="406"/>
      <c r="J20" s="406"/>
      <c r="K20" s="406"/>
      <c r="L20" s="400"/>
      <c r="M20" s="36"/>
    </row>
    <row r="21" spans="1:13" ht="20.100000000000001" customHeight="1" thickBot="1" x14ac:dyDescent="0.25">
      <c r="A21" s="121"/>
      <c r="B21" s="401"/>
      <c r="C21" s="411"/>
      <c r="D21" s="402"/>
      <c r="E21" s="123"/>
      <c r="F21" s="391"/>
      <c r="G21" s="121"/>
      <c r="H21" s="401"/>
      <c r="I21" s="411"/>
      <c r="J21" s="411"/>
      <c r="K21" s="411"/>
      <c r="L21" s="402"/>
      <c r="M21" s="123"/>
    </row>
    <row r="22" spans="1:13" ht="20.100000000000001" customHeight="1" thickBot="1" x14ac:dyDescent="0.25">
      <c r="A22" s="396"/>
      <c r="B22" s="397"/>
      <c r="C22" s="398"/>
      <c r="D22" s="4" t="s">
        <v>49</v>
      </c>
      <c r="E22" s="5">
        <f>ROUNDUP(SUM(E14:E21)*1.02,-1)</f>
        <v>0</v>
      </c>
      <c r="F22" s="391"/>
      <c r="G22" s="396"/>
      <c r="H22" s="397"/>
      <c r="I22" s="398"/>
      <c r="J22" s="385" t="s">
        <v>49</v>
      </c>
      <c r="K22" s="386"/>
      <c r="L22" s="38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76" t="s">
        <v>39</v>
      </c>
      <c r="C23" s="412"/>
      <c r="D23" s="377"/>
      <c r="E23" s="34" t="s">
        <v>4</v>
      </c>
      <c r="F23" s="391"/>
      <c r="G23" s="34" t="s">
        <v>15</v>
      </c>
      <c r="H23" s="376" t="s">
        <v>40</v>
      </c>
      <c r="I23" s="412"/>
      <c r="J23" s="412"/>
      <c r="K23" s="412"/>
      <c r="L23" s="377"/>
      <c r="M23" s="34" t="s">
        <v>4</v>
      </c>
    </row>
    <row r="24" spans="1:13" ht="20.100000000000001" customHeight="1" x14ac:dyDescent="0.2">
      <c r="A24" s="75"/>
      <c r="B24" s="407"/>
      <c r="C24" s="408"/>
      <c r="D24" s="409"/>
      <c r="E24" s="77"/>
      <c r="F24" s="391"/>
      <c r="G24" s="75"/>
      <c r="H24" s="407"/>
      <c r="I24" s="408"/>
      <c r="J24" s="408"/>
      <c r="K24" s="408"/>
      <c r="L24" s="409"/>
      <c r="M24" s="77"/>
    </row>
    <row r="25" spans="1:13" ht="20.100000000000001" customHeight="1" x14ac:dyDescent="0.2">
      <c r="A25" s="35"/>
      <c r="B25" s="399"/>
      <c r="C25" s="406"/>
      <c r="D25" s="400"/>
      <c r="E25" s="36"/>
      <c r="F25" s="391"/>
      <c r="G25" s="35"/>
      <c r="H25" s="399"/>
      <c r="I25" s="406"/>
      <c r="J25" s="406"/>
      <c r="K25" s="406"/>
      <c r="L25" s="400"/>
      <c r="M25" s="36"/>
    </row>
    <row r="26" spans="1:13" ht="20.100000000000001" customHeight="1" x14ac:dyDescent="0.2">
      <c r="A26" s="35"/>
      <c r="B26" s="399"/>
      <c r="C26" s="406"/>
      <c r="D26" s="400"/>
      <c r="E26" s="36"/>
      <c r="F26" s="391"/>
      <c r="G26" s="35"/>
      <c r="H26" s="399"/>
      <c r="I26" s="406"/>
      <c r="J26" s="406"/>
      <c r="K26" s="406"/>
      <c r="L26" s="400"/>
      <c r="M26" s="36"/>
    </row>
    <row r="27" spans="1:13" ht="20.100000000000001" customHeight="1" x14ac:dyDescent="0.2">
      <c r="A27" s="35"/>
      <c r="B27" s="399"/>
      <c r="C27" s="406"/>
      <c r="D27" s="400"/>
      <c r="E27" s="36"/>
      <c r="F27" s="391"/>
      <c r="G27" s="35"/>
      <c r="H27" s="399"/>
      <c r="I27" s="406"/>
      <c r="J27" s="406"/>
      <c r="K27" s="406"/>
      <c r="L27" s="400"/>
      <c r="M27" s="36"/>
    </row>
    <row r="28" spans="1:13" ht="20.100000000000001" customHeight="1" x14ac:dyDescent="0.2">
      <c r="A28" s="35"/>
      <c r="B28" s="399"/>
      <c r="C28" s="406"/>
      <c r="D28" s="400"/>
      <c r="E28" s="36"/>
      <c r="F28" s="391"/>
      <c r="G28" s="35"/>
      <c r="H28" s="399"/>
      <c r="I28" s="406"/>
      <c r="J28" s="406"/>
      <c r="K28" s="406"/>
      <c r="L28" s="400"/>
      <c r="M28" s="36"/>
    </row>
    <row r="29" spans="1:13" ht="20.100000000000001" customHeight="1" x14ac:dyDescent="0.2">
      <c r="A29" s="35"/>
      <c r="B29" s="399"/>
      <c r="C29" s="406"/>
      <c r="D29" s="400"/>
      <c r="E29" s="36"/>
      <c r="F29" s="391"/>
      <c r="G29" s="35"/>
      <c r="H29" s="399"/>
      <c r="I29" s="406"/>
      <c r="J29" s="406"/>
      <c r="K29" s="406"/>
      <c r="L29" s="400"/>
      <c r="M29" s="36"/>
    </row>
    <row r="30" spans="1:13" ht="20.100000000000001" customHeight="1" x14ac:dyDescent="0.2">
      <c r="A30" s="35"/>
      <c r="B30" s="399"/>
      <c r="C30" s="406"/>
      <c r="D30" s="400"/>
      <c r="E30" s="36"/>
      <c r="F30" s="391"/>
      <c r="G30" s="35"/>
      <c r="H30" s="399"/>
      <c r="I30" s="406"/>
      <c r="J30" s="406"/>
      <c r="K30" s="406"/>
      <c r="L30" s="400"/>
      <c r="M30" s="36"/>
    </row>
    <row r="31" spans="1:13" ht="20.100000000000001" customHeight="1" thickBot="1" x14ac:dyDescent="0.25">
      <c r="A31" s="121"/>
      <c r="B31" s="401"/>
      <c r="C31" s="411"/>
      <c r="D31" s="402"/>
      <c r="E31" s="123"/>
      <c r="F31" s="391"/>
      <c r="G31" s="121"/>
      <c r="H31" s="401"/>
      <c r="I31" s="411"/>
      <c r="J31" s="411"/>
      <c r="K31" s="411"/>
      <c r="L31" s="402"/>
      <c r="M31" s="123"/>
    </row>
    <row r="32" spans="1:13" ht="20.100000000000001" customHeight="1" thickBot="1" x14ac:dyDescent="0.25">
      <c r="A32" s="396"/>
      <c r="B32" s="397"/>
      <c r="C32" s="398"/>
      <c r="D32" s="4" t="s">
        <v>49</v>
      </c>
      <c r="E32" s="5">
        <f>ROUNDUP(SUM(E24:E31)*1.02,-1)</f>
        <v>0</v>
      </c>
      <c r="F32" s="391"/>
      <c r="G32" s="396"/>
      <c r="H32" s="397"/>
      <c r="I32" s="398"/>
      <c r="J32" s="385" t="s">
        <v>49</v>
      </c>
      <c r="K32" s="414"/>
      <c r="L32" s="41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76" t="s">
        <v>51</v>
      </c>
      <c r="C33" s="412"/>
      <c r="D33" s="377"/>
      <c r="E33" s="34" t="s">
        <v>50</v>
      </c>
      <c r="F33" s="391"/>
      <c r="G33" s="34" t="s">
        <v>15</v>
      </c>
      <c r="H33" s="376" t="s">
        <v>41</v>
      </c>
      <c r="I33" s="412"/>
      <c r="J33" s="412"/>
      <c r="K33" s="412"/>
      <c r="L33" s="377"/>
      <c r="M33" s="34" t="s">
        <v>4</v>
      </c>
    </row>
    <row r="34" spans="1:13" ht="20.100000000000001" customHeight="1" x14ac:dyDescent="0.2">
      <c r="A34" s="75"/>
      <c r="B34" s="407"/>
      <c r="C34" s="408"/>
      <c r="D34" s="409"/>
      <c r="E34" s="77"/>
      <c r="F34" s="391"/>
      <c r="G34" s="75"/>
      <c r="H34" s="407"/>
      <c r="I34" s="408"/>
      <c r="J34" s="408"/>
      <c r="K34" s="408"/>
      <c r="L34" s="409"/>
      <c r="M34" s="77"/>
    </row>
    <row r="35" spans="1:13" ht="20.100000000000001" customHeight="1" x14ac:dyDescent="0.2">
      <c r="A35" s="35"/>
      <c r="B35" s="399"/>
      <c r="C35" s="406"/>
      <c r="D35" s="400"/>
      <c r="E35" s="36"/>
      <c r="F35" s="391"/>
      <c r="G35" s="35"/>
      <c r="H35" s="399"/>
      <c r="I35" s="406"/>
      <c r="J35" s="406"/>
      <c r="K35" s="406"/>
      <c r="L35" s="400"/>
      <c r="M35" s="36"/>
    </row>
    <row r="36" spans="1:13" ht="20.100000000000001" customHeight="1" x14ac:dyDescent="0.2">
      <c r="A36" s="35"/>
      <c r="B36" s="399"/>
      <c r="C36" s="406"/>
      <c r="D36" s="400"/>
      <c r="E36" s="36"/>
      <c r="F36" s="391"/>
      <c r="G36" s="35"/>
      <c r="H36" s="399"/>
      <c r="I36" s="406"/>
      <c r="J36" s="406"/>
      <c r="K36" s="406"/>
      <c r="L36" s="400"/>
      <c r="M36" s="36"/>
    </row>
    <row r="37" spans="1:13" ht="20.100000000000001" customHeight="1" x14ac:dyDescent="0.2">
      <c r="A37" s="35"/>
      <c r="B37" s="399"/>
      <c r="C37" s="406"/>
      <c r="D37" s="400"/>
      <c r="E37" s="36"/>
      <c r="F37" s="391"/>
      <c r="G37" s="35"/>
      <c r="H37" s="399"/>
      <c r="I37" s="406"/>
      <c r="J37" s="406"/>
      <c r="K37" s="406"/>
      <c r="L37" s="400"/>
      <c r="M37" s="36"/>
    </row>
    <row r="38" spans="1:13" ht="20.100000000000001" customHeight="1" x14ac:dyDescent="0.2">
      <c r="A38" s="35"/>
      <c r="B38" s="399"/>
      <c r="C38" s="406"/>
      <c r="D38" s="400"/>
      <c r="E38" s="36"/>
      <c r="F38" s="391"/>
      <c r="G38" s="35"/>
      <c r="H38" s="399"/>
      <c r="I38" s="406"/>
      <c r="J38" s="406"/>
      <c r="K38" s="406"/>
      <c r="L38" s="400"/>
      <c r="M38" s="36"/>
    </row>
    <row r="39" spans="1:13" ht="20.100000000000001" customHeight="1" x14ac:dyDescent="0.2">
      <c r="A39" s="35"/>
      <c r="B39" s="399"/>
      <c r="C39" s="406"/>
      <c r="D39" s="400"/>
      <c r="E39" s="36"/>
      <c r="F39" s="391"/>
      <c r="G39" s="35"/>
      <c r="H39" s="399"/>
      <c r="I39" s="406"/>
      <c r="J39" s="406"/>
      <c r="K39" s="406"/>
      <c r="L39" s="400"/>
      <c r="M39" s="36"/>
    </row>
    <row r="40" spans="1:13" ht="20.100000000000001" customHeight="1" x14ac:dyDescent="0.2">
      <c r="A40" s="35"/>
      <c r="B40" s="399"/>
      <c r="C40" s="406"/>
      <c r="D40" s="400"/>
      <c r="E40" s="36"/>
      <c r="F40" s="391"/>
      <c r="G40" s="35"/>
      <c r="H40" s="399"/>
      <c r="I40" s="406"/>
      <c r="J40" s="406"/>
      <c r="K40" s="406"/>
      <c r="L40" s="400"/>
      <c r="M40" s="36"/>
    </row>
    <row r="41" spans="1:13" ht="20.100000000000001" customHeight="1" thickBot="1" x14ac:dyDescent="0.25">
      <c r="A41" s="121"/>
      <c r="B41" s="401"/>
      <c r="C41" s="411"/>
      <c r="D41" s="402"/>
      <c r="E41" s="123"/>
      <c r="F41" s="391"/>
      <c r="G41" s="121"/>
      <c r="H41" s="401"/>
      <c r="I41" s="411"/>
      <c r="J41" s="411"/>
      <c r="K41" s="411"/>
      <c r="L41" s="402"/>
      <c r="M41" s="123"/>
    </row>
    <row r="42" spans="1:13" ht="20.100000000000001" customHeight="1" thickBot="1" x14ac:dyDescent="0.25">
      <c r="A42" s="396"/>
      <c r="B42" s="397"/>
      <c r="C42" s="398"/>
      <c r="D42" s="4" t="s">
        <v>49</v>
      </c>
      <c r="E42" s="5">
        <f>SUM(E34:E41)</f>
        <v>0</v>
      </c>
      <c r="F42" s="391"/>
      <c r="G42" s="396"/>
      <c r="H42" s="397"/>
      <c r="I42" s="398"/>
      <c r="J42" s="385" t="s">
        <v>49</v>
      </c>
      <c r="K42" s="386"/>
      <c r="L42" s="386"/>
      <c r="M42" s="5">
        <f>ROUNDUP(SUM(M34:M41)*1.02,-1)</f>
        <v>0</v>
      </c>
    </row>
    <row r="43" spans="1:13" ht="20.100000000000001" customHeight="1" thickBot="1" x14ac:dyDescent="0.3">
      <c r="A43" s="403" t="s">
        <v>24</v>
      </c>
      <c r="B43" s="404"/>
      <c r="C43" s="404"/>
      <c r="D43" s="404"/>
      <c r="E43" s="405"/>
      <c r="F43" s="391"/>
      <c r="G43" s="403" t="s">
        <v>24</v>
      </c>
      <c r="H43" s="404"/>
      <c r="I43" s="404"/>
      <c r="J43" s="404"/>
      <c r="K43" s="404"/>
      <c r="L43" s="404"/>
      <c r="M43" s="405"/>
    </row>
    <row r="44" spans="1:13" ht="20.100000000000001" customHeight="1" thickBot="1" x14ac:dyDescent="0.3">
      <c r="A44" s="34" t="s">
        <v>15</v>
      </c>
      <c r="B44" s="410" t="s">
        <v>16</v>
      </c>
      <c r="C44" s="410"/>
      <c r="D44" s="34" t="s">
        <v>12</v>
      </c>
      <c r="E44" s="34" t="s">
        <v>0</v>
      </c>
      <c r="F44" s="391"/>
      <c r="G44" s="34" t="s">
        <v>15</v>
      </c>
      <c r="H44" s="410" t="s">
        <v>16</v>
      </c>
      <c r="I44" s="410"/>
      <c r="J44" s="376" t="s">
        <v>12</v>
      </c>
      <c r="K44" s="412"/>
      <c r="L44" s="377"/>
      <c r="M44" s="34" t="s">
        <v>0</v>
      </c>
    </row>
    <row r="45" spans="1:13" ht="20.100000000000001" customHeight="1" x14ac:dyDescent="0.2">
      <c r="A45" s="75"/>
      <c r="B45" s="407"/>
      <c r="C45" s="409"/>
      <c r="D45" s="76"/>
      <c r="E45" s="77"/>
      <c r="F45" s="391"/>
      <c r="G45" s="75"/>
      <c r="H45" s="407"/>
      <c r="I45" s="409"/>
      <c r="J45" s="407"/>
      <c r="K45" s="408"/>
      <c r="L45" s="409"/>
      <c r="M45" s="77"/>
    </row>
    <row r="46" spans="1:13" ht="20.100000000000001" customHeight="1" x14ac:dyDescent="0.2">
      <c r="A46" s="35"/>
      <c r="B46" s="399"/>
      <c r="C46" s="400"/>
      <c r="D46" s="76"/>
      <c r="E46" s="36"/>
      <c r="F46" s="391"/>
      <c r="G46" s="35"/>
      <c r="H46" s="399"/>
      <c r="I46" s="400"/>
      <c r="J46" s="399"/>
      <c r="K46" s="406"/>
      <c r="L46" s="400"/>
      <c r="M46" s="36"/>
    </row>
    <row r="47" spans="1:13" ht="20.100000000000001" customHeight="1" x14ac:dyDescent="0.2">
      <c r="A47" s="35"/>
      <c r="B47" s="399"/>
      <c r="C47" s="400"/>
      <c r="D47" s="122"/>
      <c r="E47" s="123"/>
      <c r="F47" s="391"/>
      <c r="G47" s="35"/>
      <c r="H47" s="399"/>
      <c r="I47" s="400"/>
      <c r="J47" s="399"/>
      <c r="K47" s="406"/>
      <c r="L47" s="400"/>
      <c r="M47" s="36"/>
    </row>
    <row r="48" spans="1:13" ht="20.100000000000001" customHeight="1" thickBot="1" x14ac:dyDescent="0.25">
      <c r="A48" s="121"/>
      <c r="B48" s="401"/>
      <c r="C48" s="402"/>
      <c r="D48" s="122"/>
      <c r="E48" s="123"/>
      <c r="F48" s="391"/>
      <c r="G48" s="121"/>
      <c r="H48" s="401"/>
      <c r="I48" s="402"/>
      <c r="J48" s="401"/>
      <c r="K48" s="411"/>
      <c r="L48" s="402"/>
      <c r="M48" s="123"/>
    </row>
    <row r="49" spans="1:13" ht="20.100000000000001" customHeight="1" thickBot="1" x14ac:dyDescent="0.25">
      <c r="A49" s="396"/>
      <c r="B49" s="397"/>
      <c r="C49" s="398"/>
      <c r="D49" s="4" t="s">
        <v>49</v>
      </c>
      <c r="E49" s="5">
        <f>SUM(E44:E48)</f>
        <v>0</v>
      </c>
      <c r="F49" s="392"/>
      <c r="G49" s="396"/>
      <c r="H49" s="397"/>
      <c r="I49" s="398"/>
      <c r="J49" s="385" t="s">
        <v>49</v>
      </c>
      <c r="K49" s="386"/>
      <c r="L49" s="38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57" t="s">
        <v>54</v>
      </c>
      <c r="B1" s="458"/>
      <c r="C1" s="458"/>
      <c r="D1" s="459" t="s">
        <v>122</v>
      </c>
      <c r="E1" s="459"/>
      <c r="F1" s="459"/>
      <c r="G1" s="459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5" t="s">
        <v>36</v>
      </c>
      <c r="B2" s="461"/>
      <c r="C2" s="461"/>
      <c r="D2" s="439" t="s">
        <v>122</v>
      </c>
      <c r="E2" s="439"/>
      <c r="F2" s="439"/>
      <c r="G2" s="439"/>
      <c r="H2" s="138" t="s">
        <v>34</v>
      </c>
      <c r="I2" s="462" t="s">
        <v>122</v>
      </c>
      <c r="J2" s="462"/>
      <c r="K2" s="462"/>
      <c r="L2" s="462"/>
      <c r="M2" s="428" t="s">
        <v>57</v>
      </c>
      <c r="N2" s="428"/>
      <c r="O2" s="443" t="s">
        <v>122</v>
      </c>
      <c r="P2" s="443"/>
      <c r="Q2" s="443"/>
      <c r="R2" s="460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27" t="s">
        <v>64</v>
      </c>
      <c r="B3" s="428"/>
      <c r="C3" s="428"/>
      <c r="D3" s="450" t="s">
        <v>122</v>
      </c>
      <c r="E3" s="450"/>
      <c r="F3" s="450"/>
      <c r="G3" s="450"/>
      <c r="H3" s="450"/>
      <c r="I3" s="450"/>
      <c r="J3" s="450"/>
      <c r="K3" s="450"/>
      <c r="L3" s="450"/>
      <c r="M3" s="428" t="s">
        <v>58</v>
      </c>
      <c r="N3" s="428"/>
      <c r="O3" s="446" t="s">
        <v>122</v>
      </c>
      <c r="P3" s="446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27" t="s">
        <v>55</v>
      </c>
      <c r="B4" s="428"/>
      <c r="C4" s="428"/>
      <c r="D4" s="450" t="s">
        <v>122</v>
      </c>
      <c r="E4" s="450"/>
      <c r="F4" s="450"/>
      <c r="G4" s="450"/>
      <c r="H4" s="450"/>
      <c r="I4" s="450"/>
      <c r="J4" s="450"/>
      <c r="K4" s="450"/>
      <c r="L4" s="450"/>
      <c r="M4" s="428" t="s">
        <v>59</v>
      </c>
      <c r="N4" s="428"/>
      <c r="O4" s="450" t="s">
        <v>122</v>
      </c>
      <c r="P4" s="450"/>
      <c r="Q4" s="450"/>
      <c r="R4" s="454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27" t="s">
        <v>56</v>
      </c>
      <c r="B5" s="428"/>
      <c r="C5" s="428"/>
      <c r="D5" s="450" t="s">
        <v>122</v>
      </c>
      <c r="E5" s="450"/>
      <c r="F5" s="450"/>
      <c r="G5" s="450"/>
      <c r="H5" s="450"/>
      <c r="I5" s="450"/>
      <c r="J5" s="450"/>
      <c r="K5" s="450"/>
      <c r="L5" s="450"/>
      <c r="M5" s="428" t="s">
        <v>73</v>
      </c>
      <c r="N5" s="428"/>
      <c r="O5" s="428"/>
      <c r="P5" s="428"/>
      <c r="Q5" s="429" t="s">
        <v>121</v>
      </c>
      <c r="R5" s="438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3"/>
      <c r="B6" s="464"/>
      <c r="C6" s="464"/>
      <c r="D6" s="450"/>
      <c r="E6" s="450"/>
      <c r="F6" s="450"/>
      <c r="G6" s="450"/>
      <c r="H6" s="450"/>
      <c r="I6" s="450"/>
      <c r="J6" s="450"/>
      <c r="K6" s="450"/>
      <c r="L6" s="450"/>
      <c r="M6" s="428" t="s">
        <v>85</v>
      </c>
      <c r="N6" s="428"/>
      <c r="O6" s="428"/>
      <c r="P6" s="428"/>
      <c r="Q6" s="446" t="s">
        <v>122</v>
      </c>
      <c r="R6" s="447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5"/>
      <c r="B7" s="466"/>
      <c r="C7" s="466"/>
      <c r="D7" s="450"/>
      <c r="E7" s="450"/>
      <c r="F7" s="450"/>
      <c r="G7" s="450"/>
      <c r="H7" s="450"/>
      <c r="I7" s="450"/>
      <c r="J7" s="450"/>
      <c r="K7" s="450"/>
      <c r="L7" s="450"/>
      <c r="M7" s="428" t="s">
        <v>38</v>
      </c>
      <c r="N7" s="428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5" t="s">
        <v>65</v>
      </c>
      <c r="B8" s="426"/>
      <c r="C8" s="426"/>
      <c r="D8" s="443" t="s">
        <v>122</v>
      </c>
      <c r="E8" s="443"/>
      <c r="F8" s="443"/>
      <c r="G8" s="426" t="s">
        <v>62</v>
      </c>
      <c r="H8" s="426"/>
      <c r="I8" s="439" t="s">
        <v>122</v>
      </c>
      <c r="J8" s="439"/>
      <c r="K8" s="426" t="s">
        <v>60</v>
      </c>
      <c r="L8" s="426"/>
      <c r="M8" s="439" t="s">
        <v>122</v>
      </c>
      <c r="N8" s="448"/>
      <c r="O8" s="448"/>
      <c r="P8" s="448"/>
      <c r="Q8" s="448"/>
      <c r="R8" s="449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27" t="s">
        <v>66</v>
      </c>
      <c r="B9" s="428"/>
      <c r="C9" s="428"/>
      <c r="D9" s="429" t="s">
        <v>122</v>
      </c>
      <c r="E9" s="429"/>
      <c r="F9" s="429"/>
      <c r="G9" s="428" t="s">
        <v>63</v>
      </c>
      <c r="H9" s="428"/>
      <c r="I9" s="429" t="s">
        <v>122</v>
      </c>
      <c r="J9" s="429"/>
      <c r="K9" s="428" t="s">
        <v>61</v>
      </c>
      <c r="L9" s="428"/>
      <c r="M9" s="429" t="s">
        <v>122</v>
      </c>
      <c r="N9" s="455"/>
      <c r="O9" s="455"/>
      <c r="P9" s="455"/>
      <c r="Q9" s="455"/>
      <c r="R9" s="456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27" t="s">
        <v>67</v>
      </c>
      <c r="B10" s="428"/>
      <c r="C10" s="428"/>
      <c r="D10" s="429" t="s">
        <v>122</v>
      </c>
      <c r="E10" s="429"/>
      <c r="F10" s="429"/>
      <c r="G10" s="429"/>
      <c r="H10" s="429"/>
      <c r="I10" s="429"/>
      <c r="J10" s="429"/>
      <c r="K10" s="429"/>
      <c r="L10" s="429"/>
      <c r="M10" s="429"/>
      <c r="N10" s="429"/>
      <c r="O10" s="429"/>
      <c r="P10" s="429"/>
      <c r="Q10" s="429"/>
      <c r="R10" s="438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3"/>
      <c r="B11" s="434"/>
      <c r="C11" s="434"/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29"/>
      <c r="O11" s="429"/>
      <c r="P11" s="429"/>
      <c r="Q11" s="429"/>
      <c r="R11" s="438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27" t="s">
        <v>74</v>
      </c>
      <c r="B12" s="428"/>
      <c r="C12" s="428"/>
      <c r="D12" s="432" t="s">
        <v>122</v>
      </c>
      <c r="E12" s="432"/>
      <c r="F12" s="432"/>
      <c r="G12" s="432"/>
      <c r="H12" s="432"/>
      <c r="I12" s="432"/>
      <c r="J12" s="432"/>
      <c r="K12" s="430"/>
      <c r="L12" s="430"/>
      <c r="M12" s="430"/>
      <c r="N12" s="430"/>
      <c r="O12" s="430"/>
      <c r="P12" s="430"/>
      <c r="Q12" s="430"/>
      <c r="R12" s="431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4" t="s">
        <v>68</v>
      </c>
      <c r="B13" s="445"/>
      <c r="C13" s="440" t="s">
        <v>37</v>
      </c>
      <c r="D13" s="440"/>
      <c r="E13" s="440"/>
      <c r="F13" s="441" t="s">
        <v>122</v>
      </c>
      <c r="G13" s="441"/>
      <c r="H13" s="441"/>
      <c r="I13" s="441"/>
      <c r="J13" s="441"/>
      <c r="K13" s="441"/>
      <c r="L13" s="441"/>
      <c r="M13" s="441"/>
      <c r="N13" s="441"/>
      <c r="O13" s="441"/>
      <c r="P13" s="441"/>
      <c r="Q13" s="441"/>
      <c r="R13" s="442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17" t="s">
        <v>136</v>
      </c>
      <c r="C14" s="415"/>
      <c r="D14" s="415"/>
      <c r="E14" s="415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  <c r="Q14" s="415"/>
      <c r="R14" s="416"/>
      <c r="S14" s="131"/>
    </row>
    <row r="15" spans="1:33" s="18" customFormat="1" ht="20.100000000000001" customHeight="1" x14ac:dyDescent="0.2">
      <c r="A15" s="125" t="s">
        <v>135</v>
      </c>
      <c r="B15" s="417" t="s">
        <v>137</v>
      </c>
      <c r="C15" s="415"/>
      <c r="D15" s="415"/>
      <c r="E15" s="415"/>
      <c r="F15" s="415"/>
      <c r="G15" s="415"/>
      <c r="H15" s="415"/>
      <c r="I15" s="415"/>
      <c r="J15" s="415"/>
      <c r="K15" s="415"/>
      <c r="L15" s="415"/>
      <c r="M15" s="415"/>
      <c r="N15" s="415"/>
      <c r="O15" s="415"/>
      <c r="P15" s="415"/>
      <c r="Q15" s="415"/>
      <c r="R15" s="416"/>
      <c r="S15" s="131"/>
    </row>
    <row r="16" spans="1:33" s="18" customFormat="1" ht="20.100000000000001" customHeight="1" x14ac:dyDescent="0.2">
      <c r="A16" s="125" t="s">
        <v>135</v>
      </c>
      <c r="B16" s="417" t="s">
        <v>138</v>
      </c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6"/>
      <c r="S16" s="131"/>
    </row>
    <row r="17" spans="1:19" s="18" customFormat="1" ht="20.100000000000001" customHeight="1" x14ac:dyDescent="0.2">
      <c r="A17" s="125"/>
      <c r="B17" s="415"/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  <c r="P17" s="415"/>
      <c r="Q17" s="415"/>
      <c r="R17" s="416"/>
      <c r="S17" s="131"/>
    </row>
    <row r="18" spans="1:19" s="18" customFormat="1" ht="20.100000000000001" customHeight="1" x14ac:dyDescent="0.2">
      <c r="A18" s="125"/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6"/>
      <c r="S18" s="131"/>
    </row>
    <row r="19" spans="1:19" s="18" customFormat="1" ht="20.100000000000001" customHeight="1" x14ac:dyDescent="0.2">
      <c r="A19" s="125"/>
      <c r="B19" s="415"/>
      <c r="C19" s="415"/>
      <c r="D19" s="415"/>
      <c r="E19" s="415"/>
      <c r="F19" s="415"/>
      <c r="G19" s="415"/>
      <c r="H19" s="415"/>
      <c r="I19" s="415"/>
      <c r="J19" s="415"/>
      <c r="K19" s="415"/>
      <c r="L19" s="415"/>
      <c r="M19" s="415"/>
      <c r="N19" s="415"/>
      <c r="O19" s="415"/>
      <c r="P19" s="415"/>
      <c r="Q19" s="415"/>
      <c r="R19" s="416"/>
      <c r="S19" s="131"/>
    </row>
    <row r="20" spans="1:19" s="18" customFormat="1" ht="20.100000000000001" customHeight="1" x14ac:dyDescent="0.2">
      <c r="A20" s="125"/>
      <c r="B20" s="415"/>
      <c r="C20" s="415"/>
      <c r="D20" s="415"/>
      <c r="E20" s="415"/>
      <c r="F20" s="415"/>
      <c r="G20" s="415"/>
      <c r="H20" s="415"/>
      <c r="I20" s="415"/>
      <c r="J20" s="415"/>
      <c r="K20" s="415"/>
      <c r="L20" s="415"/>
      <c r="M20" s="415"/>
      <c r="N20" s="415"/>
      <c r="O20" s="415"/>
      <c r="P20" s="415"/>
      <c r="Q20" s="415"/>
      <c r="R20" s="416"/>
      <c r="S20" s="131"/>
    </row>
    <row r="21" spans="1:19" s="18" customFormat="1" ht="20.100000000000001" customHeight="1" x14ac:dyDescent="0.2">
      <c r="A21" s="125"/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6"/>
      <c r="S21" s="131"/>
    </row>
    <row r="22" spans="1:19" s="18" customFormat="1" ht="20.100000000000001" customHeight="1" x14ac:dyDescent="0.2">
      <c r="A22" s="125"/>
      <c r="B22" s="415"/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  <c r="P22" s="415"/>
      <c r="Q22" s="415"/>
      <c r="R22" s="416"/>
      <c r="S22" s="131"/>
    </row>
    <row r="23" spans="1:19" s="18" customFormat="1" ht="20.100000000000001" customHeight="1" x14ac:dyDescent="0.2">
      <c r="A23" s="125"/>
      <c r="B23" s="415"/>
      <c r="C23" s="415"/>
      <c r="D23" s="415"/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6"/>
      <c r="S23" s="131"/>
    </row>
    <row r="24" spans="1:19" s="18" customFormat="1" ht="20.100000000000001" customHeight="1" x14ac:dyDescent="0.2">
      <c r="A24" s="125"/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  <c r="Q24" s="415"/>
      <c r="R24" s="416"/>
      <c r="S24" s="131"/>
    </row>
    <row r="25" spans="1:19" s="18" customFormat="1" ht="20.100000000000001" customHeight="1" x14ac:dyDescent="0.2">
      <c r="A25" s="125"/>
      <c r="B25" s="415"/>
      <c r="C25" s="415"/>
      <c r="D25" s="415"/>
      <c r="E25" s="415"/>
      <c r="F25" s="415"/>
      <c r="G25" s="415"/>
      <c r="H25" s="415"/>
      <c r="I25" s="415"/>
      <c r="J25" s="415"/>
      <c r="K25" s="415"/>
      <c r="L25" s="415"/>
      <c r="M25" s="415"/>
      <c r="N25" s="415"/>
      <c r="O25" s="415"/>
      <c r="P25" s="415"/>
      <c r="Q25" s="415"/>
      <c r="R25" s="416"/>
      <c r="S25" s="131"/>
    </row>
    <row r="26" spans="1:19" s="18" customFormat="1" ht="20.100000000000001" customHeight="1" x14ac:dyDescent="0.2">
      <c r="A26" s="125"/>
      <c r="B26" s="415"/>
      <c r="C26" s="415"/>
      <c r="D26" s="415"/>
      <c r="E26" s="415"/>
      <c r="F26" s="415"/>
      <c r="G26" s="415"/>
      <c r="H26" s="415"/>
      <c r="I26" s="415"/>
      <c r="J26" s="415"/>
      <c r="K26" s="415"/>
      <c r="L26" s="415"/>
      <c r="M26" s="415"/>
      <c r="N26" s="415"/>
      <c r="O26" s="415"/>
      <c r="P26" s="415"/>
      <c r="Q26" s="415"/>
      <c r="R26" s="416"/>
      <c r="S26" s="131"/>
    </row>
    <row r="27" spans="1:19" s="18" customFormat="1" ht="20.100000000000001" customHeight="1" x14ac:dyDescent="0.2">
      <c r="A27" s="125"/>
      <c r="B27" s="415"/>
      <c r="C27" s="415"/>
      <c r="D27" s="415"/>
      <c r="E27" s="415"/>
      <c r="F27" s="415"/>
      <c r="G27" s="415"/>
      <c r="H27" s="415"/>
      <c r="I27" s="415"/>
      <c r="J27" s="415"/>
      <c r="K27" s="415"/>
      <c r="L27" s="415"/>
      <c r="M27" s="415"/>
      <c r="N27" s="415"/>
      <c r="O27" s="415"/>
      <c r="P27" s="415"/>
      <c r="Q27" s="415"/>
      <c r="R27" s="416"/>
      <c r="S27" s="131"/>
    </row>
    <row r="28" spans="1:19" s="18" customFormat="1" ht="20.100000000000001" customHeight="1" x14ac:dyDescent="0.2">
      <c r="A28" s="125"/>
      <c r="B28" s="415"/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6"/>
      <c r="S28" s="131"/>
    </row>
    <row r="29" spans="1:19" s="18" customFormat="1" ht="20.100000000000001" customHeight="1" x14ac:dyDescent="0.2">
      <c r="A29" s="125" t="s">
        <v>139</v>
      </c>
      <c r="B29" s="417" t="s">
        <v>140</v>
      </c>
      <c r="C29" s="415"/>
      <c r="D29" s="415"/>
      <c r="E29" s="415"/>
      <c r="F29" s="415"/>
      <c r="G29" s="415"/>
      <c r="H29" s="415"/>
      <c r="I29" s="415"/>
      <c r="J29" s="415"/>
      <c r="K29" s="415"/>
      <c r="L29" s="415"/>
      <c r="M29" s="415"/>
      <c r="N29" s="415"/>
      <c r="O29" s="415"/>
      <c r="P29" s="415"/>
      <c r="Q29" s="415"/>
      <c r="R29" s="416"/>
      <c r="S29" s="131"/>
    </row>
    <row r="30" spans="1:19" s="18" customFormat="1" ht="20.100000000000001" customHeight="1" x14ac:dyDescent="0.2">
      <c r="A30" s="125" t="s">
        <v>139</v>
      </c>
      <c r="B30" s="417" t="s">
        <v>141</v>
      </c>
      <c r="C30" s="415"/>
      <c r="D30" s="415"/>
      <c r="E30" s="415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  <c r="Q30" s="415"/>
      <c r="R30" s="416"/>
      <c r="S30" s="131"/>
    </row>
    <row r="31" spans="1:19" s="18" customFormat="1" ht="20.100000000000001" customHeight="1" x14ac:dyDescent="0.2">
      <c r="A31" s="125" t="s">
        <v>139</v>
      </c>
      <c r="B31" s="417" t="s">
        <v>142</v>
      </c>
      <c r="C31" s="415"/>
      <c r="D31" s="415"/>
      <c r="E31" s="415"/>
      <c r="F31" s="415"/>
      <c r="G31" s="415"/>
      <c r="H31" s="415"/>
      <c r="I31" s="415"/>
      <c r="J31" s="415"/>
      <c r="K31" s="415"/>
      <c r="L31" s="415"/>
      <c r="M31" s="415"/>
      <c r="N31" s="415"/>
      <c r="O31" s="415"/>
      <c r="P31" s="415"/>
      <c r="Q31" s="415"/>
      <c r="R31" s="416"/>
      <c r="S31" s="131"/>
    </row>
    <row r="32" spans="1:19" s="18" customFormat="1" ht="20.100000000000001" customHeight="1" x14ac:dyDescent="0.2">
      <c r="A32" s="125"/>
      <c r="B32" s="417" t="s">
        <v>143</v>
      </c>
      <c r="C32" s="415"/>
      <c r="D32" s="415"/>
      <c r="E32" s="415"/>
      <c r="F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  <c r="Q32" s="415"/>
      <c r="R32" s="416"/>
      <c r="S32" s="131"/>
    </row>
    <row r="33" spans="1:19" s="18" customFormat="1" ht="20.100000000000001" customHeight="1" x14ac:dyDescent="0.2">
      <c r="A33" s="125"/>
      <c r="B33" s="417" t="s">
        <v>144</v>
      </c>
      <c r="C33" s="415"/>
      <c r="D33" s="415"/>
      <c r="E33" s="415"/>
      <c r="F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  <c r="Q33" s="415"/>
      <c r="R33" s="416"/>
      <c r="S33" s="131"/>
    </row>
    <row r="34" spans="1:19" s="18" customFormat="1" ht="20.100000000000001" customHeight="1" x14ac:dyDescent="0.2">
      <c r="A34" s="125"/>
      <c r="B34" s="415"/>
      <c r="C34" s="415"/>
      <c r="D34" s="415"/>
      <c r="E34" s="415"/>
      <c r="F34" s="415"/>
      <c r="G34" s="415"/>
      <c r="H34" s="415"/>
      <c r="I34" s="415"/>
      <c r="J34" s="415"/>
      <c r="K34" s="415"/>
      <c r="L34" s="415"/>
      <c r="M34" s="415"/>
      <c r="N34" s="415"/>
      <c r="O34" s="415"/>
      <c r="P34" s="415"/>
      <c r="Q34" s="415"/>
      <c r="R34" s="416"/>
      <c r="S34" s="131"/>
    </row>
    <row r="35" spans="1:19" s="18" customFormat="1" ht="20.100000000000001" customHeight="1" x14ac:dyDescent="0.2">
      <c r="A35" s="125"/>
      <c r="B35" s="415"/>
      <c r="C35" s="415"/>
      <c r="D35" s="415"/>
      <c r="E35" s="415"/>
      <c r="F35" s="415"/>
      <c r="G35" s="415"/>
      <c r="H35" s="415"/>
      <c r="I35" s="415"/>
      <c r="J35" s="415"/>
      <c r="K35" s="415"/>
      <c r="L35" s="415"/>
      <c r="M35" s="415"/>
      <c r="N35" s="415"/>
      <c r="O35" s="415"/>
      <c r="P35" s="415"/>
      <c r="Q35" s="415"/>
      <c r="R35" s="416"/>
      <c r="S35" s="131"/>
    </row>
    <row r="36" spans="1:19" s="18" customFormat="1" ht="20.100000000000001" customHeight="1" thickBot="1" x14ac:dyDescent="0.25">
      <c r="A36" s="153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6"/>
      <c r="S36" s="131"/>
    </row>
    <row r="37" spans="1:19" s="19" customFormat="1" ht="20.100000000000001" customHeight="1" thickBot="1" x14ac:dyDescent="0.3">
      <c r="A37" s="435" t="s">
        <v>72</v>
      </c>
      <c r="B37" s="436"/>
      <c r="C37" s="436"/>
      <c r="D37" s="436"/>
      <c r="E37" s="436"/>
      <c r="F37" s="436"/>
      <c r="G37" s="436"/>
      <c r="H37" s="437"/>
      <c r="I37" s="435" t="s">
        <v>71</v>
      </c>
      <c r="J37" s="436"/>
      <c r="K37" s="436"/>
      <c r="L37" s="436"/>
      <c r="M37" s="436"/>
      <c r="N37" s="436"/>
      <c r="O37" s="436"/>
      <c r="P37" s="436"/>
      <c r="Q37" s="436"/>
      <c r="R37" s="43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51" t="s">
        <v>16</v>
      </c>
      <c r="K38" s="453"/>
      <c r="L38" s="135" t="s">
        <v>0</v>
      </c>
      <c r="M38" s="136" t="s">
        <v>15</v>
      </c>
      <c r="N38" s="451" t="s">
        <v>16</v>
      </c>
      <c r="O38" s="452"/>
      <c r="P38" s="452"/>
      <c r="Q38" s="453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99"/>
      <c r="K39" s="400"/>
      <c r="L39" s="144"/>
      <c r="M39" s="145"/>
      <c r="N39" s="399"/>
      <c r="O39" s="406"/>
      <c r="P39" s="406"/>
      <c r="Q39" s="400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99"/>
      <c r="K40" s="400"/>
      <c r="L40" s="144"/>
      <c r="M40" s="145"/>
      <c r="N40" s="399"/>
      <c r="O40" s="406"/>
      <c r="P40" s="406"/>
      <c r="Q40" s="400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99"/>
      <c r="K41" s="400"/>
      <c r="L41" s="144"/>
      <c r="M41" s="145"/>
      <c r="N41" s="399"/>
      <c r="O41" s="406"/>
      <c r="P41" s="406"/>
      <c r="Q41" s="400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99"/>
      <c r="K42" s="400"/>
      <c r="L42" s="144"/>
      <c r="M42" s="145"/>
      <c r="N42" s="399"/>
      <c r="O42" s="406"/>
      <c r="P42" s="406"/>
      <c r="Q42" s="400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99"/>
      <c r="K43" s="400"/>
      <c r="L43" s="144"/>
      <c r="M43" s="145"/>
      <c r="N43" s="399"/>
      <c r="O43" s="406"/>
      <c r="P43" s="406"/>
      <c r="Q43" s="400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99"/>
      <c r="K44" s="400"/>
      <c r="L44" s="144"/>
      <c r="M44" s="145"/>
      <c r="N44" s="399"/>
      <c r="O44" s="406"/>
      <c r="P44" s="406"/>
      <c r="Q44" s="400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99"/>
      <c r="K45" s="400"/>
      <c r="L45" s="144"/>
      <c r="M45" s="145"/>
      <c r="N45" s="399"/>
      <c r="O45" s="406"/>
      <c r="P45" s="406"/>
      <c r="Q45" s="400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99"/>
      <c r="K46" s="400"/>
      <c r="L46" s="144"/>
      <c r="M46" s="145"/>
      <c r="N46" s="399"/>
      <c r="O46" s="406"/>
      <c r="P46" s="406"/>
      <c r="Q46" s="400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99"/>
      <c r="K47" s="400"/>
      <c r="L47" s="144"/>
      <c r="M47" s="145"/>
      <c r="N47" s="399"/>
      <c r="O47" s="406"/>
      <c r="P47" s="406"/>
      <c r="Q47" s="400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99"/>
      <c r="K48" s="400"/>
      <c r="L48" s="144"/>
      <c r="M48" s="145"/>
      <c r="N48" s="399"/>
      <c r="O48" s="406"/>
      <c r="P48" s="406"/>
      <c r="Q48" s="400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99"/>
      <c r="K49" s="400"/>
      <c r="L49" s="144"/>
      <c r="M49" s="145"/>
      <c r="N49" s="399"/>
      <c r="O49" s="406"/>
      <c r="P49" s="406"/>
      <c r="Q49" s="400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99"/>
      <c r="K50" s="400"/>
      <c r="L50" s="144"/>
      <c r="M50" s="145"/>
      <c r="N50" s="399"/>
      <c r="O50" s="406"/>
      <c r="P50" s="406"/>
      <c r="Q50" s="400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99"/>
      <c r="K51" s="400"/>
      <c r="L51" s="144"/>
      <c r="M51" s="145"/>
      <c r="N51" s="399"/>
      <c r="O51" s="406"/>
      <c r="P51" s="406"/>
      <c r="Q51" s="400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99"/>
      <c r="K52" s="400"/>
      <c r="L52" s="144"/>
      <c r="M52" s="145"/>
      <c r="N52" s="399"/>
      <c r="O52" s="406"/>
      <c r="P52" s="406"/>
      <c r="Q52" s="400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99"/>
      <c r="K53" s="400"/>
      <c r="L53" s="150"/>
      <c r="M53" s="151"/>
      <c r="N53" s="399"/>
      <c r="O53" s="406"/>
      <c r="P53" s="406"/>
      <c r="Q53" s="400"/>
      <c r="R53" s="36"/>
      <c r="S53" s="131"/>
    </row>
    <row r="54" spans="1:19" s="18" customFormat="1" ht="20.100000000000001" customHeight="1" thickBot="1" x14ac:dyDescent="0.3">
      <c r="A54" s="420" t="s">
        <v>49</v>
      </c>
      <c r="B54" s="421"/>
      <c r="C54" s="418">
        <f ca="1">SUM(INDIRECT("Marks!C:C"))</f>
        <v>0</v>
      </c>
      <c r="D54" s="419"/>
      <c r="E54" s="423" t="s">
        <v>70</v>
      </c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2" t="s">
        <v>86</v>
      </c>
      <c r="N55" s="422"/>
      <c r="O55" s="422"/>
      <c r="P55" s="422"/>
      <c r="Q55" s="422"/>
      <c r="R55" s="42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279" collapsed="1"/>
  </cols>
  <sheetData>
    <row r="2" spans="1:39" ht="15.75" thickBot="1" x14ac:dyDescent="0.3"/>
    <row r="3" spans="1:39" ht="15" customHeight="1" x14ac:dyDescent="0.25">
      <c r="A3" s="467" t="s">
        <v>133</v>
      </c>
      <c r="B3" s="467" t="s">
        <v>132</v>
      </c>
      <c r="C3" s="469" t="s">
        <v>0</v>
      </c>
      <c r="D3" s="469" t="s">
        <v>1</v>
      </c>
      <c r="E3" s="470" t="s">
        <v>83</v>
      </c>
      <c r="F3" s="471"/>
      <c r="G3" s="474" t="s">
        <v>2</v>
      </c>
      <c r="H3" s="475"/>
      <c r="I3" s="476"/>
      <c r="J3" s="474" t="s">
        <v>5</v>
      </c>
      <c r="K3" s="475"/>
      <c r="L3" s="476"/>
      <c r="M3" s="474" t="s">
        <v>8</v>
      </c>
      <c r="N3" s="476"/>
      <c r="O3" s="231" t="s">
        <v>6</v>
      </c>
      <c r="P3" s="231" t="s">
        <v>22</v>
      </c>
      <c r="Q3" s="474" t="s">
        <v>81</v>
      </c>
      <c r="R3" s="475"/>
      <c r="S3" s="476"/>
      <c r="T3" s="474" t="s">
        <v>77</v>
      </c>
      <c r="U3" s="475"/>
      <c r="V3" s="476"/>
      <c r="W3" s="474" t="s">
        <v>78</v>
      </c>
      <c r="X3" s="475"/>
      <c r="Y3" s="476"/>
      <c r="Z3" s="467" t="s">
        <v>82</v>
      </c>
      <c r="AA3" s="467" t="s">
        <v>123</v>
      </c>
      <c r="AB3" s="469" t="s">
        <v>124</v>
      </c>
      <c r="AC3" s="477" t="s">
        <v>125</v>
      </c>
      <c r="AD3" s="478"/>
      <c r="AE3" s="467" t="s">
        <v>126</v>
      </c>
      <c r="AF3" s="467" t="s">
        <v>127</v>
      </c>
      <c r="AG3" s="277"/>
      <c r="AH3" s="277"/>
      <c r="AI3" s="277"/>
      <c r="AJ3" s="280"/>
      <c r="AK3" s="280"/>
      <c r="AL3" s="280"/>
      <c r="AM3" s="280"/>
    </row>
    <row r="4" spans="1:39" ht="15.75" thickBot="1" x14ac:dyDescent="0.3">
      <c r="A4" s="468"/>
      <c r="B4" s="468"/>
      <c r="C4" s="468"/>
      <c r="D4" s="468"/>
      <c r="E4" s="472"/>
      <c r="F4" s="473"/>
      <c r="G4" s="232" t="s">
        <v>3</v>
      </c>
      <c r="H4" s="480" t="s">
        <v>4</v>
      </c>
      <c r="I4" s="481"/>
      <c r="J4" s="232" t="s">
        <v>3</v>
      </c>
      <c r="K4" s="480" t="s">
        <v>4</v>
      </c>
      <c r="L4" s="481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80" t="s">
        <v>79</v>
      </c>
      <c r="V4" s="481"/>
      <c r="W4" s="232" t="s">
        <v>80</v>
      </c>
      <c r="X4" s="480" t="s">
        <v>79</v>
      </c>
      <c r="Y4" s="481"/>
      <c r="Z4" s="479"/>
      <c r="AA4" s="479"/>
      <c r="AB4" s="468"/>
      <c r="AC4" s="234" t="s">
        <v>128</v>
      </c>
      <c r="AD4" s="237" t="s">
        <v>129</v>
      </c>
      <c r="AE4" s="468"/>
      <c r="AF4" s="479"/>
      <c r="AG4" s="277"/>
      <c r="AH4" s="277"/>
      <c r="AI4" s="277"/>
      <c r="AJ4" s="280"/>
      <c r="AK4" s="280"/>
      <c r="AL4" s="280"/>
      <c r="AM4" s="280"/>
    </row>
    <row r="5" spans="1:39" hidden="1" x14ac:dyDescent="0.25">
      <c r="A5" s="281"/>
      <c r="B5" s="282" t="s">
        <v>84</v>
      </c>
      <c r="C5" s="283"/>
      <c r="D5" s="282"/>
      <c r="E5" s="284"/>
      <c r="F5" s="285"/>
      <c r="G5" s="286"/>
      <c r="H5" s="287"/>
      <c r="I5" s="285"/>
      <c r="J5" s="288"/>
      <c r="K5" s="287"/>
      <c r="L5" s="285"/>
      <c r="M5" s="289"/>
      <c r="N5" s="290"/>
      <c r="O5" s="291"/>
      <c r="P5" s="291"/>
      <c r="Q5" s="292"/>
      <c r="R5" s="293"/>
      <c r="S5" s="294"/>
      <c r="T5" s="295"/>
      <c r="U5" s="296"/>
      <c r="V5" s="297"/>
      <c r="W5" s="295"/>
      <c r="X5" s="296"/>
      <c r="Y5" s="297"/>
      <c r="Z5" s="298"/>
      <c r="AA5" s="298"/>
      <c r="AB5" s="299"/>
      <c r="AC5" s="291"/>
      <c r="AD5" s="300"/>
      <c r="AE5" s="301"/>
      <c r="AF5" s="298"/>
      <c r="AG5" s="278"/>
      <c r="AH5" s="278"/>
      <c r="AI5" s="278"/>
      <c r="AJ5" s="280"/>
      <c r="AK5" s="280"/>
      <c r="AL5" s="280"/>
      <c r="AM5" s="280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280"/>
      <c r="AK6" s="280"/>
      <c r="AL6" s="280"/>
      <c r="AM6" s="280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/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/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/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/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280"/>
      <c r="AK11" s="280"/>
      <c r="AL11" s="280"/>
      <c r="AM11" s="280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280"/>
      <c r="AK12" s="280"/>
      <c r="AL12" s="280"/>
      <c r="AM12" s="280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280"/>
      <c r="AK13" s="280"/>
      <c r="AL13" s="280"/>
      <c r="AM13" s="280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280"/>
      <c r="AK14" s="280"/>
      <c r="AL14" s="280"/>
      <c r="AM14" s="280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280"/>
      <c r="AK15" s="280"/>
      <c r="AL15" s="280"/>
      <c r="AM15" s="280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280"/>
      <c r="AK16" s="280"/>
      <c r="AL16" s="280"/>
      <c r="AM16" s="280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280"/>
      <c r="AK17" s="280"/>
      <c r="AL17" s="280"/>
      <c r="AM17" s="280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280"/>
      <c r="AK18" s="280"/>
      <c r="AL18" s="280"/>
      <c r="AM18" s="280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280"/>
      <c r="AK19" s="280"/>
      <c r="AL19" s="280"/>
      <c r="AM19" s="280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280"/>
      <c r="AK20" s="280"/>
      <c r="AL20" s="280"/>
      <c r="AM20" s="280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280"/>
      <c r="AK21" s="280"/>
      <c r="AL21" s="280"/>
      <c r="AM21" s="280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280"/>
      <c r="AK22" s="280"/>
      <c r="AL22" s="280"/>
      <c r="AM22" s="280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280"/>
      <c r="AK23" s="280"/>
      <c r="AL23" s="280"/>
      <c r="AM23" s="280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280"/>
      <c r="AK24" s="280"/>
      <c r="AL24" s="280"/>
      <c r="AM24" s="280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280"/>
      <c r="AK25" s="280"/>
      <c r="AL25" s="280"/>
      <c r="AM25" s="280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280"/>
      <c r="AK26" s="280"/>
      <c r="AL26" s="280"/>
      <c r="AM26" s="280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280"/>
      <c r="AK27" s="280"/>
      <c r="AL27" s="280"/>
      <c r="AM27" s="280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280"/>
      <c r="AK28" s="280"/>
      <c r="AL28" s="280"/>
      <c r="AM28" s="280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280"/>
      <c r="AK29" s="280"/>
      <c r="AL29" s="280"/>
      <c r="AM29" s="280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280"/>
      <c r="AK30" s="280"/>
      <c r="AL30" s="280"/>
      <c r="AM30" s="280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280"/>
      <c r="AK31" s="280"/>
      <c r="AL31" s="280"/>
      <c r="AM31" s="280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280"/>
      <c r="AK32" s="280"/>
      <c r="AL32" s="280"/>
      <c r="AM32" s="280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280"/>
      <c r="AK33" s="280"/>
      <c r="AL33" s="280"/>
      <c r="AM33" s="280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280"/>
      <c r="AK34" s="280"/>
      <c r="AL34" s="280"/>
      <c r="AM34" s="280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280"/>
      <c r="AK35" s="280"/>
      <c r="AL35" s="280"/>
      <c r="AM35" s="280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280"/>
      <c r="AK36" s="280"/>
      <c r="AL36" s="280"/>
      <c r="AM36" s="280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280"/>
      <c r="AK37" s="280"/>
      <c r="AL37" s="280"/>
      <c r="AM37" s="280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280"/>
      <c r="AK38" s="280"/>
      <c r="AL38" s="280"/>
      <c r="AM38" s="280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280"/>
      <c r="AK39" s="280"/>
      <c r="AL39" s="280"/>
      <c r="AM39" s="280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280"/>
      <c r="AK40" s="280"/>
      <c r="AL40" s="280"/>
      <c r="AM40" s="280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280"/>
      <c r="AK41" s="280"/>
      <c r="AL41" s="280"/>
      <c r="AM41" s="280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errorTitle="Bad Input" error="Input for this cell must be one of the listed categories and all uppercase!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9" t="s">
        <v>130</v>
      </c>
      <c r="B2" s="469" t="s">
        <v>1</v>
      </c>
      <c r="C2" s="470" t="s">
        <v>83</v>
      </c>
      <c r="D2" s="471"/>
      <c r="E2" s="474" t="s">
        <v>2</v>
      </c>
      <c r="F2" s="475"/>
      <c r="G2" s="476"/>
      <c r="H2" s="474" t="s">
        <v>5</v>
      </c>
      <c r="I2" s="475"/>
      <c r="J2" s="476"/>
      <c r="K2" s="474" t="s">
        <v>8</v>
      </c>
      <c r="L2" s="476"/>
      <c r="M2" s="231" t="s">
        <v>6</v>
      </c>
      <c r="N2" s="231" t="s">
        <v>22</v>
      </c>
      <c r="O2" s="474" t="s">
        <v>81</v>
      </c>
      <c r="P2" s="475"/>
      <c r="Q2" s="476"/>
      <c r="R2" s="474" t="s">
        <v>77</v>
      </c>
      <c r="S2" s="475"/>
      <c r="T2" s="476"/>
      <c r="U2" s="474" t="s">
        <v>78</v>
      </c>
      <c r="V2" s="475"/>
      <c r="W2" s="476"/>
      <c r="X2" s="467" t="s">
        <v>82</v>
      </c>
      <c r="Y2" s="467" t="s">
        <v>131</v>
      </c>
      <c r="Z2" s="469" t="s">
        <v>124</v>
      </c>
      <c r="AA2" s="477" t="s">
        <v>125</v>
      </c>
      <c r="AB2" s="478"/>
      <c r="AC2" s="467" t="s">
        <v>126</v>
      </c>
      <c r="AD2" s="477" t="s">
        <v>11</v>
      </c>
      <c r="AE2" s="488"/>
      <c r="AF2" s="488"/>
      <c r="AG2" s="478"/>
    </row>
    <row r="3" spans="1:37" ht="15.75" thickBot="1" x14ac:dyDescent="0.3">
      <c r="A3" s="468"/>
      <c r="B3" s="468"/>
      <c r="C3" s="472"/>
      <c r="D3" s="473"/>
      <c r="E3" s="232" t="s">
        <v>3</v>
      </c>
      <c r="F3" s="480" t="s">
        <v>4</v>
      </c>
      <c r="G3" s="481"/>
      <c r="H3" s="232" t="s">
        <v>3</v>
      </c>
      <c r="I3" s="480" t="s">
        <v>4</v>
      </c>
      <c r="J3" s="481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80" t="s">
        <v>79</v>
      </c>
      <c r="T3" s="481"/>
      <c r="U3" s="232" t="s">
        <v>80</v>
      </c>
      <c r="V3" s="480" t="s">
        <v>79</v>
      </c>
      <c r="W3" s="481"/>
      <c r="X3" s="479"/>
      <c r="Y3" s="479"/>
      <c r="Z3" s="468"/>
      <c r="AA3" s="234" t="s">
        <v>128</v>
      </c>
      <c r="AB3" s="237" t="s">
        <v>129</v>
      </c>
      <c r="AC3" s="468"/>
      <c r="AD3" s="489"/>
      <c r="AE3" s="490"/>
      <c r="AF3" s="490"/>
      <c r="AG3" s="491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82"/>
      <c r="AE4" s="483"/>
      <c r="AF4" s="483"/>
      <c r="AG4" s="484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85"/>
      <c r="AE5" s="486"/>
      <c r="AF5" s="486"/>
      <c r="AG5" s="487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85"/>
      <c r="AE6" s="486"/>
      <c r="AF6" s="486"/>
      <c r="AG6" s="487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85"/>
      <c r="AE7" s="486"/>
      <c r="AF7" s="486"/>
      <c r="AG7" s="487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85"/>
      <c r="AE8" s="486"/>
      <c r="AF8" s="486"/>
      <c r="AG8" s="487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85"/>
      <c r="AE9" s="486"/>
      <c r="AF9" s="486"/>
      <c r="AG9" s="487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85"/>
      <c r="AE10" s="486"/>
      <c r="AF10" s="486"/>
      <c r="AG10" s="487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85"/>
      <c r="AE11" s="486"/>
      <c r="AF11" s="486"/>
      <c r="AG11" s="487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85"/>
      <c r="AE12" s="486"/>
      <c r="AF12" s="486"/>
      <c r="AG12" s="487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85"/>
      <c r="AE13" s="486"/>
      <c r="AF13" s="486"/>
      <c r="AG13" s="487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85"/>
      <c r="AE14" s="486"/>
      <c r="AF14" s="486"/>
      <c r="AG14" s="487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85"/>
      <c r="AE15" s="486"/>
      <c r="AF15" s="486"/>
      <c r="AG15" s="487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85"/>
      <c r="AE16" s="486"/>
      <c r="AF16" s="486"/>
      <c r="AG16" s="487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85"/>
      <c r="AE17" s="486"/>
      <c r="AF17" s="486"/>
      <c r="AG17" s="487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85"/>
      <c r="AE18" s="486"/>
      <c r="AF18" s="486"/>
      <c r="AG18" s="487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85"/>
      <c r="AE19" s="486"/>
      <c r="AF19" s="486"/>
      <c r="AG19" s="487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85"/>
      <c r="AE20" s="486"/>
      <c r="AF20" s="486"/>
      <c r="AG20" s="487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85"/>
      <c r="AE21" s="486"/>
      <c r="AF21" s="486"/>
      <c r="AG21" s="487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85"/>
      <c r="AE22" s="486"/>
      <c r="AF22" s="486"/>
      <c r="AG22" s="487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85"/>
      <c r="AE23" s="486"/>
      <c r="AF23" s="486"/>
      <c r="AG23" s="487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85"/>
      <c r="AE24" s="486"/>
      <c r="AF24" s="486"/>
      <c r="AG24" s="487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85"/>
      <c r="AE25" s="486"/>
      <c r="AF25" s="486"/>
      <c r="AG25" s="487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85"/>
      <c r="AE26" s="486"/>
      <c r="AF26" s="486"/>
      <c r="AG26" s="487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85"/>
      <c r="AE27" s="486"/>
      <c r="AF27" s="486"/>
      <c r="AG27" s="487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85"/>
      <c r="AE28" s="486"/>
      <c r="AF28" s="486"/>
      <c r="AG28" s="487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85"/>
      <c r="AE29" s="486"/>
      <c r="AF29" s="486"/>
      <c r="AG29" s="487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85"/>
      <c r="AE30" s="486"/>
      <c r="AF30" s="486"/>
      <c r="AG30" s="487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85"/>
      <c r="AE31" s="486"/>
      <c r="AF31" s="486"/>
      <c r="AG31" s="487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85"/>
      <c r="AE32" s="486"/>
      <c r="AF32" s="486"/>
      <c r="AG32" s="487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85"/>
      <c r="AE33" s="486"/>
      <c r="AF33" s="486"/>
      <c r="AG33" s="487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85"/>
      <c r="AE34" s="486"/>
      <c r="AF34" s="486"/>
      <c r="AG34" s="487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85"/>
      <c r="AE35" s="486"/>
      <c r="AF35" s="486"/>
      <c r="AG35" s="487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85"/>
      <c r="AE36" s="486"/>
      <c r="AF36" s="486"/>
      <c r="AG36" s="487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85"/>
      <c r="AE37" s="486"/>
      <c r="AF37" s="486"/>
      <c r="AG37" s="487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85"/>
      <c r="AE38" s="486"/>
      <c r="AF38" s="486"/>
      <c r="AG38" s="487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85"/>
      <c r="AE39" s="486"/>
      <c r="AF39" s="486"/>
      <c r="AG39" s="487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85"/>
      <c r="AE40" s="486"/>
      <c r="AF40" s="486"/>
      <c r="AG40" s="487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85"/>
      <c r="AE41" s="486"/>
      <c r="AF41" s="486"/>
      <c r="AG41" s="487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85"/>
      <c r="AE42" s="486"/>
      <c r="AF42" s="486"/>
      <c r="AG42" s="487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85"/>
      <c r="AE43" s="486"/>
      <c r="AF43" s="486"/>
      <c r="AG43" s="487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85"/>
      <c r="AE44" s="486"/>
      <c r="AF44" s="486"/>
      <c r="AG44" s="487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85"/>
      <c r="AE45" s="486"/>
      <c r="AF45" s="486"/>
      <c r="AG45" s="487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85"/>
      <c r="AE46" s="486"/>
      <c r="AF46" s="486"/>
      <c r="AG46" s="487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85"/>
      <c r="AE47" s="486"/>
      <c r="AF47" s="486"/>
      <c r="AG47" s="487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85"/>
      <c r="AE48" s="486"/>
      <c r="AF48" s="486"/>
      <c r="AG48" s="487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85"/>
      <c r="AE49" s="486"/>
      <c r="AF49" s="486"/>
      <c r="AG49" s="487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85"/>
      <c r="AE50" s="486"/>
      <c r="AF50" s="486"/>
      <c r="AG50" s="487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85"/>
      <c r="AE51" s="486"/>
      <c r="AF51" s="486"/>
      <c r="AG51" s="487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85"/>
      <c r="AE52" s="486"/>
      <c r="AF52" s="486"/>
      <c r="AG52" s="487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85"/>
      <c r="AE53" s="486"/>
      <c r="AF53" s="486"/>
      <c r="AG53" s="487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85"/>
      <c r="AE54" s="486"/>
      <c r="AF54" s="486"/>
      <c r="AG54" s="487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85"/>
      <c r="AE55" s="486"/>
      <c r="AF55" s="486"/>
      <c r="AG55" s="487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85"/>
      <c r="AE56" s="486"/>
      <c r="AF56" s="486"/>
      <c r="AG56" s="487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85"/>
      <c r="AE57" s="486"/>
      <c r="AF57" s="486"/>
      <c r="AG57" s="487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85"/>
      <c r="AE58" s="486"/>
      <c r="AF58" s="486"/>
      <c r="AG58" s="487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85"/>
      <c r="AE59" s="486"/>
      <c r="AF59" s="486"/>
      <c r="AG59" s="487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85"/>
      <c r="AE60" s="486"/>
      <c r="AF60" s="486"/>
      <c r="AG60" s="487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85"/>
      <c r="AE61" s="486"/>
      <c r="AF61" s="486"/>
      <c r="AG61" s="487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85"/>
      <c r="AE62" s="486"/>
      <c r="AF62" s="486"/>
      <c r="AG62" s="487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85"/>
      <c r="AE63" s="486"/>
      <c r="AF63" s="486"/>
      <c r="AG63" s="487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85"/>
      <c r="AE64" s="486"/>
      <c r="AF64" s="486"/>
      <c r="AG64" s="487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85"/>
      <c r="AE65" s="486"/>
      <c r="AF65" s="486"/>
      <c r="AG65" s="487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85"/>
      <c r="AE66" s="486"/>
      <c r="AF66" s="486"/>
      <c r="AG66" s="487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85"/>
      <c r="AE67" s="486"/>
      <c r="AF67" s="486"/>
      <c r="AG67" s="487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85"/>
      <c r="AE68" s="486"/>
      <c r="AF68" s="486"/>
      <c r="AG68" s="487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85"/>
      <c r="AE69" s="486"/>
      <c r="AF69" s="486"/>
      <c r="AG69" s="487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85"/>
      <c r="AE70" s="486"/>
      <c r="AF70" s="486"/>
      <c r="AG70" s="487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85"/>
      <c r="AE71" s="486"/>
      <c r="AF71" s="486"/>
      <c r="AG71" s="487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85"/>
      <c r="AE72" s="486"/>
      <c r="AF72" s="486"/>
      <c r="AG72" s="487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85"/>
      <c r="AE73" s="486"/>
      <c r="AF73" s="486"/>
      <c r="AG73" s="487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85"/>
      <c r="AE74" s="486"/>
      <c r="AF74" s="486"/>
      <c r="AG74" s="487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85"/>
      <c r="AE75" s="486"/>
      <c r="AF75" s="486"/>
      <c r="AG75" s="487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85"/>
      <c r="AE76" s="486"/>
      <c r="AF76" s="486"/>
      <c r="AG76" s="487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85"/>
      <c r="AE77" s="486"/>
      <c r="AF77" s="486"/>
      <c r="AG77" s="487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85"/>
      <c r="AE78" s="486"/>
      <c r="AF78" s="486"/>
      <c r="AG78" s="487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85"/>
      <c r="AE79" s="486"/>
      <c r="AF79" s="486"/>
      <c r="AG79" s="487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85"/>
      <c r="AE80" s="486"/>
      <c r="AF80" s="486"/>
      <c r="AG80" s="487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85"/>
      <c r="AE81" s="486"/>
      <c r="AF81" s="486"/>
      <c r="AG81" s="487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85"/>
      <c r="AE82" s="486"/>
      <c r="AF82" s="486"/>
      <c r="AG82" s="487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85"/>
      <c r="AE83" s="486"/>
      <c r="AF83" s="486"/>
      <c r="AG83" s="487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85"/>
      <c r="AE84" s="486"/>
      <c r="AF84" s="486"/>
      <c r="AG84" s="487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85"/>
      <c r="AE85" s="486"/>
      <c r="AF85" s="486"/>
      <c r="AG85" s="487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85"/>
      <c r="AE86" s="486"/>
      <c r="AF86" s="486"/>
      <c r="AG86" s="487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85"/>
      <c r="AE87" s="486"/>
      <c r="AF87" s="486"/>
      <c r="AG87" s="487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85"/>
      <c r="AE88" s="486"/>
      <c r="AF88" s="486"/>
      <c r="AG88" s="487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85"/>
      <c r="AE89" s="486"/>
      <c r="AF89" s="486"/>
      <c r="AG89" s="487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85"/>
      <c r="AE90" s="486"/>
      <c r="AF90" s="486"/>
      <c r="AG90" s="487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85"/>
      <c r="AE91" s="486"/>
      <c r="AF91" s="486"/>
      <c r="AG91" s="487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85"/>
      <c r="AE92" s="486"/>
      <c r="AF92" s="486"/>
      <c r="AG92" s="487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85"/>
      <c r="AE93" s="486"/>
      <c r="AF93" s="486"/>
      <c r="AG93" s="487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85"/>
      <c r="AE94" s="486"/>
      <c r="AF94" s="486"/>
      <c r="AG94" s="487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85"/>
      <c r="AE95" s="486"/>
      <c r="AF95" s="486"/>
      <c r="AG95" s="487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85"/>
      <c r="AE96" s="486"/>
      <c r="AF96" s="486"/>
      <c r="AG96" s="487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85"/>
      <c r="AE97" s="486"/>
      <c r="AF97" s="486"/>
      <c r="AG97" s="487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85"/>
      <c r="AE98" s="486"/>
      <c r="AF98" s="486"/>
      <c r="AG98" s="487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85"/>
      <c r="AE99" s="486"/>
      <c r="AF99" s="486"/>
      <c r="AG99" s="487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85"/>
      <c r="AE100" s="486"/>
      <c r="AF100" s="486"/>
      <c r="AG100" s="487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85"/>
      <c r="AE101" s="486"/>
      <c r="AF101" s="486"/>
      <c r="AG101" s="487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85"/>
      <c r="AE102" s="486"/>
      <c r="AF102" s="486"/>
      <c r="AG102" s="487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85"/>
      <c r="AE103" s="486"/>
      <c r="AF103" s="486"/>
      <c r="AG103" s="487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85"/>
      <c r="AE104" s="486"/>
      <c r="AF104" s="486"/>
      <c r="AG104" s="487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85"/>
      <c r="AE105" s="486"/>
      <c r="AF105" s="486"/>
      <c r="AG105" s="487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85"/>
      <c r="AE106" s="486"/>
      <c r="AF106" s="486"/>
      <c r="AG106" s="487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85"/>
      <c r="AE107" s="486"/>
      <c r="AF107" s="486"/>
      <c r="AG107" s="487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85"/>
      <c r="AE108" s="486"/>
      <c r="AF108" s="486"/>
      <c r="AG108" s="487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85"/>
      <c r="AE109" s="486"/>
      <c r="AF109" s="486"/>
      <c r="AG109" s="487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85"/>
      <c r="AE110" s="486"/>
      <c r="AF110" s="486"/>
      <c r="AG110" s="487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85"/>
      <c r="AE111" s="486"/>
      <c r="AF111" s="486"/>
      <c r="AG111" s="487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85"/>
      <c r="AE112" s="486"/>
      <c r="AF112" s="486"/>
      <c r="AG112" s="487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85"/>
      <c r="AE113" s="486"/>
      <c r="AF113" s="486"/>
      <c r="AG113" s="487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85"/>
      <c r="AE114" s="486"/>
      <c r="AF114" s="486"/>
      <c r="AG114" s="487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85"/>
      <c r="AE115" s="486"/>
      <c r="AF115" s="486"/>
      <c r="AG115" s="487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85"/>
      <c r="AE116" s="486"/>
      <c r="AF116" s="486"/>
      <c r="AG116" s="487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85"/>
      <c r="AE117" s="486"/>
      <c r="AF117" s="486"/>
      <c r="AG117" s="487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85"/>
      <c r="AE118" s="486"/>
      <c r="AF118" s="486"/>
      <c r="AG118" s="487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85"/>
      <c r="AE119" s="486"/>
      <c r="AF119" s="486"/>
      <c r="AG119" s="487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85"/>
      <c r="AE120" s="486"/>
      <c r="AF120" s="486"/>
      <c r="AG120" s="487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85"/>
      <c r="AE121" s="486"/>
      <c r="AF121" s="486"/>
      <c r="AG121" s="487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85"/>
      <c r="AE122" s="486"/>
      <c r="AF122" s="486"/>
      <c r="AG122" s="487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85"/>
      <c r="AE123" s="486"/>
      <c r="AF123" s="486"/>
      <c r="AG123" s="487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85"/>
      <c r="AE124" s="486"/>
      <c r="AF124" s="486"/>
      <c r="AG124" s="487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85"/>
      <c r="AE125" s="486"/>
      <c r="AF125" s="486"/>
      <c r="AG125" s="487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85"/>
      <c r="AE126" s="486"/>
      <c r="AF126" s="486"/>
      <c r="AG126" s="487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85"/>
      <c r="AE127" s="486"/>
      <c r="AF127" s="486"/>
      <c r="AG127" s="487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85"/>
      <c r="AE128" s="486"/>
      <c r="AF128" s="486"/>
      <c r="AG128" s="487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85"/>
      <c r="AE129" s="486"/>
      <c r="AF129" s="486"/>
      <c r="AG129" s="487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85"/>
      <c r="AE130" s="486"/>
      <c r="AF130" s="486"/>
      <c r="AG130" s="487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85"/>
      <c r="AE131" s="486"/>
      <c r="AF131" s="486"/>
      <c r="AG131" s="487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85"/>
      <c r="AE132" s="486"/>
      <c r="AF132" s="486"/>
      <c r="AG132" s="487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85"/>
      <c r="AE133" s="486"/>
      <c r="AF133" s="486"/>
      <c r="AG133" s="487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85"/>
      <c r="AE134" s="486"/>
      <c r="AF134" s="486"/>
      <c r="AG134" s="487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85"/>
      <c r="AE135" s="486"/>
      <c r="AF135" s="486"/>
      <c r="AG135" s="487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85"/>
      <c r="AE136" s="486"/>
      <c r="AF136" s="486"/>
      <c r="AG136" s="487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85"/>
      <c r="AE137" s="486"/>
      <c r="AF137" s="486"/>
      <c r="AG137" s="487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85"/>
      <c r="AE138" s="486"/>
      <c r="AF138" s="486"/>
      <c r="AG138" s="487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85"/>
      <c r="AE139" s="486"/>
      <c r="AF139" s="486"/>
      <c r="AG139" s="487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85"/>
      <c r="AE140" s="486"/>
      <c r="AF140" s="486"/>
      <c r="AG140" s="487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85"/>
      <c r="AE141" s="486"/>
      <c r="AF141" s="486"/>
      <c r="AG141" s="487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85"/>
      <c r="AE142" s="486"/>
      <c r="AF142" s="486"/>
      <c r="AG142" s="487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85"/>
      <c r="AE143" s="486"/>
      <c r="AF143" s="486"/>
      <c r="AG143" s="487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85"/>
      <c r="AE144" s="486"/>
      <c r="AF144" s="486"/>
      <c r="AG144" s="487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85"/>
      <c r="AE145" s="486"/>
      <c r="AF145" s="486"/>
      <c r="AG145" s="487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85"/>
      <c r="AE146" s="486"/>
      <c r="AF146" s="486"/>
      <c r="AG146" s="487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85"/>
      <c r="AE147" s="486"/>
      <c r="AF147" s="486"/>
      <c r="AG147" s="487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85"/>
      <c r="AE148" s="486"/>
      <c r="AF148" s="486"/>
      <c r="AG148" s="487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85"/>
      <c r="AE149" s="486"/>
      <c r="AF149" s="486"/>
      <c r="AG149" s="487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85"/>
      <c r="AE150" s="486"/>
      <c r="AF150" s="486"/>
      <c r="AG150" s="487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85"/>
      <c r="AE151" s="486"/>
      <c r="AF151" s="486"/>
      <c r="AG151" s="487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85"/>
      <c r="AE152" s="486"/>
      <c r="AF152" s="486"/>
      <c r="AG152" s="487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85"/>
      <c r="AE153" s="486"/>
      <c r="AF153" s="486"/>
      <c r="AG153" s="487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85"/>
      <c r="AE154" s="486"/>
      <c r="AF154" s="486"/>
      <c r="AG154" s="487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85"/>
      <c r="AE155" s="486"/>
      <c r="AF155" s="486"/>
      <c r="AG155" s="487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85"/>
      <c r="AE156" s="486"/>
      <c r="AF156" s="486"/>
      <c r="AG156" s="487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85"/>
      <c r="AE157" s="486"/>
      <c r="AF157" s="486"/>
      <c r="AG157" s="487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85"/>
      <c r="AE158" s="486"/>
      <c r="AF158" s="486"/>
      <c r="AG158" s="487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85"/>
      <c r="AE159" s="486"/>
      <c r="AF159" s="486"/>
      <c r="AG159" s="487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85"/>
      <c r="AE160" s="486"/>
      <c r="AF160" s="486"/>
      <c r="AG160" s="487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85"/>
      <c r="AE161" s="486"/>
      <c r="AF161" s="486"/>
      <c r="AG161" s="487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85"/>
      <c r="AE162" s="486"/>
      <c r="AF162" s="486"/>
      <c r="AG162" s="487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85"/>
      <c r="AE163" s="486"/>
      <c r="AF163" s="486"/>
      <c r="AG163" s="487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85"/>
      <c r="AE164" s="486"/>
      <c r="AF164" s="486"/>
      <c r="AG164" s="487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85"/>
      <c r="AE165" s="486"/>
      <c r="AF165" s="486"/>
      <c r="AG165" s="487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85"/>
      <c r="AE166" s="486"/>
      <c r="AF166" s="486"/>
      <c r="AG166" s="487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85"/>
      <c r="AE167" s="486"/>
      <c r="AF167" s="486"/>
      <c r="AG167" s="487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85"/>
      <c r="AE168" s="486"/>
      <c r="AF168" s="486"/>
      <c r="AG168" s="487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85"/>
      <c r="AE169" s="486"/>
      <c r="AF169" s="486"/>
      <c r="AG169" s="487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85"/>
      <c r="AE170" s="486"/>
      <c r="AF170" s="486"/>
      <c r="AG170" s="487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85"/>
      <c r="AE171" s="486"/>
      <c r="AF171" s="486"/>
      <c r="AG171" s="487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85"/>
      <c r="AE172" s="486"/>
      <c r="AF172" s="486"/>
      <c r="AG172" s="487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85"/>
      <c r="AE173" s="486"/>
      <c r="AF173" s="486"/>
      <c r="AG173" s="487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85"/>
      <c r="AE174" s="486"/>
      <c r="AF174" s="486"/>
      <c r="AG174" s="487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85"/>
      <c r="AE175" s="486"/>
      <c r="AF175" s="486"/>
      <c r="AG175" s="487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85"/>
      <c r="AE176" s="486"/>
      <c r="AF176" s="486"/>
      <c r="AG176" s="487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85"/>
      <c r="AE177" s="486"/>
      <c r="AF177" s="486"/>
      <c r="AG177" s="487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85"/>
      <c r="AE178" s="486"/>
      <c r="AF178" s="486"/>
      <c r="AG178" s="487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85"/>
      <c r="AE179" s="486"/>
      <c r="AF179" s="486"/>
      <c r="AG179" s="487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85"/>
      <c r="AE180" s="486"/>
      <c r="AF180" s="486"/>
      <c r="AG180" s="487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85"/>
      <c r="AE181" s="486"/>
      <c r="AF181" s="486"/>
      <c r="AG181" s="487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85"/>
      <c r="AE182" s="486"/>
      <c r="AF182" s="486"/>
      <c r="AG182" s="487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85"/>
      <c r="AE183" s="486"/>
      <c r="AF183" s="486"/>
      <c r="AG183" s="487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85"/>
      <c r="AE184" s="486"/>
      <c r="AF184" s="486"/>
      <c r="AG184" s="487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85"/>
      <c r="AE185" s="486"/>
      <c r="AF185" s="486"/>
      <c r="AG185" s="487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85"/>
      <c r="AE186" s="486"/>
      <c r="AF186" s="486"/>
      <c r="AG186" s="487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85"/>
      <c r="AE187" s="486"/>
      <c r="AF187" s="486"/>
      <c r="AG187" s="487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85"/>
      <c r="AE188" s="486"/>
      <c r="AF188" s="486"/>
      <c r="AG188" s="487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85"/>
      <c r="AE189" s="486"/>
      <c r="AF189" s="486"/>
      <c r="AG189" s="487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85"/>
      <c r="AE190" s="486"/>
      <c r="AF190" s="486"/>
      <c r="AG190" s="487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85"/>
      <c r="AE191" s="486"/>
      <c r="AF191" s="486"/>
      <c r="AG191" s="487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85"/>
      <c r="AE192" s="486"/>
      <c r="AF192" s="486"/>
      <c r="AG192" s="487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85"/>
      <c r="AE193" s="486"/>
      <c r="AF193" s="486"/>
      <c r="AG193" s="487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85"/>
      <c r="AE194" s="486"/>
      <c r="AF194" s="486"/>
      <c r="AG194" s="487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85"/>
      <c r="AE195" s="486"/>
      <c r="AF195" s="486"/>
      <c r="AG195" s="487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85"/>
      <c r="AE196" s="486"/>
      <c r="AF196" s="486"/>
      <c r="AG196" s="487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85"/>
      <c r="AE197" s="486"/>
      <c r="AF197" s="486"/>
      <c r="AG197" s="487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85"/>
      <c r="AE198" s="486"/>
      <c r="AF198" s="486"/>
      <c r="AG198" s="487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85"/>
      <c r="AE199" s="486"/>
      <c r="AF199" s="486"/>
      <c r="AG199" s="487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85"/>
      <c r="AE200" s="486"/>
      <c r="AF200" s="486"/>
      <c r="AG200" s="487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85"/>
      <c r="AE201" s="486"/>
      <c r="AF201" s="486"/>
      <c r="AG201" s="487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85"/>
      <c r="AE202" s="486"/>
      <c r="AF202" s="486"/>
      <c r="AG202" s="487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85"/>
      <c r="AE203" s="486"/>
      <c r="AF203" s="486"/>
      <c r="AG203" s="487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85"/>
      <c r="AE204" s="486"/>
      <c r="AF204" s="486"/>
      <c r="AG204" s="487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85"/>
      <c r="AE205" s="486"/>
      <c r="AF205" s="486"/>
      <c r="AG205" s="487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85"/>
      <c r="AE206" s="486"/>
      <c r="AF206" s="486"/>
      <c r="AG206" s="487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85"/>
      <c r="AE207" s="486"/>
      <c r="AF207" s="486"/>
      <c r="AG207" s="487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85"/>
      <c r="AE208" s="486"/>
      <c r="AF208" s="486"/>
      <c r="AG208" s="487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85"/>
      <c r="AE209" s="486"/>
      <c r="AF209" s="486"/>
      <c r="AG209" s="487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85"/>
      <c r="AE210" s="486"/>
      <c r="AF210" s="486"/>
      <c r="AG210" s="487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85"/>
      <c r="AE211" s="486"/>
      <c r="AF211" s="486"/>
      <c r="AG211" s="487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85"/>
      <c r="AE212" s="486"/>
      <c r="AF212" s="486"/>
      <c r="AG212" s="487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85"/>
      <c r="AE213" s="486"/>
      <c r="AF213" s="486"/>
      <c r="AG213" s="487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85"/>
      <c r="AE214" s="486"/>
      <c r="AF214" s="486"/>
      <c r="AG214" s="487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85"/>
      <c r="AE215" s="486"/>
      <c r="AF215" s="486"/>
      <c r="AG215" s="487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85"/>
      <c r="AE216" s="486"/>
      <c r="AF216" s="486"/>
      <c r="AG216" s="487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85"/>
      <c r="AE217" s="486"/>
      <c r="AF217" s="486"/>
      <c r="AG217" s="487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85"/>
      <c r="AE218" s="486"/>
      <c r="AF218" s="486"/>
      <c r="AG218" s="487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85"/>
      <c r="AE219" s="486"/>
      <c r="AF219" s="486"/>
      <c r="AG219" s="487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85"/>
      <c r="AE220" s="486"/>
      <c r="AF220" s="486"/>
      <c r="AG220" s="487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85"/>
      <c r="AE221" s="486"/>
      <c r="AF221" s="486"/>
      <c r="AG221" s="487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85"/>
      <c r="AE222" s="486"/>
      <c r="AF222" s="486"/>
      <c r="AG222" s="487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85"/>
      <c r="AE223" s="486"/>
      <c r="AF223" s="486"/>
      <c r="AG223" s="487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85"/>
      <c r="AE224" s="486"/>
      <c r="AF224" s="486"/>
      <c r="AG224" s="487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85"/>
      <c r="AE225" s="486"/>
      <c r="AF225" s="486"/>
      <c r="AG225" s="487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85"/>
      <c r="AE226" s="486"/>
      <c r="AF226" s="486"/>
      <c r="AG226" s="487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85"/>
      <c r="AE227" s="486"/>
      <c r="AF227" s="486"/>
      <c r="AG227" s="487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85"/>
      <c r="AE228" s="486"/>
      <c r="AF228" s="486"/>
      <c r="AG228" s="487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85"/>
      <c r="AE229" s="486"/>
      <c r="AF229" s="486"/>
      <c r="AG229" s="487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85"/>
      <c r="AE230" s="486"/>
      <c r="AF230" s="486"/>
      <c r="AG230" s="487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85"/>
      <c r="AE231" s="486"/>
      <c r="AF231" s="486"/>
      <c r="AG231" s="487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85"/>
      <c r="AE232" s="486"/>
      <c r="AF232" s="486"/>
      <c r="AG232" s="487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85"/>
      <c r="AE233" s="486"/>
      <c r="AF233" s="486"/>
      <c r="AG233" s="487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85"/>
      <c r="AE234" s="486"/>
      <c r="AF234" s="486"/>
      <c r="AG234" s="487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85"/>
      <c r="AE235" s="486"/>
      <c r="AF235" s="486"/>
      <c r="AG235" s="487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85"/>
      <c r="AE236" s="486"/>
      <c r="AF236" s="486"/>
      <c r="AG236" s="487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85"/>
      <c r="AE237" s="486"/>
      <c r="AF237" s="486"/>
      <c r="AG237" s="487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85"/>
      <c r="AE238" s="486"/>
      <c r="AF238" s="486"/>
      <c r="AG238" s="487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85"/>
      <c r="AE239" s="486"/>
      <c r="AF239" s="486"/>
      <c r="AG239" s="487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85"/>
      <c r="AE240" s="486"/>
      <c r="AF240" s="486"/>
      <c r="AG240" s="487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85"/>
      <c r="AE241" s="486"/>
      <c r="AF241" s="486"/>
      <c r="AG241" s="487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85"/>
      <c r="AE242" s="486"/>
      <c r="AF242" s="486"/>
      <c r="AG242" s="487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85"/>
      <c r="AE243" s="486"/>
      <c r="AF243" s="486"/>
      <c r="AG243" s="487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85"/>
      <c r="AE244" s="486"/>
      <c r="AF244" s="486"/>
      <c r="AG244" s="487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85"/>
      <c r="AE245" s="486"/>
      <c r="AF245" s="486"/>
      <c r="AG245" s="487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85"/>
      <c r="AE246" s="486"/>
      <c r="AF246" s="486"/>
      <c r="AG246" s="487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85"/>
      <c r="AE247" s="486"/>
      <c r="AF247" s="486"/>
      <c r="AG247" s="487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85"/>
      <c r="AE248" s="486"/>
      <c r="AF248" s="486"/>
      <c r="AG248" s="487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85"/>
      <c r="AE249" s="486"/>
      <c r="AF249" s="486"/>
      <c r="AG249" s="487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85"/>
      <c r="AE250" s="486"/>
      <c r="AF250" s="486"/>
      <c r="AG250" s="487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85"/>
      <c r="AE251" s="486"/>
      <c r="AF251" s="486"/>
      <c r="AG251" s="487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85"/>
      <c r="AE252" s="486"/>
      <c r="AF252" s="486"/>
      <c r="AG252" s="487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85"/>
      <c r="AE253" s="486"/>
      <c r="AF253" s="486"/>
      <c r="AG253" s="487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85"/>
      <c r="AE254" s="486"/>
      <c r="AF254" s="486"/>
      <c r="AG254" s="487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85"/>
      <c r="AE255" s="486"/>
      <c r="AF255" s="486"/>
      <c r="AG255" s="487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85"/>
      <c r="AE256" s="486"/>
      <c r="AF256" s="486"/>
      <c r="AG256" s="487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85"/>
      <c r="AE257" s="486"/>
      <c r="AF257" s="486"/>
      <c r="AG257" s="487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85"/>
      <c r="AE258" s="486"/>
      <c r="AF258" s="486"/>
      <c r="AG258" s="487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85"/>
      <c r="AE259" s="486"/>
      <c r="AF259" s="486"/>
      <c r="AG259" s="487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85"/>
      <c r="AE260" s="486"/>
      <c r="AF260" s="486"/>
      <c r="AG260" s="487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85"/>
      <c r="AE261" s="486"/>
      <c r="AF261" s="486"/>
      <c r="AG261" s="487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85"/>
      <c r="AE262" s="486"/>
      <c r="AF262" s="486"/>
      <c r="AG262" s="487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85"/>
      <c r="AE263" s="486"/>
      <c r="AF263" s="486"/>
      <c r="AG263" s="487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85"/>
      <c r="AE264" s="486"/>
      <c r="AF264" s="486"/>
      <c r="AG264" s="487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85"/>
      <c r="AE265" s="486"/>
      <c r="AF265" s="486"/>
      <c r="AG265" s="487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85"/>
      <c r="AE266" s="486"/>
      <c r="AF266" s="486"/>
      <c r="AG266" s="487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85"/>
      <c r="AE267" s="486"/>
      <c r="AF267" s="486"/>
      <c r="AG267" s="487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85"/>
      <c r="AE268" s="486"/>
      <c r="AF268" s="486"/>
      <c r="AG268" s="487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85"/>
      <c r="AE269" s="486"/>
      <c r="AF269" s="486"/>
      <c r="AG269" s="487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85"/>
      <c r="AE270" s="486"/>
      <c r="AF270" s="486"/>
      <c r="AG270" s="487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85"/>
      <c r="AE271" s="486"/>
      <c r="AF271" s="486"/>
      <c r="AG271" s="487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85"/>
      <c r="AE272" s="486"/>
      <c r="AF272" s="486"/>
      <c r="AG272" s="487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85"/>
      <c r="AE273" s="486"/>
      <c r="AF273" s="486"/>
      <c r="AG273" s="487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85"/>
      <c r="AE274" s="486"/>
      <c r="AF274" s="486"/>
      <c r="AG274" s="487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85"/>
      <c r="AE275" s="486"/>
      <c r="AF275" s="486"/>
      <c r="AG275" s="487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85"/>
      <c r="AE276" s="486"/>
      <c r="AF276" s="486"/>
      <c r="AG276" s="487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85"/>
      <c r="AE277" s="486"/>
      <c r="AF277" s="486"/>
      <c r="AG277" s="487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85"/>
      <c r="AE278" s="486"/>
      <c r="AF278" s="486"/>
      <c r="AG278" s="487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85"/>
      <c r="AE279" s="486"/>
      <c r="AF279" s="486"/>
      <c r="AG279" s="487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85"/>
      <c r="AE280" s="486"/>
      <c r="AF280" s="486"/>
      <c r="AG280" s="487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85"/>
      <c r="AE281" s="486"/>
      <c r="AF281" s="486"/>
      <c r="AG281" s="487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85"/>
      <c r="AE282" s="486"/>
      <c r="AF282" s="486"/>
      <c r="AG282" s="487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85"/>
      <c r="AE283" s="486"/>
      <c r="AF283" s="486"/>
      <c r="AG283" s="487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85"/>
      <c r="AE284" s="486"/>
      <c r="AF284" s="486"/>
      <c r="AG284" s="487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85"/>
      <c r="AE285" s="486"/>
      <c r="AF285" s="486"/>
      <c r="AG285" s="487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85"/>
      <c r="AE286" s="486"/>
      <c r="AF286" s="486"/>
      <c r="AG286" s="487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85"/>
      <c r="AE287" s="486"/>
      <c r="AF287" s="486"/>
      <c r="AG287" s="487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85"/>
      <c r="AE288" s="486"/>
      <c r="AF288" s="486"/>
      <c r="AG288" s="487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85"/>
      <c r="AE289" s="486"/>
      <c r="AF289" s="486"/>
      <c r="AG289" s="487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85"/>
      <c r="AE290" s="486"/>
      <c r="AF290" s="486"/>
      <c r="AG290" s="487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85"/>
      <c r="AE291" s="486"/>
      <c r="AF291" s="486"/>
      <c r="AG291" s="487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85"/>
      <c r="AE292" s="486"/>
      <c r="AF292" s="486"/>
      <c r="AG292" s="487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85"/>
      <c r="AE293" s="486"/>
      <c r="AF293" s="486"/>
      <c r="AG293" s="487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85"/>
      <c r="AE294" s="486"/>
      <c r="AF294" s="486"/>
      <c r="AG294" s="487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85"/>
      <c r="AE295" s="486"/>
      <c r="AF295" s="486"/>
      <c r="AG295" s="487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85"/>
      <c r="AE296" s="486"/>
      <c r="AF296" s="486"/>
      <c r="AG296" s="487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85"/>
      <c r="AE297" s="486"/>
      <c r="AF297" s="486"/>
      <c r="AG297" s="487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85"/>
      <c r="AE298" s="486"/>
      <c r="AF298" s="486"/>
      <c r="AG298" s="487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85"/>
      <c r="AE299" s="486"/>
      <c r="AF299" s="486"/>
      <c r="AG299" s="487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85"/>
      <c r="AE300" s="486"/>
      <c r="AF300" s="486"/>
      <c r="AG300" s="487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85"/>
      <c r="AE301" s="486"/>
      <c r="AF301" s="486"/>
      <c r="AG301" s="487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85"/>
      <c r="AE302" s="486"/>
      <c r="AF302" s="486"/>
      <c r="AG302" s="487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85"/>
      <c r="AE303" s="486"/>
      <c r="AF303" s="486"/>
      <c r="AG303" s="487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85"/>
      <c r="AE304" s="486"/>
      <c r="AF304" s="486"/>
      <c r="AG304" s="487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85"/>
      <c r="AE305" s="486"/>
      <c r="AF305" s="486"/>
      <c r="AG305" s="487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85"/>
      <c r="AE306" s="486"/>
      <c r="AF306" s="486"/>
      <c r="AG306" s="487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85"/>
      <c r="AE307" s="486"/>
      <c r="AF307" s="486"/>
      <c r="AG307" s="487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85"/>
      <c r="AE308" s="486"/>
      <c r="AF308" s="486"/>
      <c r="AG308" s="487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85"/>
      <c r="AE309" s="486"/>
      <c r="AF309" s="486"/>
      <c r="AG309" s="487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85"/>
      <c r="AE310" s="486"/>
      <c r="AF310" s="486"/>
      <c r="AG310" s="487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85"/>
      <c r="AE311" s="486"/>
      <c r="AF311" s="486"/>
      <c r="AG311" s="487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85"/>
      <c r="AE312" s="486"/>
      <c r="AF312" s="486"/>
      <c r="AG312" s="487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85"/>
      <c r="AE313" s="486"/>
      <c r="AF313" s="486"/>
      <c r="AG313" s="487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85"/>
      <c r="AE314" s="486"/>
      <c r="AF314" s="486"/>
      <c r="AG314" s="487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85"/>
      <c r="AE315" s="486"/>
      <c r="AF315" s="486"/>
      <c r="AG315" s="487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85"/>
      <c r="AE316" s="486"/>
      <c r="AF316" s="486"/>
      <c r="AG316" s="487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85"/>
      <c r="AE317" s="486"/>
      <c r="AF317" s="486"/>
      <c r="AG317" s="487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85"/>
      <c r="AE318" s="486"/>
      <c r="AF318" s="486"/>
      <c r="AG318" s="487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85"/>
      <c r="AE319" s="486"/>
      <c r="AF319" s="486"/>
      <c r="AG319" s="487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85"/>
      <c r="AE320" s="486"/>
      <c r="AF320" s="486"/>
      <c r="AG320" s="487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85"/>
      <c r="AE321" s="486"/>
      <c r="AF321" s="486"/>
      <c r="AG321" s="487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85"/>
      <c r="AE322" s="486"/>
      <c r="AF322" s="486"/>
      <c r="AG322" s="487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85"/>
      <c r="AE323" s="486"/>
      <c r="AF323" s="486"/>
      <c r="AG323" s="487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85"/>
      <c r="AE324" s="486"/>
      <c r="AF324" s="486"/>
      <c r="AG324" s="487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85"/>
      <c r="AE325" s="486"/>
      <c r="AF325" s="486"/>
      <c r="AG325" s="487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85"/>
      <c r="AE326" s="486"/>
      <c r="AF326" s="486"/>
      <c r="AG326" s="487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85"/>
      <c r="AE327" s="486"/>
      <c r="AF327" s="486"/>
      <c r="AG327" s="487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85"/>
      <c r="AE328" s="486"/>
      <c r="AF328" s="486"/>
      <c r="AG328" s="487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85"/>
      <c r="AE329" s="486"/>
      <c r="AF329" s="486"/>
      <c r="AG329" s="487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85"/>
      <c r="AE330" s="486"/>
      <c r="AF330" s="486"/>
      <c r="AG330" s="487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85"/>
      <c r="AE331" s="486"/>
      <c r="AF331" s="486"/>
      <c r="AG331" s="487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85"/>
      <c r="AE332" s="486"/>
      <c r="AF332" s="486"/>
      <c r="AG332" s="487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85"/>
      <c r="AE333" s="486"/>
      <c r="AF333" s="486"/>
      <c r="AG333" s="487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85"/>
      <c r="AE334" s="486"/>
      <c r="AF334" s="486"/>
      <c r="AG334" s="487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85"/>
      <c r="AE335" s="486"/>
      <c r="AF335" s="486"/>
      <c r="AG335" s="487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85"/>
      <c r="AE336" s="486"/>
      <c r="AF336" s="486"/>
      <c r="AG336" s="487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85"/>
      <c r="AE337" s="486"/>
      <c r="AF337" s="486"/>
      <c r="AG337" s="487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85"/>
      <c r="AE338" s="486"/>
      <c r="AF338" s="486"/>
      <c r="AG338" s="487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85"/>
      <c r="AE339" s="486"/>
      <c r="AF339" s="486"/>
      <c r="AG339" s="487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85"/>
      <c r="AE340" s="486"/>
      <c r="AF340" s="486"/>
      <c r="AG340" s="487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85"/>
      <c r="AE341" s="486"/>
      <c r="AF341" s="486"/>
      <c r="AG341" s="487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85"/>
      <c r="AE342" s="486"/>
      <c r="AF342" s="486"/>
      <c r="AG342" s="487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85"/>
      <c r="AE343" s="486"/>
      <c r="AF343" s="486"/>
      <c r="AG343" s="487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85"/>
      <c r="AE344" s="486"/>
      <c r="AF344" s="486"/>
      <c r="AG344" s="487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85"/>
      <c r="AE345" s="486"/>
      <c r="AF345" s="486"/>
      <c r="AG345" s="487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85"/>
      <c r="AE346" s="486"/>
      <c r="AF346" s="486"/>
      <c r="AG346" s="487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85"/>
      <c r="AE347" s="486"/>
      <c r="AF347" s="486"/>
      <c r="AG347" s="487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85"/>
      <c r="AE348" s="486"/>
      <c r="AF348" s="486"/>
      <c r="AG348" s="487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85"/>
      <c r="AE349" s="486"/>
      <c r="AF349" s="486"/>
      <c r="AG349" s="487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85"/>
      <c r="AE350" s="486"/>
      <c r="AF350" s="486"/>
      <c r="AG350" s="487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85"/>
      <c r="AE351" s="486"/>
      <c r="AF351" s="486"/>
      <c r="AG351" s="487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85"/>
      <c r="AE352" s="486"/>
      <c r="AF352" s="486"/>
      <c r="AG352" s="487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85"/>
      <c r="AE353" s="486"/>
      <c r="AF353" s="486"/>
      <c r="AG353" s="487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85"/>
      <c r="AE354" s="486"/>
      <c r="AF354" s="486"/>
      <c r="AG354" s="487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85"/>
      <c r="AE355" s="486"/>
      <c r="AF355" s="486"/>
      <c r="AG355" s="487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85"/>
      <c r="AE356" s="486"/>
      <c r="AF356" s="486"/>
      <c r="AG356" s="487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85"/>
      <c r="AE357" s="486"/>
      <c r="AF357" s="486"/>
      <c r="AG357" s="487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85"/>
      <c r="AE358" s="486"/>
      <c r="AF358" s="486"/>
      <c r="AG358" s="487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85"/>
      <c r="AE359" s="486"/>
      <c r="AF359" s="486"/>
      <c r="AG359" s="487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85"/>
      <c r="AE360" s="486"/>
      <c r="AF360" s="486"/>
      <c r="AG360" s="487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85"/>
      <c r="AE361" s="486"/>
      <c r="AF361" s="486"/>
      <c r="AG361" s="487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85"/>
      <c r="AE362" s="486"/>
      <c r="AF362" s="486"/>
      <c r="AG362" s="487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85"/>
      <c r="AE363" s="486"/>
      <c r="AF363" s="486"/>
      <c r="AG363" s="487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85"/>
      <c r="AE364" s="486"/>
      <c r="AF364" s="486"/>
      <c r="AG364" s="487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85"/>
      <c r="AE365" s="486"/>
      <c r="AF365" s="486"/>
      <c r="AG365" s="487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85"/>
      <c r="AE366" s="486"/>
      <c r="AF366" s="486"/>
      <c r="AG366" s="487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85"/>
      <c r="AE367" s="486"/>
      <c r="AF367" s="486"/>
      <c r="AG367" s="487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85"/>
      <c r="AE368" s="486"/>
      <c r="AF368" s="486"/>
      <c r="AG368" s="487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85"/>
      <c r="AE369" s="486"/>
      <c r="AF369" s="486"/>
      <c r="AG369" s="487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85"/>
      <c r="AE370" s="486"/>
      <c r="AF370" s="486"/>
      <c r="AG370" s="487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85"/>
      <c r="AE371" s="486"/>
      <c r="AF371" s="486"/>
      <c r="AG371" s="487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85"/>
      <c r="AE372" s="486"/>
      <c r="AF372" s="486"/>
      <c r="AG372" s="487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85"/>
      <c r="AE373" s="486"/>
      <c r="AF373" s="486"/>
      <c r="AG373" s="487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85"/>
      <c r="AE374" s="486"/>
      <c r="AF374" s="486"/>
      <c r="AG374" s="487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85"/>
      <c r="AE375" s="486"/>
      <c r="AF375" s="486"/>
      <c r="AG375" s="487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85"/>
      <c r="AE376" s="486"/>
      <c r="AF376" s="486"/>
      <c r="AG376" s="487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85"/>
      <c r="AE377" s="486"/>
      <c r="AF377" s="486"/>
      <c r="AG377" s="487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85"/>
      <c r="AE378" s="486"/>
      <c r="AF378" s="486"/>
      <c r="AG378" s="487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85"/>
      <c r="AE379" s="486"/>
      <c r="AF379" s="486"/>
      <c r="AG379" s="487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85"/>
      <c r="AE380" s="486"/>
      <c r="AF380" s="486"/>
      <c r="AG380" s="487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85"/>
      <c r="AE381" s="486"/>
      <c r="AF381" s="486"/>
      <c r="AG381" s="487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85"/>
      <c r="AE382" s="486"/>
      <c r="AF382" s="486"/>
      <c r="AG382" s="487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85"/>
      <c r="AE383" s="486"/>
      <c r="AF383" s="486"/>
      <c r="AG383" s="487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85"/>
      <c r="AE384" s="486"/>
      <c r="AF384" s="486"/>
      <c r="AG384" s="487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85"/>
      <c r="AE385" s="486"/>
      <c r="AF385" s="486"/>
      <c r="AG385" s="487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85"/>
      <c r="AE386" s="486"/>
      <c r="AF386" s="486"/>
      <c r="AG386" s="487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85"/>
      <c r="AE387" s="486"/>
      <c r="AF387" s="486"/>
      <c r="AG387" s="487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85"/>
      <c r="AE388" s="486"/>
      <c r="AF388" s="486"/>
      <c r="AG388" s="487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85"/>
      <c r="AE389" s="486"/>
      <c r="AF389" s="486"/>
      <c r="AG389" s="487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85"/>
      <c r="AE390" s="486"/>
      <c r="AF390" s="486"/>
      <c r="AG390" s="487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85"/>
      <c r="AE391" s="486"/>
      <c r="AF391" s="486"/>
      <c r="AG391" s="487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85"/>
      <c r="AE392" s="486"/>
      <c r="AF392" s="486"/>
      <c r="AG392" s="487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85"/>
      <c r="AE393" s="486"/>
      <c r="AF393" s="486"/>
      <c r="AG393" s="487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85"/>
      <c r="AE394" s="486"/>
      <c r="AF394" s="486"/>
      <c r="AG394" s="487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85"/>
      <c r="AE395" s="486"/>
      <c r="AF395" s="486"/>
      <c r="AG395" s="487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85"/>
      <c r="AE396" s="486"/>
      <c r="AF396" s="486"/>
      <c r="AG396" s="487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85"/>
      <c r="AE397" s="486"/>
      <c r="AF397" s="486"/>
      <c r="AG397" s="487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85"/>
      <c r="AE398" s="486"/>
      <c r="AF398" s="486"/>
      <c r="AG398" s="487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85"/>
      <c r="AE399" s="486"/>
      <c r="AF399" s="486"/>
      <c r="AG399" s="487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85"/>
      <c r="AE400" s="486"/>
      <c r="AF400" s="486"/>
      <c r="AG400" s="487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85"/>
      <c r="AE401" s="486"/>
      <c r="AF401" s="486"/>
      <c r="AG401" s="487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85"/>
      <c r="AE402" s="486"/>
      <c r="AF402" s="486"/>
      <c r="AG402" s="487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85"/>
      <c r="AE403" s="486"/>
      <c r="AF403" s="486"/>
      <c r="AG403" s="487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85"/>
      <c r="AE404" s="486"/>
      <c r="AF404" s="486"/>
      <c r="AG404" s="487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85"/>
      <c r="AE405" s="486"/>
      <c r="AF405" s="486"/>
      <c r="AG405" s="487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85"/>
      <c r="AE406" s="486"/>
      <c r="AF406" s="486"/>
      <c r="AG406" s="487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85"/>
      <c r="AE407" s="486"/>
      <c r="AF407" s="486"/>
      <c r="AG407" s="487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85"/>
      <c r="AE408" s="486"/>
      <c r="AF408" s="486"/>
      <c r="AG408" s="487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85"/>
      <c r="AE409" s="486"/>
      <c r="AF409" s="486"/>
      <c r="AG409" s="487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85"/>
      <c r="AE410" s="486"/>
      <c r="AF410" s="486"/>
      <c r="AG410" s="487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85"/>
      <c r="AE411" s="486"/>
      <c r="AF411" s="486"/>
      <c r="AG411" s="487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85"/>
      <c r="AE412" s="486"/>
      <c r="AF412" s="486"/>
      <c r="AG412" s="487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85"/>
      <c r="AE413" s="486"/>
      <c r="AF413" s="486"/>
      <c r="AG413" s="487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85"/>
      <c r="AE414" s="486"/>
      <c r="AF414" s="486"/>
      <c r="AG414" s="487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85"/>
      <c r="AE415" s="486"/>
      <c r="AF415" s="486"/>
      <c r="AG415" s="487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85"/>
      <c r="AE416" s="486"/>
      <c r="AF416" s="486"/>
      <c r="AG416" s="487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85"/>
      <c r="AE417" s="486"/>
      <c r="AF417" s="486"/>
      <c r="AG417" s="487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85"/>
      <c r="AE418" s="486"/>
      <c r="AF418" s="486"/>
      <c r="AG418" s="487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85"/>
      <c r="AE419" s="486"/>
      <c r="AF419" s="486"/>
      <c r="AG419" s="487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85"/>
      <c r="AE420" s="486"/>
      <c r="AF420" s="486"/>
      <c r="AG420" s="487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85"/>
      <c r="AE421" s="486"/>
      <c r="AF421" s="486"/>
      <c r="AG421" s="487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85"/>
      <c r="AE422" s="486"/>
      <c r="AF422" s="486"/>
      <c r="AG422" s="487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85"/>
      <c r="AE423" s="486"/>
      <c r="AF423" s="486"/>
      <c r="AG423" s="487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85"/>
      <c r="AE424" s="486"/>
      <c r="AF424" s="486"/>
      <c r="AG424" s="487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85"/>
      <c r="AE425" s="486"/>
      <c r="AF425" s="486"/>
      <c r="AG425" s="487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85"/>
      <c r="AE426" s="486"/>
      <c r="AF426" s="486"/>
      <c r="AG426" s="487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85"/>
      <c r="AE427" s="486"/>
      <c r="AF427" s="486"/>
      <c r="AG427" s="487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85"/>
      <c r="AE428" s="486"/>
      <c r="AF428" s="486"/>
      <c r="AG428" s="487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85"/>
      <c r="AE429" s="486"/>
      <c r="AF429" s="486"/>
      <c r="AG429" s="487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85"/>
      <c r="AE430" s="486"/>
      <c r="AF430" s="486"/>
      <c r="AG430" s="487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85"/>
      <c r="AE431" s="486"/>
      <c r="AF431" s="486"/>
      <c r="AG431" s="487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85"/>
      <c r="AE432" s="486"/>
      <c r="AF432" s="486"/>
      <c r="AG432" s="487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85"/>
      <c r="AE433" s="486"/>
      <c r="AF433" s="486"/>
      <c r="AG433" s="487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85"/>
      <c r="AE434" s="486"/>
      <c r="AF434" s="486"/>
      <c r="AG434" s="487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85"/>
      <c r="AE435" s="486"/>
      <c r="AF435" s="486"/>
      <c r="AG435" s="487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85"/>
      <c r="AE436" s="486"/>
      <c r="AF436" s="486"/>
      <c r="AG436" s="487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85"/>
      <c r="AE437" s="486"/>
      <c r="AF437" s="486"/>
      <c r="AG437" s="487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85"/>
      <c r="AE438" s="486"/>
      <c r="AF438" s="486"/>
      <c r="AG438" s="487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85"/>
      <c r="AE439" s="486"/>
      <c r="AF439" s="486"/>
      <c r="AG439" s="487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85"/>
      <c r="AE440" s="486"/>
      <c r="AF440" s="486"/>
      <c r="AG440" s="487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85"/>
      <c r="AE441" s="486"/>
      <c r="AF441" s="486"/>
      <c r="AG441" s="487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85"/>
      <c r="AE442" s="486"/>
      <c r="AF442" s="486"/>
      <c r="AG442" s="487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85"/>
      <c r="AE443" s="486"/>
      <c r="AF443" s="486"/>
      <c r="AG443" s="487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85"/>
      <c r="AE444" s="486"/>
      <c r="AF444" s="486"/>
      <c r="AG444" s="487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85"/>
      <c r="AE445" s="486"/>
      <c r="AF445" s="486"/>
      <c r="AG445" s="487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85"/>
      <c r="AE446" s="486"/>
      <c r="AF446" s="486"/>
      <c r="AG446" s="487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85"/>
      <c r="AE447" s="486"/>
      <c r="AF447" s="486"/>
      <c r="AG447" s="487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85"/>
      <c r="AE448" s="486"/>
      <c r="AF448" s="486"/>
      <c r="AG448" s="487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85"/>
      <c r="AE449" s="486"/>
      <c r="AF449" s="486"/>
      <c r="AG449" s="487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85"/>
      <c r="AE450" s="486"/>
      <c r="AF450" s="486"/>
      <c r="AG450" s="487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85"/>
      <c r="AE451" s="486"/>
      <c r="AF451" s="486"/>
      <c r="AG451" s="487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85"/>
      <c r="AE452" s="486"/>
      <c r="AF452" s="486"/>
      <c r="AG452" s="487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85"/>
      <c r="AE453" s="486"/>
      <c r="AF453" s="486"/>
      <c r="AG453" s="487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85"/>
      <c r="AE454" s="486"/>
      <c r="AF454" s="486"/>
      <c r="AG454" s="487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85"/>
      <c r="AE455" s="486"/>
      <c r="AF455" s="486"/>
      <c r="AG455" s="487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85"/>
      <c r="AE456" s="486"/>
      <c r="AF456" s="486"/>
      <c r="AG456" s="487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85"/>
      <c r="AE457" s="486"/>
      <c r="AF457" s="486"/>
      <c r="AG457" s="487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85"/>
      <c r="AE458" s="486"/>
      <c r="AF458" s="486"/>
      <c r="AG458" s="487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85"/>
      <c r="AE459" s="486"/>
      <c r="AF459" s="486"/>
      <c r="AG459" s="487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85"/>
      <c r="AE460" s="486"/>
      <c r="AF460" s="486"/>
      <c r="AG460" s="487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85"/>
      <c r="AE461" s="486"/>
      <c r="AF461" s="486"/>
      <c r="AG461" s="487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85"/>
      <c r="AE462" s="486"/>
      <c r="AF462" s="486"/>
      <c r="AG462" s="487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85"/>
      <c r="AE463" s="486"/>
      <c r="AF463" s="486"/>
      <c r="AG463" s="487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85"/>
      <c r="AE464" s="486"/>
      <c r="AF464" s="486"/>
      <c r="AG464" s="487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85"/>
      <c r="AE465" s="486"/>
      <c r="AF465" s="486"/>
      <c r="AG465" s="487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85"/>
      <c r="AE466" s="486"/>
      <c r="AF466" s="486"/>
      <c r="AG466" s="487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85"/>
      <c r="AE467" s="486"/>
      <c r="AF467" s="486"/>
      <c r="AG467" s="487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85"/>
      <c r="AE468" s="486"/>
      <c r="AF468" s="486"/>
      <c r="AG468" s="487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85"/>
      <c r="AE469" s="486"/>
      <c r="AF469" s="486"/>
      <c r="AG469" s="487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85"/>
      <c r="AE470" s="486"/>
      <c r="AF470" s="486"/>
      <c r="AG470" s="487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85"/>
      <c r="AE471" s="486"/>
      <c r="AF471" s="486"/>
      <c r="AG471" s="487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85"/>
      <c r="AE472" s="486"/>
      <c r="AF472" s="486"/>
      <c r="AG472" s="487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85"/>
      <c r="AE473" s="486"/>
      <c r="AF473" s="486"/>
      <c r="AG473" s="487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85"/>
      <c r="AE474" s="486"/>
      <c r="AF474" s="486"/>
      <c r="AG474" s="487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85"/>
      <c r="AE475" s="486"/>
      <c r="AF475" s="486"/>
      <c r="AG475" s="487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85"/>
      <c r="AE476" s="486"/>
      <c r="AF476" s="486"/>
      <c r="AG476" s="487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85"/>
      <c r="AE477" s="486"/>
      <c r="AF477" s="486"/>
      <c r="AG477" s="487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85"/>
      <c r="AE478" s="486"/>
      <c r="AF478" s="486"/>
      <c r="AG478" s="487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85"/>
      <c r="AE479" s="486"/>
      <c r="AF479" s="486"/>
      <c r="AG479" s="487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85"/>
      <c r="AE480" s="486"/>
      <c r="AF480" s="486"/>
      <c r="AG480" s="487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85"/>
      <c r="AE481" s="486"/>
      <c r="AF481" s="486"/>
      <c r="AG481" s="487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85"/>
      <c r="AE482" s="486"/>
      <c r="AF482" s="486"/>
      <c r="AG482" s="487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85"/>
      <c r="AE483" s="486"/>
      <c r="AF483" s="486"/>
      <c r="AG483" s="487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85"/>
      <c r="AE484" s="486"/>
      <c r="AF484" s="486"/>
      <c r="AG484" s="487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85"/>
      <c r="AE485" s="486"/>
      <c r="AF485" s="486"/>
      <c r="AG485" s="487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85"/>
      <c r="AE486" s="486"/>
      <c r="AF486" s="486"/>
      <c r="AG486" s="487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85"/>
      <c r="AE487" s="486"/>
      <c r="AF487" s="486"/>
      <c r="AG487" s="487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85"/>
      <c r="AE488" s="486"/>
      <c r="AF488" s="486"/>
      <c r="AG488" s="487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85"/>
      <c r="AE489" s="486"/>
      <c r="AF489" s="486"/>
      <c r="AG489" s="487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85"/>
      <c r="AE490" s="486"/>
      <c r="AF490" s="486"/>
      <c r="AG490" s="487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85"/>
      <c r="AE491" s="486"/>
      <c r="AF491" s="486"/>
      <c r="AG491" s="487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85"/>
      <c r="AE492" s="486"/>
      <c r="AF492" s="486"/>
      <c r="AG492" s="487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85"/>
      <c r="AE493" s="486"/>
      <c r="AF493" s="486"/>
      <c r="AG493" s="487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85"/>
      <c r="AE494" s="486"/>
      <c r="AF494" s="486"/>
      <c r="AG494" s="487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85"/>
      <c r="AE495" s="486"/>
      <c r="AF495" s="486"/>
      <c r="AG495" s="487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85"/>
      <c r="AE496" s="486"/>
      <c r="AF496" s="486"/>
      <c r="AG496" s="487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85"/>
      <c r="AE497" s="486"/>
      <c r="AF497" s="486"/>
      <c r="AG497" s="487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85"/>
      <c r="AE498" s="486"/>
      <c r="AF498" s="486"/>
      <c r="AG498" s="487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85"/>
      <c r="AE499" s="486"/>
      <c r="AF499" s="486"/>
      <c r="AG499" s="487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85"/>
      <c r="AE500" s="486"/>
      <c r="AF500" s="486"/>
      <c r="AG500" s="487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85"/>
      <c r="AE501" s="486"/>
      <c r="AF501" s="486"/>
      <c r="AG501" s="487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85"/>
      <c r="AE502" s="486"/>
      <c r="AF502" s="486"/>
      <c r="AG502" s="487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85"/>
      <c r="AE503" s="486"/>
      <c r="AF503" s="486"/>
      <c r="AG503" s="487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85"/>
      <c r="AE504" s="486"/>
      <c r="AF504" s="486"/>
      <c r="AG504" s="487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85"/>
      <c r="AE505" s="486"/>
      <c r="AF505" s="486"/>
      <c r="AG505" s="487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85"/>
      <c r="AE506" s="486"/>
      <c r="AF506" s="486"/>
      <c r="AG506" s="487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85"/>
      <c r="AE507" s="486"/>
      <c r="AF507" s="486"/>
      <c r="AG507" s="487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85"/>
      <c r="AE508" s="486"/>
      <c r="AF508" s="486"/>
      <c r="AG508" s="487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85"/>
      <c r="AE509" s="486"/>
      <c r="AF509" s="486"/>
      <c r="AG509" s="487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85"/>
      <c r="AE510" s="486"/>
      <c r="AF510" s="486"/>
      <c r="AG510" s="487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85"/>
      <c r="AE511" s="486"/>
      <c r="AF511" s="486"/>
      <c r="AG511" s="487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85"/>
      <c r="AE512" s="486"/>
      <c r="AF512" s="486"/>
      <c r="AG512" s="487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85"/>
      <c r="AE513" s="486"/>
      <c r="AF513" s="486"/>
      <c r="AG513" s="487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85"/>
      <c r="AE514" s="486"/>
      <c r="AF514" s="486"/>
      <c r="AG514" s="487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85"/>
      <c r="AE515" s="486"/>
      <c r="AF515" s="486"/>
      <c r="AG515" s="487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85"/>
      <c r="AE516" s="486"/>
      <c r="AF516" s="486"/>
      <c r="AG516" s="487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85"/>
      <c r="AE517" s="486"/>
      <c r="AF517" s="486"/>
      <c r="AG517" s="487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85"/>
      <c r="AE518" s="486"/>
      <c r="AF518" s="486"/>
      <c r="AG518" s="487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85"/>
      <c r="AE519" s="486"/>
      <c r="AF519" s="486"/>
      <c r="AG519" s="487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85"/>
      <c r="AE520" s="486"/>
      <c r="AF520" s="486"/>
      <c r="AG520" s="487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85"/>
      <c r="AE521" s="486"/>
      <c r="AF521" s="486"/>
      <c r="AG521" s="487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85"/>
      <c r="AE522" s="486"/>
      <c r="AF522" s="486"/>
      <c r="AG522" s="487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85"/>
      <c r="AE523" s="486"/>
      <c r="AF523" s="486"/>
      <c r="AG523" s="487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85"/>
      <c r="AE524" s="486"/>
      <c r="AF524" s="486"/>
      <c r="AG524" s="487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85"/>
      <c r="AE525" s="486"/>
      <c r="AF525" s="486"/>
      <c r="AG525" s="487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85"/>
      <c r="AE526" s="486"/>
      <c r="AF526" s="486"/>
      <c r="AG526" s="487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85"/>
      <c r="AE527" s="486"/>
      <c r="AF527" s="486"/>
      <c r="AG527" s="487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85"/>
      <c r="AE528" s="486"/>
      <c r="AF528" s="486"/>
      <c r="AG528" s="487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85"/>
      <c r="AE529" s="486"/>
      <c r="AF529" s="486"/>
      <c r="AG529" s="487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85"/>
      <c r="AE530" s="486"/>
      <c r="AF530" s="486"/>
      <c r="AG530" s="487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85"/>
      <c r="AE531" s="486"/>
      <c r="AF531" s="486"/>
      <c r="AG531" s="487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85"/>
      <c r="AE532" s="486"/>
      <c r="AF532" s="486"/>
      <c r="AG532" s="487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85"/>
      <c r="AE533" s="486"/>
      <c r="AF533" s="486"/>
      <c r="AG533" s="487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85"/>
      <c r="AE534" s="486"/>
      <c r="AF534" s="486"/>
      <c r="AG534" s="487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85"/>
      <c r="AE535" s="486"/>
      <c r="AF535" s="486"/>
      <c r="AG535" s="487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85"/>
      <c r="AE536" s="486"/>
      <c r="AF536" s="486"/>
      <c r="AG536" s="487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85"/>
      <c r="AE537" s="486"/>
      <c r="AF537" s="486"/>
      <c r="AG537" s="487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85"/>
      <c r="AE538" s="486"/>
      <c r="AF538" s="486"/>
      <c r="AG538" s="487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85"/>
      <c r="AE539" s="486"/>
      <c r="AF539" s="486"/>
      <c r="AG539" s="487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85"/>
      <c r="AE540" s="486"/>
      <c r="AF540" s="486"/>
      <c r="AG540" s="487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85"/>
      <c r="AE541" s="486"/>
      <c r="AF541" s="486"/>
      <c r="AG541" s="487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85"/>
      <c r="AE542" s="486"/>
      <c r="AF542" s="486"/>
      <c r="AG542" s="487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85"/>
      <c r="AE543" s="486"/>
      <c r="AF543" s="486"/>
      <c r="AG543" s="487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85"/>
      <c r="AE544" s="486"/>
      <c r="AF544" s="486"/>
      <c r="AG544" s="487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85"/>
      <c r="AE545" s="486"/>
      <c r="AF545" s="486"/>
      <c r="AG545" s="487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85"/>
      <c r="AE546" s="486"/>
      <c r="AF546" s="486"/>
      <c r="AG546" s="487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85"/>
      <c r="AE547" s="486"/>
      <c r="AF547" s="486"/>
      <c r="AG547" s="487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85"/>
      <c r="AE548" s="486"/>
      <c r="AF548" s="486"/>
      <c r="AG548" s="487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85"/>
      <c r="AE549" s="486"/>
      <c r="AF549" s="486"/>
      <c r="AG549" s="487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85"/>
      <c r="AE550" s="486"/>
      <c r="AF550" s="486"/>
      <c r="AG550" s="487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85"/>
      <c r="AE551" s="486"/>
      <c r="AF551" s="486"/>
      <c r="AG551" s="487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85"/>
      <c r="AE552" s="486"/>
      <c r="AF552" s="486"/>
      <c r="AG552" s="487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85"/>
      <c r="AE553" s="486"/>
      <c r="AF553" s="486"/>
      <c r="AG553" s="487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85"/>
      <c r="AE554" s="486"/>
      <c r="AF554" s="486"/>
      <c r="AG554" s="487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85"/>
      <c r="AE555" s="486"/>
      <c r="AF555" s="486"/>
      <c r="AG555" s="487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85"/>
      <c r="AE556" s="486"/>
      <c r="AF556" s="486"/>
      <c r="AG556" s="487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85"/>
      <c r="AE557" s="486"/>
      <c r="AF557" s="486"/>
      <c r="AG557" s="487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85"/>
      <c r="AE558" s="486"/>
      <c r="AF558" s="486"/>
      <c r="AG558" s="487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85"/>
      <c r="AE559" s="486"/>
      <c r="AF559" s="486"/>
      <c r="AG559" s="487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85"/>
      <c r="AE560" s="486"/>
      <c r="AF560" s="486"/>
      <c r="AG560" s="487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85"/>
      <c r="AE561" s="486"/>
      <c r="AF561" s="486"/>
      <c r="AG561" s="487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85"/>
      <c r="AE562" s="486"/>
      <c r="AF562" s="486"/>
      <c r="AG562" s="487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85"/>
      <c r="AE563" s="486"/>
      <c r="AF563" s="486"/>
      <c r="AG563" s="487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85"/>
      <c r="AE564" s="486"/>
      <c r="AF564" s="486"/>
      <c r="AG564" s="487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85"/>
      <c r="AE565" s="486"/>
      <c r="AF565" s="486"/>
      <c r="AG565" s="487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85"/>
      <c r="AE566" s="486"/>
      <c r="AF566" s="486"/>
      <c r="AG566" s="487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85"/>
      <c r="AE567" s="486"/>
      <c r="AF567" s="486"/>
      <c r="AG567" s="487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85"/>
      <c r="AE568" s="486"/>
      <c r="AF568" s="486"/>
      <c r="AG568" s="487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85"/>
      <c r="AE569" s="486"/>
      <c r="AF569" s="486"/>
      <c r="AG569" s="487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85"/>
      <c r="AE570" s="486"/>
      <c r="AF570" s="486"/>
      <c r="AG570" s="487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85"/>
      <c r="AE571" s="486"/>
      <c r="AF571" s="486"/>
      <c r="AG571" s="487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85"/>
      <c r="AE572" s="486"/>
      <c r="AF572" s="486"/>
      <c r="AG572" s="487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85"/>
      <c r="AE573" s="486"/>
      <c r="AF573" s="486"/>
      <c r="AG573" s="487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85"/>
      <c r="AE574" s="486"/>
      <c r="AF574" s="486"/>
      <c r="AG574" s="487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85"/>
      <c r="AE575" s="486"/>
      <c r="AF575" s="486"/>
      <c r="AG575" s="487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85"/>
      <c r="AE576" s="486"/>
      <c r="AF576" s="486"/>
      <c r="AG576" s="487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85"/>
      <c r="AE577" s="486"/>
      <c r="AF577" s="486"/>
      <c r="AG577" s="487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85"/>
      <c r="AE578" s="486"/>
      <c r="AF578" s="486"/>
      <c r="AG578" s="487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85"/>
      <c r="AE579" s="486"/>
      <c r="AF579" s="486"/>
      <c r="AG579" s="487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85"/>
      <c r="AE580" s="486"/>
      <c r="AF580" s="486"/>
      <c r="AG580" s="487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85"/>
      <c r="AE581" s="486"/>
      <c r="AF581" s="486"/>
      <c r="AG581" s="487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85"/>
      <c r="AE582" s="486"/>
      <c r="AF582" s="486"/>
      <c r="AG582" s="487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85"/>
      <c r="AE583" s="486"/>
      <c r="AF583" s="486"/>
      <c r="AG583" s="487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85"/>
      <c r="AE584" s="486"/>
      <c r="AF584" s="486"/>
      <c r="AG584" s="487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85"/>
      <c r="AE585" s="486"/>
      <c r="AF585" s="486"/>
      <c r="AG585" s="487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85"/>
      <c r="AE586" s="486"/>
      <c r="AF586" s="486"/>
      <c r="AG586" s="487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85"/>
      <c r="AE587" s="486"/>
      <c r="AF587" s="486"/>
      <c r="AG587" s="487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85"/>
      <c r="AE588" s="486"/>
      <c r="AF588" s="486"/>
      <c r="AG588" s="487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85"/>
      <c r="AE589" s="486"/>
      <c r="AF589" s="486"/>
      <c r="AG589" s="487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85"/>
      <c r="AE590" s="486"/>
      <c r="AF590" s="486"/>
      <c r="AG590" s="487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85"/>
      <c r="AE591" s="486"/>
      <c r="AF591" s="486"/>
      <c r="AG591" s="487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85"/>
      <c r="AE592" s="486"/>
      <c r="AF592" s="486"/>
      <c r="AG592" s="487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85"/>
      <c r="AE593" s="486"/>
      <c r="AF593" s="486"/>
      <c r="AG593" s="487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85"/>
      <c r="AE594" s="486"/>
      <c r="AF594" s="486"/>
      <c r="AG594" s="487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85"/>
      <c r="AE595" s="486"/>
      <c r="AF595" s="486"/>
      <c r="AG595" s="487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85"/>
      <c r="AE596" s="486"/>
      <c r="AF596" s="486"/>
      <c r="AG596" s="487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85"/>
      <c r="AE597" s="486"/>
      <c r="AF597" s="486"/>
      <c r="AG597" s="487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85"/>
      <c r="AE598" s="486"/>
      <c r="AF598" s="486"/>
      <c r="AG598" s="487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85"/>
      <c r="AE599" s="486"/>
      <c r="AF599" s="486"/>
      <c r="AG599" s="487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85"/>
      <c r="AE600" s="486"/>
      <c r="AF600" s="486"/>
      <c r="AG600" s="487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85"/>
      <c r="AE601" s="486"/>
      <c r="AF601" s="486"/>
      <c r="AG601" s="487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85"/>
      <c r="AE602" s="486"/>
      <c r="AF602" s="486"/>
      <c r="AG602" s="487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85"/>
      <c r="AE603" s="486"/>
      <c r="AF603" s="486"/>
      <c r="AG603" s="487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85"/>
      <c r="AE604" s="486"/>
      <c r="AF604" s="486"/>
      <c r="AG604" s="487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85"/>
      <c r="AE605" s="486"/>
      <c r="AF605" s="486"/>
      <c r="AG605" s="487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85"/>
      <c r="AE606" s="486"/>
      <c r="AF606" s="486"/>
      <c r="AG606" s="487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85"/>
      <c r="AE607" s="486"/>
      <c r="AF607" s="486"/>
      <c r="AG607" s="487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85"/>
      <c r="AE608" s="486"/>
      <c r="AF608" s="486"/>
      <c r="AG608" s="487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85"/>
      <c r="AE609" s="486"/>
      <c r="AF609" s="486"/>
      <c r="AG609" s="487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85"/>
      <c r="AE610" s="486"/>
      <c r="AF610" s="486"/>
      <c r="AG610" s="487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85"/>
      <c r="AE611" s="486"/>
      <c r="AF611" s="486"/>
      <c r="AG611" s="487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85"/>
      <c r="AE612" s="486"/>
      <c r="AF612" s="486"/>
      <c r="AG612" s="487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85"/>
      <c r="AE613" s="486"/>
      <c r="AF613" s="486"/>
      <c r="AG613" s="487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85"/>
      <c r="AE614" s="486"/>
      <c r="AF614" s="486"/>
      <c r="AG614" s="487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85"/>
      <c r="AE615" s="486"/>
      <c r="AF615" s="486"/>
      <c r="AG615" s="487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85"/>
      <c r="AE616" s="486"/>
      <c r="AF616" s="486"/>
      <c r="AG616" s="487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85"/>
      <c r="AE617" s="486"/>
      <c r="AF617" s="486"/>
      <c r="AG617" s="487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85"/>
      <c r="AE618" s="486"/>
      <c r="AF618" s="486"/>
      <c r="AG618" s="487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85"/>
      <c r="AE619" s="486"/>
      <c r="AF619" s="486"/>
      <c r="AG619" s="487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85"/>
      <c r="AE620" s="486"/>
      <c r="AF620" s="486"/>
      <c r="AG620" s="487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85"/>
      <c r="AE621" s="486"/>
      <c r="AF621" s="486"/>
      <c r="AG621" s="487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85"/>
      <c r="AE622" s="486"/>
      <c r="AF622" s="486"/>
      <c r="AG622" s="487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85"/>
      <c r="AE623" s="486"/>
      <c r="AF623" s="486"/>
      <c r="AG623" s="487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85"/>
      <c r="AE624" s="486"/>
      <c r="AF624" s="486"/>
      <c r="AG624" s="487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85"/>
      <c r="AE625" s="486"/>
      <c r="AF625" s="486"/>
      <c r="AG625" s="487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85"/>
      <c r="AE626" s="486"/>
      <c r="AF626" s="486"/>
      <c r="AG626" s="487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85"/>
      <c r="AE627" s="486"/>
      <c r="AF627" s="486"/>
      <c r="AG627" s="487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85"/>
      <c r="AE628" s="486"/>
      <c r="AF628" s="486"/>
      <c r="AG628" s="487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85"/>
      <c r="AE629" s="486"/>
      <c r="AF629" s="486"/>
      <c r="AG629" s="487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85"/>
      <c r="AE630" s="486"/>
      <c r="AF630" s="486"/>
      <c r="AG630" s="487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85"/>
      <c r="AE631" s="486"/>
      <c r="AF631" s="486"/>
      <c r="AG631" s="487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85"/>
      <c r="AE632" s="486"/>
      <c r="AF632" s="486"/>
      <c r="AG632" s="487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85"/>
      <c r="AE633" s="486"/>
      <c r="AF633" s="486"/>
      <c r="AG633" s="487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85"/>
      <c r="AE634" s="486"/>
      <c r="AF634" s="486"/>
      <c r="AG634" s="487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85"/>
      <c r="AE635" s="486"/>
      <c r="AF635" s="486"/>
      <c r="AG635" s="487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85"/>
      <c r="AE636" s="486"/>
      <c r="AF636" s="486"/>
      <c r="AG636" s="487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85"/>
      <c r="AE637" s="486"/>
      <c r="AF637" s="486"/>
      <c r="AG637" s="487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85"/>
      <c r="AE638" s="486"/>
      <c r="AF638" s="486"/>
      <c r="AG638" s="487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85"/>
      <c r="AE639" s="486"/>
      <c r="AF639" s="486"/>
      <c r="AG639" s="487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85"/>
      <c r="AE640" s="486"/>
      <c r="AF640" s="486"/>
      <c r="AG640" s="487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85"/>
      <c r="AE641" s="486"/>
      <c r="AF641" s="486"/>
      <c r="AG641" s="487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85"/>
      <c r="AE642" s="486"/>
      <c r="AF642" s="486"/>
      <c r="AG642" s="487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85"/>
      <c r="AE643" s="486"/>
      <c r="AF643" s="486"/>
      <c r="AG643" s="487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85"/>
      <c r="AE644" s="486"/>
      <c r="AF644" s="486"/>
      <c r="AG644" s="487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85"/>
      <c r="AE645" s="486"/>
      <c r="AF645" s="486"/>
      <c r="AG645" s="487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85"/>
      <c r="AE646" s="486"/>
      <c r="AF646" s="486"/>
      <c r="AG646" s="487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85"/>
      <c r="AE647" s="486"/>
      <c r="AF647" s="486"/>
      <c r="AG647" s="487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85"/>
      <c r="AE648" s="486"/>
      <c r="AF648" s="486"/>
      <c r="AG648" s="487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85"/>
      <c r="AE649" s="486"/>
      <c r="AF649" s="486"/>
      <c r="AG649" s="487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85"/>
      <c r="AE650" s="486"/>
      <c r="AF650" s="486"/>
      <c r="AG650" s="487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85"/>
      <c r="AE651" s="486"/>
      <c r="AF651" s="486"/>
      <c r="AG651" s="487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85"/>
      <c r="AE652" s="486"/>
      <c r="AF652" s="486"/>
      <c r="AG652" s="487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85"/>
      <c r="AE653" s="486"/>
      <c r="AF653" s="486"/>
      <c r="AG653" s="487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85"/>
      <c r="AE654" s="486"/>
      <c r="AF654" s="486"/>
      <c r="AG654" s="487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85"/>
      <c r="AE655" s="486"/>
      <c r="AF655" s="486"/>
      <c r="AG655" s="487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85"/>
      <c r="AE656" s="486"/>
      <c r="AF656" s="486"/>
      <c r="AG656" s="487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85"/>
      <c r="AE657" s="486"/>
      <c r="AF657" s="486"/>
      <c r="AG657" s="487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85"/>
      <c r="AE658" s="486"/>
      <c r="AF658" s="486"/>
      <c r="AG658" s="487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85"/>
      <c r="AE659" s="486"/>
      <c r="AF659" s="486"/>
      <c r="AG659" s="487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85"/>
      <c r="AE660" s="486"/>
      <c r="AF660" s="486"/>
      <c r="AG660" s="487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85"/>
      <c r="AE661" s="486"/>
      <c r="AF661" s="486"/>
      <c r="AG661" s="487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85"/>
      <c r="AE662" s="486"/>
      <c r="AF662" s="486"/>
      <c r="AG662" s="487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85"/>
      <c r="AE663" s="486"/>
      <c r="AF663" s="486"/>
      <c r="AG663" s="487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85"/>
      <c r="AE664" s="486"/>
      <c r="AF664" s="486"/>
      <c r="AG664" s="487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85"/>
      <c r="AE665" s="486"/>
      <c r="AF665" s="486"/>
      <c r="AG665" s="487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85"/>
      <c r="AE666" s="486"/>
      <c r="AF666" s="486"/>
      <c r="AG666" s="487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85"/>
      <c r="AE667" s="486"/>
      <c r="AF667" s="486"/>
      <c r="AG667" s="487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85"/>
      <c r="AE668" s="486"/>
      <c r="AF668" s="486"/>
      <c r="AG668" s="487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85"/>
      <c r="AE669" s="486"/>
      <c r="AF669" s="486"/>
      <c r="AG669" s="487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85"/>
      <c r="AE670" s="486"/>
      <c r="AF670" s="486"/>
      <c r="AG670" s="487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85"/>
      <c r="AE671" s="486"/>
      <c r="AF671" s="486"/>
      <c r="AG671" s="487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85"/>
      <c r="AE672" s="486"/>
      <c r="AF672" s="486"/>
      <c r="AG672" s="487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85"/>
      <c r="AE673" s="486"/>
      <c r="AF673" s="486"/>
      <c r="AG673" s="487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85"/>
      <c r="AE674" s="486"/>
      <c r="AF674" s="486"/>
      <c r="AG674" s="487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85"/>
      <c r="AE675" s="486"/>
      <c r="AF675" s="486"/>
      <c r="AG675" s="487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85"/>
      <c r="AE676" s="486"/>
      <c r="AF676" s="486"/>
      <c r="AG676" s="487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85"/>
      <c r="AE677" s="486"/>
      <c r="AF677" s="486"/>
      <c r="AG677" s="487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85"/>
      <c r="AE678" s="486"/>
      <c r="AF678" s="486"/>
      <c r="AG678" s="487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85"/>
      <c r="AE679" s="486"/>
      <c r="AF679" s="486"/>
      <c r="AG679" s="487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85"/>
      <c r="AE680" s="486"/>
      <c r="AF680" s="486"/>
      <c r="AG680" s="487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85"/>
      <c r="AE681" s="486"/>
      <c r="AF681" s="486"/>
      <c r="AG681" s="487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85"/>
      <c r="AE682" s="486"/>
      <c r="AF682" s="486"/>
      <c r="AG682" s="487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85"/>
      <c r="AE683" s="486"/>
      <c r="AF683" s="486"/>
      <c r="AG683" s="487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85"/>
      <c r="AE684" s="486"/>
      <c r="AF684" s="486"/>
      <c r="AG684" s="487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85"/>
      <c r="AE685" s="486"/>
      <c r="AF685" s="486"/>
      <c r="AG685" s="487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85"/>
      <c r="AE686" s="486"/>
      <c r="AF686" s="486"/>
      <c r="AG686" s="487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85"/>
      <c r="AE687" s="486"/>
      <c r="AF687" s="486"/>
      <c r="AG687" s="487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85"/>
      <c r="AE688" s="486"/>
      <c r="AF688" s="486"/>
      <c r="AG688" s="487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85"/>
      <c r="AE689" s="486"/>
      <c r="AF689" s="486"/>
      <c r="AG689" s="487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85"/>
      <c r="AE690" s="486"/>
      <c r="AF690" s="486"/>
      <c r="AG690" s="487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85"/>
      <c r="AE691" s="486"/>
      <c r="AF691" s="486"/>
      <c r="AG691" s="487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85"/>
      <c r="AE692" s="486"/>
      <c r="AF692" s="486"/>
      <c r="AG692" s="487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85"/>
      <c r="AE693" s="486"/>
      <c r="AF693" s="486"/>
      <c r="AG693" s="487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85"/>
      <c r="AE694" s="486"/>
      <c r="AF694" s="486"/>
      <c r="AG694" s="487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85"/>
      <c r="AE695" s="486"/>
      <c r="AF695" s="486"/>
      <c r="AG695" s="487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85"/>
      <c r="AE696" s="486"/>
      <c r="AF696" s="486"/>
      <c r="AG696" s="487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85"/>
      <c r="AE697" s="486"/>
      <c r="AF697" s="486"/>
      <c r="AG697" s="487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85"/>
      <c r="AE698" s="486"/>
      <c r="AF698" s="486"/>
      <c r="AG698" s="487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85"/>
      <c r="AE699" s="486"/>
      <c r="AF699" s="486"/>
      <c r="AG699" s="487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85"/>
      <c r="AE700" s="486"/>
      <c r="AF700" s="486"/>
      <c r="AG700" s="487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85"/>
      <c r="AE701" s="486"/>
      <c r="AF701" s="486"/>
      <c r="AG701" s="487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85"/>
      <c r="AE702" s="486"/>
      <c r="AF702" s="486"/>
      <c r="AG702" s="487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85"/>
      <c r="AE703" s="486"/>
      <c r="AF703" s="486"/>
      <c r="AG703" s="487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85"/>
      <c r="AE704" s="486"/>
      <c r="AF704" s="486"/>
      <c r="AG704" s="487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85"/>
      <c r="AE705" s="486"/>
      <c r="AF705" s="486"/>
      <c r="AG705" s="487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85"/>
      <c r="AE706" s="486"/>
      <c r="AF706" s="486"/>
      <c r="AG706" s="487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85"/>
      <c r="AE707" s="486"/>
      <c r="AF707" s="486"/>
      <c r="AG707" s="487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85"/>
      <c r="AE708" s="486"/>
      <c r="AF708" s="486"/>
      <c r="AG708" s="487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85"/>
      <c r="AE709" s="486"/>
      <c r="AF709" s="486"/>
      <c r="AG709" s="487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85"/>
      <c r="AE710" s="486"/>
      <c r="AF710" s="486"/>
      <c r="AG710" s="487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85"/>
      <c r="AE711" s="486"/>
      <c r="AF711" s="486"/>
      <c r="AG711" s="487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85"/>
      <c r="AE712" s="486"/>
      <c r="AF712" s="486"/>
      <c r="AG712" s="487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85"/>
      <c r="AE713" s="486"/>
      <c r="AF713" s="486"/>
      <c r="AG713" s="487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85"/>
      <c r="AE714" s="486"/>
      <c r="AF714" s="486"/>
      <c r="AG714" s="487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85"/>
      <c r="AE715" s="486"/>
      <c r="AF715" s="486"/>
      <c r="AG715" s="487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85"/>
      <c r="AE716" s="486"/>
      <c r="AF716" s="486"/>
      <c r="AG716" s="487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85"/>
      <c r="AE717" s="486"/>
      <c r="AF717" s="486"/>
      <c r="AG717" s="487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85"/>
      <c r="AE718" s="486"/>
      <c r="AF718" s="486"/>
      <c r="AG718" s="487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85"/>
      <c r="AE719" s="486"/>
      <c r="AF719" s="486"/>
      <c r="AG719" s="487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85"/>
      <c r="AE720" s="486"/>
      <c r="AF720" s="486"/>
      <c r="AG720" s="487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85"/>
      <c r="AE721" s="486"/>
      <c r="AF721" s="486"/>
      <c r="AG721" s="487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85"/>
      <c r="AE722" s="486"/>
      <c r="AF722" s="486"/>
      <c r="AG722" s="487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85"/>
      <c r="AE723" s="486"/>
      <c r="AF723" s="486"/>
      <c r="AG723" s="487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85"/>
      <c r="AE724" s="486"/>
      <c r="AF724" s="486"/>
      <c r="AG724" s="487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85"/>
      <c r="AE725" s="486"/>
      <c r="AF725" s="486"/>
      <c r="AG725" s="487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85"/>
      <c r="AE726" s="486"/>
      <c r="AF726" s="486"/>
      <c r="AG726" s="487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85"/>
      <c r="AE727" s="486"/>
      <c r="AF727" s="486"/>
      <c r="AG727" s="487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85"/>
      <c r="AE728" s="486"/>
      <c r="AF728" s="486"/>
      <c r="AG728" s="487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85"/>
      <c r="AE729" s="486"/>
      <c r="AF729" s="486"/>
      <c r="AG729" s="487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85"/>
      <c r="AE730" s="486"/>
      <c r="AF730" s="486"/>
      <c r="AG730" s="487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85"/>
      <c r="AE731" s="486"/>
      <c r="AF731" s="486"/>
      <c r="AG731" s="487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85"/>
      <c r="AE732" s="486"/>
      <c r="AF732" s="486"/>
      <c r="AG732" s="487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85"/>
      <c r="AE733" s="486"/>
      <c r="AF733" s="486"/>
      <c r="AG733" s="487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85"/>
      <c r="AE734" s="486"/>
      <c r="AF734" s="486"/>
      <c r="AG734" s="487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85"/>
      <c r="AE735" s="486"/>
      <c r="AF735" s="486"/>
      <c r="AG735" s="487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85"/>
      <c r="AE736" s="486"/>
      <c r="AF736" s="486"/>
      <c r="AG736" s="487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85"/>
      <c r="AE737" s="486"/>
      <c r="AF737" s="486"/>
      <c r="AG737" s="487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85"/>
      <c r="AE738" s="486"/>
      <c r="AF738" s="486"/>
      <c r="AG738" s="487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85"/>
      <c r="AE739" s="486"/>
      <c r="AF739" s="486"/>
      <c r="AG739" s="487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85"/>
      <c r="AE740" s="486"/>
      <c r="AF740" s="486"/>
      <c r="AG740" s="487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85"/>
      <c r="AE741" s="486"/>
      <c r="AF741" s="486"/>
      <c r="AG741" s="487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85"/>
      <c r="AE742" s="486"/>
      <c r="AF742" s="486"/>
      <c r="AG742" s="487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85"/>
      <c r="AE743" s="486"/>
      <c r="AF743" s="486"/>
      <c r="AG743" s="487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85"/>
      <c r="AE744" s="486"/>
      <c r="AF744" s="486"/>
      <c r="AG744" s="487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85"/>
      <c r="AE745" s="486"/>
      <c r="AF745" s="486"/>
      <c r="AG745" s="487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85"/>
      <c r="AE746" s="486"/>
      <c r="AF746" s="486"/>
      <c r="AG746" s="487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85"/>
      <c r="AE747" s="486"/>
      <c r="AF747" s="486"/>
      <c r="AG747" s="487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85"/>
      <c r="AE748" s="486"/>
      <c r="AF748" s="486"/>
      <c r="AG748" s="487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85"/>
      <c r="AE749" s="486"/>
      <c r="AF749" s="486"/>
      <c r="AG749" s="487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85"/>
      <c r="AE750" s="486"/>
      <c r="AF750" s="486"/>
      <c r="AG750" s="487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85"/>
      <c r="AE751" s="486"/>
      <c r="AF751" s="486"/>
      <c r="AG751" s="487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85"/>
      <c r="AE752" s="486"/>
      <c r="AF752" s="486"/>
      <c r="AG752" s="487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85"/>
      <c r="AE753" s="486"/>
      <c r="AF753" s="486"/>
      <c r="AG753" s="487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85"/>
      <c r="AE754" s="486"/>
      <c r="AF754" s="486"/>
      <c r="AG754" s="487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85"/>
      <c r="AE755" s="486"/>
      <c r="AF755" s="486"/>
      <c r="AG755" s="487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85"/>
      <c r="AE756" s="486"/>
      <c r="AF756" s="486"/>
      <c r="AG756" s="487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85"/>
      <c r="AE757" s="486"/>
      <c r="AF757" s="486"/>
      <c r="AG757" s="487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85"/>
      <c r="AE758" s="486"/>
      <c r="AF758" s="486"/>
      <c r="AG758" s="487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85"/>
      <c r="AE759" s="486"/>
      <c r="AF759" s="486"/>
      <c r="AG759" s="487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85"/>
      <c r="AE760" s="486"/>
      <c r="AF760" s="486"/>
      <c r="AG760" s="487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85"/>
      <c r="AE761" s="486"/>
      <c r="AF761" s="486"/>
      <c r="AG761" s="487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85"/>
      <c r="AE762" s="486"/>
      <c r="AF762" s="486"/>
      <c r="AG762" s="487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85"/>
      <c r="AE763" s="486"/>
      <c r="AF763" s="486"/>
      <c r="AG763" s="487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85"/>
      <c r="AE764" s="486"/>
      <c r="AF764" s="486"/>
      <c r="AG764" s="487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85"/>
      <c r="AE765" s="486"/>
      <c r="AF765" s="486"/>
      <c r="AG765" s="487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85"/>
      <c r="AE766" s="486"/>
      <c r="AF766" s="486"/>
      <c r="AG766" s="487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85"/>
      <c r="AE767" s="486"/>
      <c r="AF767" s="486"/>
      <c r="AG767" s="487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85"/>
      <c r="AE768" s="486"/>
      <c r="AF768" s="486"/>
      <c r="AG768" s="487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85"/>
      <c r="AE769" s="486"/>
      <c r="AF769" s="486"/>
      <c r="AG769" s="487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85"/>
      <c r="AE770" s="486"/>
      <c r="AF770" s="486"/>
      <c r="AG770" s="487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85"/>
      <c r="AE771" s="486"/>
      <c r="AF771" s="486"/>
      <c r="AG771" s="487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85"/>
      <c r="AE772" s="486"/>
      <c r="AF772" s="486"/>
      <c r="AG772" s="487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85"/>
      <c r="AE773" s="486"/>
      <c r="AF773" s="486"/>
      <c r="AG773" s="487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85"/>
      <c r="AE774" s="486"/>
      <c r="AF774" s="486"/>
      <c r="AG774" s="487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85"/>
      <c r="AE775" s="486"/>
      <c r="AF775" s="486"/>
      <c r="AG775" s="487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85"/>
      <c r="AE776" s="486"/>
      <c r="AF776" s="486"/>
      <c r="AG776" s="487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85"/>
      <c r="AE777" s="486"/>
      <c r="AF777" s="486"/>
      <c r="AG777" s="487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85"/>
      <c r="AE778" s="486"/>
      <c r="AF778" s="486"/>
      <c r="AG778" s="487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85"/>
      <c r="AE779" s="486"/>
      <c r="AF779" s="486"/>
      <c r="AG779" s="487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85"/>
      <c r="AE780" s="486"/>
      <c r="AF780" s="486"/>
      <c r="AG780" s="487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85"/>
      <c r="AE781" s="486"/>
      <c r="AF781" s="486"/>
      <c r="AG781" s="487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85"/>
      <c r="AE782" s="486"/>
      <c r="AF782" s="486"/>
      <c r="AG782" s="487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85"/>
      <c r="AE783" s="486"/>
      <c r="AF783" s="486"/>
      <c r="AG783" s="487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85"/>
      <c r="AE784" s="486"/>
      <c r="AF784" s="486"/>
      <c r="AG784" s="487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85"/>
      <c r="AE785" s="486"/>
      <c r="AF785" s="486"/>
      <c r="AG785" s="487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85"/>
      <c r="AE786" s="486"/>
      <c r="AF786" s="486"/>
      <c r="AG786" s="487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85"/>
      <c r="AE787" s="486"/>
      <c r="AF787" s="486"/>
      <c r="AG787" s="487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85"/>
      <c r="AE788" s="486"/>
      <c r="AF788" s="486"/>
      <c r="AG788" s="487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85"/>
      <c r="AE789" s="486"/>
      <c r="AF789" s="486"/>
      <c r="AG789" s="487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85"/>
      <c r="AE790" s="486"/>
      <c r="AF790" s="486"/>
      <c r="AG790" s="487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85"/>
      <c r="AE791" s="486"/>
      <c r="AF791" s="486"/>
      <c r="AG791" s="487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85"/>
      <c r="AE792" s="486"/>
      <c r="AF792" s="486"/>
      <c r="AG792" s="487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85"/>
      <c r="AE793" s="486"/>
      <c r="AF793" s="486"/>
      <c r="AG793" s="487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85"/>
      <c r="AE794" s="486"/>
      <c r="AF794" s="486"/>
      <c r="AG794" s="487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85"/>
      <c r="AE795" s="486"/>
      <c r="AF795" s="486"/>
      <c r="AG795" s="487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85"/>
      <c r="AE796" s="486"/>
      <c r="AF796" s="486"/>
      <c r="AG796" s="487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85"/>
      <c r="AE797" s="486"/>
      <c r="AF797" s="486"/>
      <c r="AG797" s="487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85"/>
      <c r="AE798" s="486"/>
      <c r="AF798" s="486"/>
      <c r="AG798" s="487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85"/>
      <c r="AE799" s="486"/>
      <c r="AF799" s="486"/>
      <c r="AG799" s="487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85"/>
      <c r="AE800" s="486"/>
      <c r="AF800" s="486"/>
      <c r="AG800" s="487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85"/>
      <c r="AE801" s="486"/>
      <c r="AF801" s="486"/>
      <c r="AG801" s="487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85"/>
      <c r="AE802" s="486"/>
      <c r="AF802" s="486"/>
      <c r="AG802" s="487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85"/>
      <c r="AE803" s="486"/>
      <c r="AF803" s="486"/>
      <c r="AG803" s="487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85"/>
      <c r="AE804" s="486"/>
      <c r="AF804" s="486"/>
      <c r="AG804" s="487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85"/>
      <c r="AE805" s="486"/>
      <c r="AF805" s="486"/>
      <c r="AG805" s="487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85"/>
      <c r="AE806" s="486"/>
      <c r="AF806" s="486"/>
      <c r="AG806" s="487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85"/>
      <c r="AE807" s="486"/>
      <c r="AF807" s="486"/>
      <c r="AG807" s="487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85"/>
      <c r="AE808" s="486"/>
      <c r="AF808" s="486"/>
      <c r="AG808" s="487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85"/>
      <c r="AE809" s="486"/>
      <c r="AF809" s="486"/>
      <c r="AG809" s="487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85"/>
      <c r="AE810" s="486"/>
      <c r="AF810" s="486"/>
      <c r="AG810" s="487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85"/>
      <c r="AE811" s="486"/>
      <c r="AF811" s="486"/>
      <c r="AG811" s="487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85"/>
      <c r="AE812" s="486"/>
      <c r="AF812" s="486"/>
      <c r="AG812" s="487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85"/>
      <c r="AE813" s="486"/>
      <c r="AF813" s="486"/>
      <c r="AG813" s="487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85"/>
      <c r="AE814" s="486"/>
      <c r="AF814" s="486"/>
      <c r="AG814" s="487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85"/>
      <c r="AE815" s="486"/>
      <c r="AF815" s="486"/>
      <c r="AG815" s="487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85"/>
      <c r="AE816" s="486"/>
      <c r="AF816" s="486"/>
      <c r="AG816" s="487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85"/>
      <c r="AE817" s="486"/>
      <c r="AF817" s="486"/>
      <c r="AG817" s="487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85"/>
      <c r="AE818" s="486"/>
      <c r="AF818" s="486"/>
      <c r="AG818" s="487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85"/>
      <c r="AE819" s="486"/>
      <c r="AF819" s="486"/>
      <c r="AG819" s="487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85"/>
      <c r="AE820" s="486"/>
      <c r="AF820" s="486"/>
      <c r="AG820" s="487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85"/>
      <c r="AE821" s="486"/>
      <c r="AF821" s="486"/>
      <c r="AG821" s="487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85"/>
      <c r="AE822" s="486"/>
      <c r="AF822" s="486"/>
      <c r="AG822" s="487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85"/>
      <c r="AE823" s="486"/>
      <c r="AF823" s="486"/>
      <c r="AG823" s="487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85"/>
      <c r="AE824" s="486"/>
      <c r="AF824" s="486"/>
      <c r="AG824" s="487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85"/>
      <c r="AE825" s="486"/>
      <c r="AF825" s="486"/>
      <c r="AG825" s="487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85"/>
      <c r="AE826" s="486"/>
      <c r="AF826" s="486"/>
      <c r="AG826" s="487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85"/>
      <c r="AE827" s="486"/>
      <c r="AF827" s="486"/>
      <c r="AG827" s="487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85"/>
      <c r="AE828" s="486"/>
      <c r="AF828" s="486"/>
      <c r="AG828" s="487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85"/>
      <c r="AE829" s="486"/>
      <c r="AF829" s="486"/>
      <c r="AG829" s="487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85"/>
      <c r="AE830" s="486"/>
      <c r="AF830" s="486"/>
      <c r="AG830" s="487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85"/>
      <c r="AE831" s="486"/>
      <c r="AF831" s="486"/>
      <c r="AG831" s="487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85"/>
      <c r="AE832" s="486"/>
      <c r="AF832" s="486"/>
      <c r="AG832" s="487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85"/>
      <c r="AE833" s="486"/>
      <c r="AF833" s="486"/>
      <c r="AG833" s="487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85"/>
      <c r="AE834" s="486"/>
      <c r="AF834" s="486"/>
      <c r="AG834" s="487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85"/>
      <c r="AE835" s="486"/>
      <c r="AF835" s="486"/>
      <c r="AG835" s="487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85"/>
      <c r="AE836" s="486"/>
      <c r="AF836" s="486"/>
      <c r="AG836" s="487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85"/>
      <c r="AE837" s="486"/>
      <c r="AF837" s="486"/>
      <c r="AG837" s="487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85"/>
      <c r="AE838" s="486"/>
      <c r="AF838" s="486"/>
      <c r="AG838" s="487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85"/>
      <c r="AE839" s="486"/>
      <c r="AF839" s="486"/>
      <c r="AG839" s="487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85"/>
      <c r="AE840" s="486"/>
      <c r="AF840" s="486"/>
      <c r="AG840" s="487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85"/>
      <c r="AE841" s="486"/>
      <c r="AF841" s="486"/>
      <c r="AG841" s="487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85"/>
      <c r="AE842" s="486"/>
      <c r="AF842" s="486"/>
      <c r="AG842" s="487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85"/>
      <c r="AE843" s="486"/>
      <c r="AF843" s="486"/>
      <c r="AG843" s="487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85"/>
      <c r="AE844" s="486"/>
      <c r="AF844" s="486"/>
      <c r="AG844" s="487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85"/>
      <c r="AE845" s="486"/>
      <c r="AF845" s="486"/>
      <c r="AG845" s="487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85"/>
      <c r="AE846" s="486"/>
      <c r="AF846" s="486"/>
      <c r="AG846" s="487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85"/>
      <c r="AE847" s="486"/>
      <c r="AF847" s="486"/>
      <c r="AG847" s="487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85"/>
      <c r="AE848" s="486"/>
      <c r="AF848" s="486"/>
      <c r="AG848" s="487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85"/>
      <c r="AE849" s="486"/>
      <c r="AF849" s="486"/>
      <c r="AG849" s="487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85"/>
      <c r="AE850" s="486"/>
      <c r="AF850" s="486"/>
      <c r="AG850" s="487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85"/>
      <c r="AE851" s="486"/>
      <c r="AF851" s="486"/>
      <c r="AG851" s="487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85"/>
      <c r="AE852" s="486"/>
      <c r="AF852" s="486"/>
      <c r="AG852" s="487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85"/>
      <c r="AE853" s="486"/>
      <c r="AF853" s="486"/>
      <c r="AG853" s="487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85"/>
      <c r="AE854" s="486"/>
      <c r="AF854" s="486"/>
      <c r="AG854" s="487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85"/>
      <c r="AE855" s="486"/>
      <c r="AF855" s="486"/>
      <c r="AG855" s="487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85"/>
      <c r="AE856" s="486"/>
      <c r="AF856" s="486"/>
      <c r="AG856" s="487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85"/>
      <c r="AE857" s="486"/>
      <c r="AF857" s="486"/>
      <c r="AG857" s="487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85"/>
      <c r="AE858" s="486"/>
      <c r="AF858" s="486"/>
      <c r="AG858" s="487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85"/>
      <c r="AE859" s="486"/>
      <c r="AF859" s="486"/>
      <c r="AG859" s="487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85"/>
      <c r="AE860" s="486"/>
      <c r="AF860" s="486"/>
      <c r="AG860" s="487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85"/>
      <c r="AE861" s="486"/>
      <c r="AF861" s="486"/>
      <c r="AG861" s="487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85"/>
      <c r="AE862" s="486"/>
      <c r="AF862" s="486"/>
      <c r="AG862" s="487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85"/>
      <c r="AE863" s="486"/>
      <c r="AF863" s="486"/>
      <c r="AG863" s="487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85"/>
      <c r="AE864" s="486"/>
      <c r="AF864" s="486"/>
      <c r="AG864" s="487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85"/>
      <c r="AE865" s="486"/>
      <c r="AF865" s="486"/>
      <c r="AG865" s="487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85"/>
      <c r="AE866" s="486"/>
      <c r="AF866" s="486"/>
      <c r="AG866" s="487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85"/>
      <c r="AE867" s="486"/>
      <c r="AF867" s="486"/>
      <c r="AG867" s="487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85"/>
      <c r="AE868" s="486"/>
      <c r="AF868" s="486"/>
      <c r="AG868" s="487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85"/>
      <c r="AE869" s="486"/>
      <c r="AF869" s="486"/>
      <c r="AG869" s="487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85"/>
      <c r="AE870" s="486"/>
      <c r="AF870" s="486"/>
      <c r="AG870" s="487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85"/>
      <c r="AE871" s="486"/>
      <c r="AF871" s="486"/>
      <c r="AG871" s="487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85"/>
      <c r="AE872" s="486"/>
      <c r="AF872" s="486"/>
      <c r="AG872" s="487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85"/>
      <c r="AE873" s="486"/>
      <c r="AF873" s="486"/>
      <c r="AG873" s="487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85"/>
      <c r="AE874" s="486"/>
      <c r="AF874" s="486"/>
      <c r="AG874" s="487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85"/>
      <c r="AE875" s="486"/>
      <c r="AF875" s="486"/>
      <c r="AG875" s="487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85"/>
      <c r="AE876" s="486"/>
      <c r="AF876" s="486"/>
      <c r="AG876" s="487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85"/>
      <c r="AE877" s="486"/>
      <c r="AF877" s="486"/>
      <c r="AG877" s="487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85"/>
      <c r="AE878" s="486"/>
      <c r="AF878" s="486"/>
      <c r="AG878" s="487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85"/>
      <c r="AE879" s="486"/>
      <c r="AF879" s="486"/>
      <c r="AG879" s="487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85"/>
      <c r="AE880" s="486"/>
      <c r="AF880" s="486"/>
      <c r="AG880" s="487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85"/>
      <c r="AE881" s="486"/>
      <c r="AF881" s="486"/>
      <c r="AG881" s="487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85"/>
      <c r="AE882" s="486"/>
      <c r="AF882" s="486"/>
      <c r="AG882" s="487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85"/>
      <c r="AE883" s="486"/>
      <c r="AF883" s="486"/>
      <c r="AG883" s="487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85"/>
      <c r="AE884" s="486"/>
      <c r="AF884" s="486"/>
      <c r="AG884" s="487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85"/>
      <c r="AE885" s="486"/>
      <c r="AF885" s="486"/>
      <c r="AG885" s="487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85"/>
      <c r="AE886" s="486"/>
      <c r="AF886" s="486"/>
      <c r="AG886" s="487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85"/>
      <c r="AE887" s="486"/>
      <c r="AF887" s="486"/>
      <c r="AG887" s="487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85"/>
      <c r="AE888" s="486"/>
      <c r="AF888" s="486"/>
      <c r="AG888" s="487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85"/>
      <c r="AE889" s="486"/>
      <c r="AF889" s="486"/>
      <c r="AG889" s="487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85"/>
      <c r="AE890" s="486"/>
      <c r="AF890" s="486"/>
      <c r="AG890" s="487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85"/>
      <c r="AE891" s="486"/>
      <c r="AF891" s="486"/>
      <c r="AG891" s="487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85"/>
      <c r="AE892" s="486"/>
      <c r="AF892" s="486"/>
      <c r="AG892" s="487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85"/>
      <c r="AE893" s="486"/>
      <c r="AF893" s="486"/>
      <c r="AG893" s="487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85"/>
      <c r="AE894" s="486"/>
      <c r="AF894" s="486"/>
      <c r="AG894" s="487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85"/>
      <c r="AE895" s="486"/>
      <c r="AF895" s="486"/>
      <c r="AG895" s="487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85"/>
      <c r="AE896" s="486"/>
      <c r="AF896" s="486"/>
      <c r="AG896" s="487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85"/>
      <c r="AE897" s="486"/>
      <c r="AF897" s="486"/>
      <c r="AG897" s="487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85"/>
      <c r="AE898" s="486"/>
      <c r="AF898" s="486"/>
      <c r="AG898" s="487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85"/>
      <c r="AE899" s="486"/>
      <c r="AF899" s="486"/>
      <c r="AG899" s="487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85"/>
      <c r="AE900" s="486"/>
      <c r="AF900" s="486"/>
      <c r="AG900" s="487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85"/>
      <c r="AE901" s="486"/>
      <c r="AF901" s="486"/>
      <c r="AG901" s="487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85"/>
      <c r="AE902" s="486"/>
      <c r="AF902" s="486"/>
      <c r="AG902" s="487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85"/>
      <c r="AE903" s="486"/>
      <c r="AF903" s="486"/>
      <c r="AG903" s="487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85"/>
      <c r="AE904" s="486"/>
      <c r="AF904" s="486"/>
      <c r="AG904" s="487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85"/>
      <c r="AE905" s="486"/>
      <c r="AF905" s="486"/>
      <c r="AG905" s="487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85"/>
      <c r="AE906" s="486"/>
      <c r="AF906" s="486"/>
      <c r="AG906" s="487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85"/>
      <c r="AE907" s="486"/>
      <c r="AF907" s="486"/>
      <c r="AG907" s="487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85"/>
      <c r="AE908" s="486"/>
      <c r="AF908" s="486"/>
      <c r="AG908" s="487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85"/>
      <c r="AE909" s="486"/>
      <c r="AF909" s="486"/>
      <c r="AG909" s="487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85"/>
      <c r="AE910" s="486"/>
      <c r="AF910" s="486"/>
      <c r="AG910" s="487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85"/>
      <c r="AE911" s="486"/>
      <c r="AF911" s="486"/>
      <c r="AG911" s="487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85"/>
      <c r="AE912" s="486"/>
      <c r="AF912" s="486"/>
      <c r="AG912" s="487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85"/>
      <c r="AE913" s="486"/>
      <c r="AF913" s="486"/>
      <c r="AG913" s="487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85"/>
      <c r="AE914" s="486"/>
      <c r="AF914" s="486"/>
      <c r="AG914" s="487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85"/>
      <c r="AE915" s="486"/>
      <c r="AF915" s="486"/>
      <c r="AG915" s="487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85"/>
      <c r="AE916" s="486"/>
      <c r="AF916" s="486"/>
      <c r="AG916" s="487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85"/>
      <c r="AE917" s="486"/>
      <c r="AF917" s="486"/>
      <c r="AG917" s="487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85"/>
      <c r="AE918" s="486"/>
      <c r="AF918" s="486"/>
      <c r="AG918" s="487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85"/>
      <c r="AE919" s="486"/>
      <c r="AF919" s="486"/>
      <c r="AG919" s="487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85"/>
      <c r="AE920" s="486"/>
      <c r="AF920" s="486"/>
      <c r="AG920" s="487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85"/>
      <c r="AE921" s="486"/>
      <c r="AF921" s="486"/>
      <c r="AG921" s="487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85"/>
      <c r="AE922" s="486"/>
      <c r="AF922" s="486"/>
      <c r="AG922" s="487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85"/>
      <c r="AE923" s="486"/>
      <c r="AF923" s="486"/>
      <c r="AG923" s="487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85"/>
      <c r="AE924" s="486"/>
      <c r="AF924" s="486"/>
      <c r="AG924" s="487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85"/>
      <c r="AE925" s="486"/>
      <c r="AF925" s="486"/>
      <c r="AG925" s="487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85"/>
      <c r="AE926" s="486"/>
      <c r="AF926" s="486"/>
      <c r="AG926" s="487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85"/>
      <c r="AE927" s="486"/>
      <c r="AF927" s="486"/>
      <c r="AG927" s="487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85"/>
      <c r="AE928" s="486"/>
      <c r="AF928" s="486"/>
      <c r="AG928" s="487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85"/>
      <c r="AE929" s="486"/>
      <c r="AF929" s="486"/>
      <c r="AG929" s="487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85"/>
      <c r="AE930" s="486"/>
      <c r="AF930" s="486"/>
      <c r="AG930" s="487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85"/>
      <c r="AE931" s="486"/>
      <c r="AF931" s="486"/>
      <c r="AG931" s="487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85"/>
      <c r="AE932" s="486"/>
      <c r="AF932" s="486"/>
      <c r="AG932" s="487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85"/>
      <c r="AE933" s="486"/>
      <c r="AF933" s="486"/>
      <c r="AG933" s="487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85"/>
      <c r="AE934" s="486"/>
      <c r="AF934" s="486"/>
      <c r="AG934" s="487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85"/>
      <c r="AE935" s="486"/>
      <c r="AF935" s="486"/>
      <c r="AG935" s="487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85"/>
      <c r="AE936" s="486"/>
      <c r="AF936" s="486"/>
      <c r="AG936" s="487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85"/>
      <c r="AE937" s="486"/>
      <c r="AF937" s="486"/>
      <c r="AG937" s="487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85"/>
      <c r="AE938" s="486"/>
      <c r="AF938" s="486"/>
      <c r="AG938" s="487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85"/>
      <c r="AE939" s="486"/>
      <c r="AF939" s="486"/>
      <c r="AG939" s="487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85"/>
      <c r="AE940" s="486"/>
      <c r="AF940" s="486"/>
      <c r="AG940" s="487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85"/>
      <c r="AE941" s="486"/>
      <c r="AF941" s="486"/>
      <c r="AG941" s="487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85"/>
      <c r="AE942" s="486"/>
      <c r="AF942" s="486"/>
      <c r="AG942" s="487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85"/>
      <c r="AE943" s="486"/>
      <c r="AF943" s="486"/>
      <c r="AG943" s="487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85"/>
      <c r="AE944" s="486"/>
      <c r="AF944" s="486"/>
      <c r="AG944" s="487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85"/>
      <c r="AE945" s="486"/>
      <c r="AF945" s="486"/>
      <c r="AG945" s="487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85"/>
      <c r="AE946" s="486"/>
      <c r="AF946" s="486"/>
      <c r="AG946" s="487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85"/>
      <c r="AE947" s="486"/>
      <c r="AF947" s="486"/>
      <c r="AG947" s="487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85"/>
      <c r="AE948" s="486"/>
      <c r="AF948" s="486"/>
      <c r="AG948" s="487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85"/>
      <c r="AE949" s="486"/>
      <c r="AF949" s="486"/>
      <c r="AG949" s="487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85"/>
      <c r="AE950" s="486"/>
      <c r="AF950" s="486"/>
      <c r="AG950" s="487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85"/>
      <c r="AE951" s="486"/>
      <c r="AF951" s="486"/>
      <c r="AG951" s="487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85"/>
      <c r="AE952" s="486"/>
      <c r="AF952" s="486"/>
      <c r="AG952" s="487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85"/>
      <c r="AE953" s="486"/>
      <c r="AF953" s="486"/>
      <c r="AG953" s="487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85"/>
      <c r="AE954" s="486"/>
      <c r="AF954" s="486"/>
      <c r="AG954" s="487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85"/>
      <c r="AE955" s="486"/>
      <c r="AF955" s="486"/>
      <c r="AG955" s="487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85"/>
      <c r="AE956" s="486"/>
      <c r="AF956" s="486"/>
      <c r="AG956" s="487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85"/>
      <c r="AE957" s="486"/>
      <c r="AF957" s="486"/>
      <c r="AG957" s="487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85"/>
      <c r="AE958" s="486"/>
      <c r="AF958" s="486"/>
      <c r="AG958" s="487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85"/>
      <c r="AE959" s="486"/>
      <c r="AF959" s="486"/>
      <c r="AG959" s="487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85"/>
      <c r="AE960" s="486"/>
      <c r="AF960" s="486"/>
      <c r="AG960" s="487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85"/>
      <c r="AE961" s="486"/>
      <c r="AF961" s="486"/>
      <c r="AG961" s="487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85"/>
      <c r="AE962" s="486"/>
      <c r="AF962" s="486"/>
      <c r="AG962" s="487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85"/>
      <c r="AE963" s="486"/>
      <c r="AF963" s="486"/>
      <c r="AG963" s="487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85"/>
      <c r="AE964" s="486"/>
      <c r="AF964" s="486"/>
      <c r="AG964" s="487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85"/>
      <c r="AE965" s="486"/>
      <c r="AF965" s="486"/>
      <c r="AG965" s="487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85"/>
      <c r="AE966" s="486"/>
      <c r="AF966" s="486"/>
      <c r="AG966" s="487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85"/>
      <c r="AE967" s="486"/>
      <c r="AF967" s="486"/>
      <c r="AG967" s="487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85"/>
      <c r="AE968" s="486"/>
      <c r="AF968" s="486"/>
      <c r="AG968" s="487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85"/>
      <c r="AE969" s="486"/>
      <c r="AF969" s="486"/>
      <c r="AG969" s="487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85"/>
      <c r="AE970" s="486"/>
      <c r="AF970" s="486"/>
      <c r="AG970" s="487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85"/>
      <c r="AE971" s="486"/>
      <c r="AF971" s="486"/>
      <c r="AG971" s="487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85"/>
      <c r="AE972" s="486"/>
      <c r="AF972" s="486"/>
      <c r="AG972" s="487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85"/>
      <c r="AE973" s="486"/>
      <c r="AF973" s="486"/>
      <c r="AG973" s="487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85"/>
      <c r="AE974" s="486"/>
      <c r="AF974" s="486"/>
      <c r="AG974" s="487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85"/>
      <c r="AE975" s="486"/>
      <c r="AF975" s="486"/>
      <c r="AG975" s="487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85"/>
      <c r="AE976" s="486"/>
      <c r="AF976" s="486"/>
      <c r="AG976" s="487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85"/>
      <c r="AE977" s="486"/>
      <c r="AF977" s="486"/>
      <c r="AG977" s="487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85"/>
      <c r="AE978" s="486"/>
      <c r="AF978" s="486"/>
      <c r="AG978" s="487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85"/>
      <c r="AE979" s="486"/>
      <c r="AF979" s="486"/>
      <c r="AG979" s="487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85"/>
      <c r="AE980" s="486"/>
      <c r="AF980" s="486"/>
      <c r="AG980" s="487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85"/>
      <c r="AE981" s="486"/>
      <c r="AF981" s="486"/>
      <c r="AG981" s="487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85"/>
      <c r="AE982" s="486"/>
      <c r="AF982" s="486"/>
      <c r="AG982" s="487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85"/>
      <c r="AE983" s="486"/>
      <c r="AF983" s="486"/>
      <c r="AG983" s="487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85"/>
      <c r="AE984" s="486"/>
      <c r="AF984" s="486"/>
      <c r="AG984" s="487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85"/>
      <c r="AE985" s="486"/>
      <c r="AF985" s="486"/>
      <c r="AG985" s="487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85"/>
      <c r="AE986" s="486"/>
      <c r="AF986" s="486"/>
      <c r="AG986" s="487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85"/>
      <c r="AE987" s="486"/>
      <c r="AF987" s="486"/>
      <c r="AG987" s="487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85"/>
      <c r="AE988" s="486"/>
      <c r="AF988" s="486"/>
      <c r="AG988" s="487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85"/>
      <c r="AE989" s="486"/>
      <c r="AF989" s="486"/>
      <c r="AG989" s="487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85"/>
      <c r="AE990" s="486"/>
      <c r="AF990" s="486"/>
      <c r="AG990" s="487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85"/>
      <c r="AE991" s="486"/>
      <c r="AF991" s="486"/>
      <c r="AG991" s="487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85"/>
      <c r="AE992" s="486"/>
      <c r="AF992" s="486"/>
      <c r="AG992" s="487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85"/>
      <c r="AE993" s="486"/>
      <c r="AF993" s="486"/>
      <c r="AG993" s="487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85"/>
      <c r="AE994" s="486"/>
      <c r="AF994" s="486"/>
      <c r="AG994" s="487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85"/>
      <c r="AE995" s="486"/>
      <c r="AF995" s="486"/>
      <c r="AG995" s="487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85"/>
      <c r="AE996" s="486"/>
      <c r="AF996" s="486"/>
      <c r="AG996" s="487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85"/>
      <c r="AE997" s="486"/>
      <c r="AF997" s="486"/>
      <c r="AG997" s="487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85"/>
      <c r="AE998" s="486"/>
      <c r="AF998" s="486"/>
      <c r="AG998" s="487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85"/>
      <c r="AE999" s="486"/>
      <c r="AF999" s="486"/>
      <c r="AG999" s="487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85"/>
      <c r="AE1000" s="486"/>
      <c r="AF1000" s="486"/>
      <c r="AG1000" s="487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5" t="s">
        <v>26</v>
      </c>
      <c r="B1" s="366"/>
      <c r="C1" s="362" t="str">
        <f ca="1">IF(ISBLANK(INDIRECT("Cover!D3")),"",INDIRECT("Cover!D3"))</f>
        <v>*</v>
      </c>
      <c r="D1" s="362"/>
      <c r="E1" s="362"/>
      <c r="F1" s="362"/>
      <c r="G1" s="362"/>
      <c r="H1" s="362"/>
      <c r="I1" s="362"/>
      <c r="J1" s="273" t="s">
        <v>19</v>
      </c>
      <c r="K1" s="353" t="str">
        <f ca="1">IF(ISBLANK(INDIRECT("Cover!O2")),"",INDIRECT("Cover!O2"))</f>
        <v>*</v>
      </c>
      <c r="L1" s="353"/>
      <c r="M1" s="354"/>
    </row>
    <row r="2" spans="1:13" ht="20.100000000000001" customHeight="1" thickBot="1" x14ac:dyDescent="0.25">
      <c r="A2" s="367" t="s">
        <v>27</v>
      </c>
      <c r="B2" s="368"/>
      <c r="C2" s="361" t="str">
        <f ca="1">IF(ISBLANK(INDIRECT("Cover!D4")),"",INDIRECT("Cover!D4"))</f>
        <v>*</v>
      </c>
      <c r="D2" s="361"/>
      <c r="E2" s="361"/>
      <c r="F2" s="361"/>
      <c r="G2" s="361"/>
      <c r="H2" s="361"/>
      <c r="I2" s="361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8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59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59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59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59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59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59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59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59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59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59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59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59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59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59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59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59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59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59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59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59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59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69"/>
      <c r="B25" s="370"/>
      <c r="C25" s="371"/>
      <c r="D25" s="372" t="s">
        <v>49</v>
      </c>
      <c r="E25" s="373"/>
      <c r="F25" s="1">
        <f>ROUNDUP(SUM(F4:F24)*1.02,-1)</f>
        <v>0</v>
      </c>
      <c r="G25" s="359"/>
      <c r="H25" s="369"/>
      <c r="I25" s="370"/>
      <c r="J25" s="371"/>
      <c r="K25" s="372" t="s">
        <v>49</v>
      </c>
      <c r="L25" s="373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59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59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59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59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59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59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59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59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59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59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59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59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59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59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59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59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59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59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59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59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59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69"/>
      <c r="B47" s="370"/>
      <c r="C47" s="371"/>
      <c r="D47" s="372" t="s">
        <v>49</v>
      </c>
      <c r="E47" s="373"/>
      <c r="F47" s="1">
        <f>ROUNDUP(SUM(F26:F46)*1.02,-1)</f>
        <v>0</v>
      </c>
      <c r="G47" s="359"/>
      <c r="H47" s="369"/>
      <c r="I47" s="370"/>
      <c r="J47" s="371"/>
      <c r="K47" s="372" t="s">
        <v>49</v>
      </c>
      <c r="L47" s="373"/>
      <c r="M47" s="1">
        <f>ROUNDUP(SUM(M26:M46)*1.02,-1)</f>
        <v>0</v>
      </c>
    </row>
    <row r="48" spans="1:13" ht="9.9499999999999993" customHeight="1" thickBot="1" x14ac:dyDescent="0.25">
      <c r="A48" s="355"/>
      <c r="B48" s="356"/>
      <c r="C48" s="356"/>
      <c r="D48" s="356"/>
      <c r="E48" s="356"/>
      <c r="F48" s="357"/>
      <c r="G48" s="359"/>
      <c r="H48" s="355"/>
      <c r="I48" s="356"/>
      <c r="J48" s="356"/>
      <c r="K48" s="356"/>
      <c r="L48" s="356"/>
      <c r="M48" s="357"/>
    </row>
    <row r="49" spans="1:13" ht="20.100000000000001" customHeight="1" thickBot="1" x14ac:dyDescent="0.3">
      <c r="A49" s="363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59"/>
      <c r="H49" s="363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4"/>
      <c r="B50" s="55"/>
      <c r="C50" s="3"/>
      <c r="D50" s="56"/>
      <c r="E50" s="57"/>
      <c r="F50" s="58" t="str">
        <f>IF(ISBLANK(D50),"",ROUNDUP((D50*E50)*0.5*1.02,-1))</f>
        <v/>
      </c>
      <c r="G50" s="360"/>
      <c r="H50" s="364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492" t="s">
        <v>91</v>
      </c>
      <c r="B1" s="492"/>
      <c r="C1" s="492"/>
      <c r="D1" s="492"/>
      <c r="E1" s="492"/>
      <c r="F1" s="492"/>
    </row>
    <row r="2" spans="1:6" ht="47.25" customHeight="1" x14ac:dyDescent="0.2">
      <c r="A2" s="492"/>
      <c r="B2" s="492"/>
      <c r="C2" s="492"/>
      <c r="D2" s="492"/>
      <c r="E2" s="492"/>
      <c r="F2" s="492"/>
    </row>
    <row r="3" spans="1:6" ht="18" customHeight="1" x14ac:dyDescent="0.2">
      <c r="A3" s="503" t="s">
        <v>119</v>
      </c>
      <c r="B3" s="503"/>
      <c r="C3" s="503"/>
      <c r="D3" s="211"/>
      <c r="E3" s="210" t="s">
        <v>92</v>
      </c>
      <c r="F3" s="212"/>
    </row>
    <row r="4" spans="1:6" ht="18" customHeight="1" x14ac:dyDescent="0.2">
      <c r="A4" s="503" t="s">
        <v>120</v>
      </c>
      <c r="B4" s="503"/>
      <c r="C4" s="503"/>
      <c r="D4" s="213"/>
      <c r="E4" s="210" t="s">
        <v>93</v>
      </c>
      <c r="F4" s="212"/>
    </row>
    <row r="5" spans="1:6" ht="18.75" customHeight="1" thickBot="1" x14ac:dyDescent="0.25">
      <c r="A5" s="500"/>
      <c r="B5" s="500"/>
      <c r="C5" s="500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97" t="s">
        <v>97</v>
      </c>
      <c r="E6" s="498"/>
      <c r="F6" s="499"/>
    </row>
    <row r="7" spans="1:6" ht="15" customHeight="1" thickTop="1" x14ac:dyDescent="0.2">
      <c r="A7" s="219"/>
      <c r="B7" s="220"/>
      <c r="C7" s="220"/>
      <c r="D7" s="504" t="s">
        <v>98</v>
      </c>
      <c r="E7" s="504"/>
      <c r="F7" s="505"/>
    </row>
    <row r="8" spans="1:6" ht="15" customHeight="1" x14ac:dyDescent="0.2">
      <c r="A8" s="221"/>
      <c r="B8" s="222"/>
      <c r="C8" s="222"/>
      <c r="D8" s="493" t="s">
        <v>99</v>
      </c>
      <c r="E8" s="493"/>
      <c r="F8" s="494"/>
    </row>
    <row r="9" spans="1:6" ht="15" customHeight="1" x14ac:dyDescent="0.2">
      <c r="A9" s="221"/>
      <c r="B9" s="222"/>
      <c r="C9" s="222"/>
      <c r="D9" s="493" t="s">
        <v>100</v>
      </c>
      <c r="E9" s="493"/>
      <c r="F9" s="494"/>
    </row>
    <row r="10" spans="1:6" ht="15" customHeight="1" x14ac:dyDescent="0.2">
      <c r="A10" s="221"/>
      <c r="B10" s="222"/>
      <c r="C10" s="222"/>
      <c r="D10" s="493" t="s">
        <v>101</v>
      </c>
      <c r="E10" s="493"/>
      <c r="F10" s="494"/>
    </row>
    <row r="11" spans="1:6" ht="15" customHeight="1" x14ac:dyDescent="0.2">
      <c r="A11" s="221"/>
      <c r="B11" s="222"/>
      <c r="C11" s="222"/>
      <c r="D11" s="493" t="s">
        <v>102</v>
      </c>
      <c r="E11" s="493"/>
      <c r="F11" s="494"/>
    </row>
    <row r="12" spans="1:6" ht="15" customHeight="1" x14ac:dyDescent="0.2">
      <c r="A12" s="221"/>
      <c r="B12" s="222"/>
      <c r="C12" s="222"/>
      <c r="D12" s="493" t="s">
        <v>103</v>
      </c>
      <c r="E12" s="493"/>
      <c r="F12" s="494"/>
    </row>
    <row r="13" spans="1:6" ht="15" customHeight="1" x14ac:dyDescent="0.2">
      <c r="A13" s="221"/>
      <c r="B13" s="222"/>
      <c r="C13" s="222"/>
      <c r="D13" s="493" t="s">
        <v>104</v>
      </c>
      <c r="E13" s="493"/>
      <c r="F13" s="494"/>
    </row>
    <row r="14" spans="1:6" ht="15" customHeight="1" x14ac:dyDescent="0.2">
      <c r="A14" s="221"/>
      <c r="B14" s="222"/>
      <c r="C14" s="222"/>
      <c r="D14" s="493" t="s">
        <v>105</v>
      </c>
      <c r="E14" s="493"/>
      <c r="F14" s="494"/>
    </row>
    <row r="15" spans="1:6" ht="15" customHeight="1" x14ac:dyDescent="0.2">
      <c r="A15" s="221"/>
      <c r="B15" s="222"/>
      <c r="C15" s="222"/>
      <c r="D15" s="493" t="s">
        <v>106</v>
      </c>
      <c r="E15" s="493"/>
      <c r="F15" s="494"/>
    </row>
    <row r="16" spans="1:6" ht="15" customHeight="1" x14ac:dyDescent="0.2">
      <c r="A16" s="221"/>
      <c r="B16" s="222"/>
      <c r="C16" s="222"/>
      <c r="D16" s="493" t="s">
        <v>107</v>
      </c>
      <c r="E16" s="493"/>
      <c r="F16" s="494"/>
    </row>
    <row r="17" spans="1:6" ht="15" customHeight="1" x14ac:dyDescent="0.2">
      <c r="A17" s="221"/>
      <c r="B17" s="222"/>
      <c r="C17" s="222"/>
      <c r="D17" s="493" t="s">
        <v>108</v>
      </c>
      <c r="E17" s="493"/>
      <c r="F17" s="494"/>
    </row>
    <row r="18" spans="1:6" ht="15" customHeight="1" x14ac:dyDescent="0.2">
      <c r="A18" s="221"/>
      <c r="B18" s="222"/>
      <c r="C18" s="222"/>
      <c r="D18" s="493" t="s">
        <v>109</v>
      </c>
      <c r="E18" s="493"/>
      <c r="F18" s="494"/>
    </row>
    <row r="19" spans="1:6" ht="15" customHeight="1" x14ac:dyDescent="0.2">
      <c r="A19" s="221"/>
      <c r="B19" s="222"/>
      <c r="C19" s="222"/>
      <c r="D19" s="493" t="s">
        <v>110</v>
      </c>
      <c r="E19" s="493"/>
      <c r="F19" s="494"/>
    </row>
    <row r="20" spans="1:6" ht="15" customHeight="1" x14ac:dyDescent="0.2">
      <c r="A20" s="221"/>
      <c r="B20" s="222"/>
      <c r="C20" s="222"/>
      <c r="D20" s="493" t="s">
        <v>111</v>
      </c>
      <c r="E20" s="493"/>
      <c r="F20" s="494"/>
    </row>
    <row r="21" spans="1:6" ht="15" customHeight="1" x14ac:dyDescent="0.2">
      <c r="A21" s="221"/>
      <c r="B21" s="222"/>
      <c r="C21" s="222"/>
      <c r="D21" s="493" t="s">
        <v>112</v>
      </c>
      <c r="E21" s="493"/>
      <c r="F21" s="494"/>
    </row>
    <row r="22" spans="1:6" ht="15" customHeight="1" x14ac:dyDescent="0.2">
      <c r="A22" s="221"/>
      <c r="B22" s="222"/>
      <c r="C22" s="222"/>
      <c r="D22" s="493" t="s">
        <v>113</v>
      </c>
      <c r="E22" s="493"/>
      <c r="F22" s="494"/>
    </row>
    <row r="23" spans="1:6" ht="15" customHeight="1" x14ac:dyDescent="0.2">
      <c r="A23" s="221"/>
      <c r="B23" s="222"/>
      <c r="C23" s="222"/>
      <c r="D23" s="493" t="s">
        <v>114</v>
      </c>
      <c r="E23" s="493"/>
      <c r="F23" s="494"/>
    </row>
    <row r="24" spans="1:6" ht="15" customHeight="1" x14ac:dyDescent="0.2">
      <c r="A24" s="221"/>
      <c r="B24" s="222"/>
      <c r="C24" s="222"/>
      <c r="D24" s="493" t="s">
        <v>115</v>
      </c>
      <c r="E24" s="493"/>
      <c r="F24" s="494"/>
    </row>
    <row r="25" spans="1:6" ht="15" customHeight="1" x14ac:dyDescent="0.2">
      <c r="A25" s="221"/>
      <c r="B25" s="222"/>
      <c r="C25" s="222"/>
      <c r="D25" s="493" t="s">
        <v>116</v>
      </c>
      <c r="E25" s="493"/>
      <c r="F25" s="494"/>
    </row>
    <row r="26" spans="1:6" ht="15" customHeight="1" x14ac:dyDescent="0.2">
      <c r="A26" s="221"/>
      <c r="B26" s="222"/>
      <c r="C26" s="222"/>
      <c r="D26" s="493" t="s">
        <v>117</v>
      </c>
      <c r="E26" s="493"/>
      <c r="F26" s="494"/>
    </row>
    <row r="27" spans="1:6" ht="15" customHeight="1" x14ac:dyDescent="0.2">
      <c r="A27" s="221"/>
      <c r="B27" s="222"/>
      <c r="C27" s="222"/>
      <c r="D27" s="493" t="s">
        <v>118</v>
      </c>
      <c r="E27" s="493"/>
      <c r="F27" s="494"/>
    </row>
    <row r="28" spans="1:6" ht="15" customHeight="1" x14ac:dyDescent="0.2">
      <c r="A28" s="221"/>
      <c r="B28" s="222"/>
      <c r="C28" s="222"/>
      <c r="D28" s="493"/>
      <c r="E28" s="493"/>
      <c r="F28" s="494"/>
    </row>
    <row r="29" spans="1:6" ht="15" customHeight="1" x14ac:dyDescent="0.2">
      <c r="A29" s="221"/>
      <c r="B29" s="222"/>
      <c r="C29" s="222"/>
      <c r="D29" s="493"/>
      <c r="E29" s="493"/>
      <c r="F29" s="494"/>
    </row>
    <row r="30" spans="1:6" ht="15" customHeight="1" x14ac:dyDescent="0.2">
      <c r="A30" s="221"/>
      <c r="B30" s="222"/>
      <c r="C30" s="222"/>
      <c r="D30" s="493"/>
      <c r="E30" s="493"/>
      <c r="F30" s="494"/>
    </row>
    <row r="31" spans="1:6" ht="15" customHeight="1" x14ac:dyDescent="0.2">
      <c r="A31" s="221"/>
      <c r="B31" s="222"/>
      <c r="C31" s="222"/>
      <c r="D31" s="493"/>
      <c r="E31" s="493"/>
      <c r="F31" s="494"/>
    </row>
    <row r="32" spans="1:6" ht="15" customHeight="1" x14ac:dyDescent="0.2">
      <c r="A32" s="221"/>
      <c r="B32" s="222"/>
      <c r="C32" s="222"/>
      <c r="D32" s="493"/>
      <c r="E32" s="493"/>
      <c r="F32" s="494"/>
    </row>
    <row r="33" spans="1:6" ht="15" customHeight="1" x14ac:dyDescent="0.2">
      <c r="A33" s="221"/>
      <c r="B33" s="222"/>
      <c r="C33" s="222"/>
      <c r="D33" s="493"/>
      <c r="E33" s="493"/>
      <c r="F33" s="494"/>
    </row>
    <row r="34" spans="1:6" ht="15" customHeight="1" x14ac:dyDescent="0.2">
      <c r="A34" s="221"/>
      <c r="B34" s="222"/>
      <c r="C34" s="222"/>
      <c r="D34" s="493"/>
      <c r="E34" s="493"/>
      <c r="F34" s="494"/>
    </row>
    <row r="35" spans="1:6" ht="15" customHeight="1" x14ac:dyDescent="0.2">
      <c r="A35" s="221"/>
      <c r="B35" s="222"/>
      <c r="C35" s="222"/>
      <c r="D35" s="493"/>
      <c r="E35" s="493"/>
      <c r="F35" s="494"/>
    </row>
    <row r="36" spans="1:6" ht="15" customHeight="1" x14ac:dyDescent="0.2">
      <c r="A36" s="221"/>
      <c r="B36" s="222"/>
      <c r="C36" s="222"/>
      <c r="D36" s="493"/>
      <c r="E36" s="493"/>
      <c r="F36" s="494"/>
    </row>
    <row r="37" spans="1:6" ht="15" customHeight="1" x14ac:dyDescent="0.2">
      <c r="A37" s="221"/>
      <c r="B37" s="222"/>
      <c r="C37" s="222"/>
      <c r="D37" s="493"/>
      <c r="E37" s="493"/>
      <c r="F37" s="494"/>
    </row>
    <row r="38" spans="1:6" ht="15" customHeight="1" x14ac:dyDescent="0.2">
      <c r="A38" s="221"/>
      <c r="B38" s="222"/>
      <c r="C38" s="222"/>
      <c r="D38" s="493"/>
      <c r="E38" s="493"/>
      <c r="F38" s="494"/>
    </row>
    <row r="39" spans="1:6" ht="15" customHeight="1" x14ac:dyDescent="0.2">
      <c r="A39" s="221"/>
      <c r="B39" s="222"/>
      <c r="C39" s="222"/>
      <c r="D39" s="493"/>
      <c r="E39" s="493"/>
      <c r="F39" s="494"/>
    </row>
    <row r="40" spans="1:6" ht="15" customHeight="1" x14ac:dyDescent="0.2">
      <c r="A40" s="221"/>
      <c r="B40" s="222"/>
      <c r="C40" s="222"/>
      <c r="D40" s="493"/>
      <c r="E40" s="493"/>
      <c r="F40" s="494"/>
    </row>
    <row r="41" spans="1:6" ht="15" customHeight="1" x14ac:dyDescent="0.2">
      <c r="A41" s="221"/>
      <c r="B41" s="222"/>
      <c r="C41" s="222"/>
      <c r="D41" s="493"/>
      <c r="E41" s="493"/>
      <c r="F41" s="494"/>
    </row>
    <row r="42" spans="1:6" ht="15" customHeight="1" x14ac:dyDescent="0.2">
      <c r="A42" s="221"/>
      <c r="B42" s="222"/>
      <c r="C42" s="222"/>
      <c r="D42" s="493"/>
      <c r="E42" s="493"/>
      <c r="F42" s="494"/>
    </row>
    <row r="43" spans="1:6" ht="15" customHeight="1" x14ac:dyDescent="0.2">
      <c r="A43" s="221"/>
      <c r="B43" s="223"/>
      <c r="C43" s="223"/>
      <c r="D43" s="493"/>
      <c r="E43" s="493"/>
      <c r="F43" s="494"/>
    </row>
    <row r="44" spans="1:6" ht="15" customHeight="1" x14ac:dyDescent="0.2">
      <c r="A44" s="224"/>
      <c r="B44" s="225"/>
      <c r="C44" s="225"/>
      <c r="D44" s="495"/>
      <c r="E44" s="495"/>
      <c r="F44" s="496"/>
    </row>
    <row r="45" spans="1:6" ht="15" customHeight="1" x14ac:dyDescent="0.2">
      <c r="A45" s="226"/>
      <c r="B45" s="223"/>
      <c r="C45" s="223"/>
      <c r="D45" s="493"/>
      <c r="E45" s="493"/>
      <c r="F45" s="494"/>
    </row>
    <row r="46" spans="1:6" ht="15" customHeight="1" x14ac:dyDescent="0.2">
      <c r="A46" s="224"/>
      <c r="B46" s="225"/>
      <c r="C46" s="225"/>
      <c r="D46" s="495"/>
      <c r="E46" s="495"/>
      <c r="F46" s="496"/>
    </row>
    <row r="47" spans="1:6" ht="15" customHeight="1" thickBot="1" x14ac:dyDescent="0.25">
      <c r="A47" s="227"/>
      <c r="B47" s="228"/>
      <c r="C47" s="228"/>
      <c r="D47" s="501"/>
      <c r="E47" s="501"/>
      <c r="F47" s="502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2017-04-11T17:50:13Z</dcterms:modified>
</cp:coreProperties>
</file>