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5" yWindow="105" windowWidth="28830" windowHeight="13110" tabRatio="634" firstSheet="5" activeTab="6"/>
  </bookViews>
  <sheets>
    <sheet name="N (0)" sheetId="15" state="veryHidden" r:id="rId1"/>
    <sheet name="J (0)" sheetId="10" state="veryHidden" r:id="rId2"/>
    <sheet name="B (0)" sheetId="12" state="veryHidden" r:id="rId3"/>
    <sheet name="D (0)" sheetId="13" state="veryHidden" r:id="rId4"/>
    <sheet name="A (0)" sheetId="14" state="veryHidden" r:id="rId5"/>
    <sheet name="Cover" sheetId="9" r:id="rId6"/>
    <sheet name="J (1)" sheetId="60" r:id="rId7"/>
    <sheet name="B (1)" sheetId="59" r:id="rId8"/>
    <sheet name="Check List" sheetId="16" r:id="rId9"/>
    <sheet name="J(BLANK)" sheetId="61" r:id="rId10"/>
  </sheets>
  <functionGroups builtInGroupCount="17"/>
  <definedNames>
    <definedName name="_xlnm.Print_Area" localSheetId="4">'A (0)'!$A$1:$M$49</definedName>
    <definedName name="_xlnm.Print_Area" localSheetId="2">'B (0)'!$A$1:$M$50</definedName>
    <definedName name="_xlnm.Print_Area" localSheetId="7">'B (1)'!$A$1:$M$50</definedName>
    <definedName name="_xlnm.Print_Area" localSheetId="8">'Check List'!$A$1:$F$47</definedName>
    <definedName name="_xlnm.Print_Area" localSheetId="5">Cover!$A$1:$R$54</definedName>
    <definedName name="_xlnm.Print_Area" localSheetId="3">'D (0)'!$A$1:$Q$53</definedName>
    <definedName name="_xlnm.Print_Area" localSheetId="1">'J (0)'!$A$1:$AC$45</definedName>
    <definedName name="_xlnm.Print_Area" localSheetId="6">'J (1)'!$A$1:$AC$45</definedName>
    <definedName name="_xlnm.Print_Area" localSheetId="9">'J(BLANK)'!$A$1:$AC$45</definedName>
    <definedName name="_xlnm.Print_Area" localSheetId="0">'N (0)'!$A$1:$R$53</definedName>
  </definedNames>
  <calcPr calcId="145621"/>
</workbook>
</file>

<file path=xl/calcChain.xml><?xml version="1.0" encoding="utf-8"?>
<calcChain xmlns="http://schemas.openxmlformats.org/spreadsheetml/2006/main">
  <c r="B42" i="61" l="1"/>
  <c r="AC2" i="61"/>
  <c r="C2" i="61"/>
  <c r="AA1" i="61"/>
  <c r="C1" i="61"/>
  <c r="B42" i="60" l="1"/>
  <c r="AC2" i="60"/>
  <c r="C2" i="60"/>
  <c r="AA1" i="60"/>
  <c r="C1" i="60"/>
  <c r="M50" i="59" l="1"/>
  <c r="F50" i="59"/>
  <c r="M46" i="59"/>
  <c r="F46" i="59"/>
  <c r="M45" i="59"/>
  <c r="F45" i="59"/>
  <c r="M44" i="59"/>
  <c r="F44" i="59"/>
  <c r="M43" i="59"/>
  <c r="F43" i="59"/>
  <c r="M42" i="59"/>
  <c r="F42" i="59"/>
  <c r="M41" i="59"/>
  <c r="F41" i="59"/>
  <c r="M40" i="59"/>
  <c r="F40" i="59"/>
  <c r="M39" i="59"/>
  <c r="F39" i="59"/>
  <c r="M38" i="59"/>
  <c r="F38" i="59"/>
  <c r="M37" i="59"/>
  <c r="F37" i="59"/>
  <c r="M36" i="59"/>
  <c r="F36" i="59"/>
  <c r="M35" i="59"/>
  <c r="F35" i="59"/>
  <c r="M34" i="59"/>
  <c r="F34" i="59"/>
  <c r="M33" i="59"/>
  <c r="F33" i="59"/>
  <c r="M32" i="59"/>
  <c r="F32" i="59"/>
  <c r="M31" i="59"/>
  <c r="F31" i="59"/>
  <c r="M30" i="59"/>
  <c r="F30" i="59"/>
  <c r="M29" i="59"/>
  <c r="F29" i="59"/>
  <c r="M28" i="59"/>
  <c r="F28" i="59"/>
  <c r="M27" i="59"/>
  <c r="M47" i="59" s="1"/>
  <c r="F27" i="59"/>
  <c r="M26" i="59"/>
  <c r="F26" i="59"/>
  <c r="M24" i="59"/>
  <c r="F24" i="59"/>
  <c r="M23" i="59"/>
  <c r="F23" i="59"/>
  <c r="M22" i="59"/>
  <c r="F22" i="59"/>
  <c r="M21" i="59"/>
  <c r="F21" i="59"/>
  <c r="M20" i="59"/>
  <c r="F20" i="59"/>
  <c r="M19" i="59"/>
  <c r="F19" i="59"/>
  <c r="M18" i="59"/>
  <c r="F18" i="59"/>
  <c r="M17" i="59"/>
  <c r="F17" i="59"/>
  <c r="M16" i="59"/>
  <c r="F16" i="59"/>
  <c r="M15" i="59"/>
  <c r="F15" i="59"/>
  <c r="M14" i="59"/>
  <c r="F14" i="59"/>
  <c r="M13" i="59"/>
  <c r="F13" i="59"/>
  <c r="M12" i="59"/>
  <c r="F12" i="59"/>
  <c r="M11" i="59"/>
  <c r="F11" i="59"/>
  <c r="M10" i="59"/>
  <c r="F10" i="59"/>
  <c r="M9" i="59"/>
  <c r="F9" i="59"/>
  <c r="M8" i="59"/>
  <c r="F8" i="59"/>
  <c r="M7" i="59"/>
  <c r="F7" i="59"/>
  <c r="M6" i="59"/>
  <c r="F6" i="59"/>
  <c r="M5" i="59"/>
  <c r="F5" i="59"/>
  <c r="M4" i="59"/>
  <c r="F4" i="59"/>
  <c r="M2" i="59"/>
  <c r="C2" i="59"/>
  <c r="K1" i="59"/>
  <c r="C1" i="59"/>
  <c r="F47" i="59" l="1"/>
  <c r="M25" i="59"/>
  <c r="F25" i="59"/>
  <c r="Q5" i="13" l="1"/>
  <c r="X5" i="13"/>
  <c r="Q6" i="13"/>
  <c r="Q4" i="13"/>
  <c r="U5" i="13"/>
  <c r="H28" i="13"/>
  <c r="U8" i="13"/>
  <c r="H53" i="13"/>
  <c r="X8" i="13"/>
  <c r="Q53" i="13"/>
  <c r="AC2" i="10"/>
  <c r="AA1" i="10"/>
  <c r="C1" i="10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47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47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P1" i="15"/>
  <c r="K1" i="12"/>
  <c r="O1" i="13"/>
  <c r="K1" i="14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7" i="13"/>
  <c r="Q28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E32" i="14"/>
  <c r="M42" i="14"/>
  <c r="M32" i="14"/>
  <c r="M12" i="14"/>
  <c r="E22" i="14"/>
  <c r="E12" i="14"/>
  <c r="H24" i="13"/>
  <c r="H23" i="13"/>
  <c r="H22" i="13"/>
  <c r="H21" i="13"/>
  <c r="H20" i="13"/>
  <c r="H19" i="13"/>
  <c r="H18" i="13"/>
  <c r="H17" i="13"/>
  <c r="H27" i="13"/>
  <c r="H26" i="13"/>
  <c r="H25" i="13"/>
  <c r="H16" i="13"/>
  <c r="H15" i="13"/>
  <c r="H14" i="13"/>
  <c r="H13" i="13"/>
  <c r="H12" i="13"/>
  <c r="H11" i="13"/>
  <c r="H10" i="13"/>
  <c r="H9" i="13"/>
  <c r="H8" i="13"/>
  <c r="H7" i="13"/>
  <c r="H6" i="13"/>
  <c r="H5" i="13"/>
  <c r="H4" i="13"/>
  <c r="E42" i="14"/>
  <c r="C2" i="14"/>
  <c r="C1" i="14"/>
  <c r="E49" i="14"/>
  <c r="M49" i="14"/>
  <c r="M22" i="14"/>
  <c r="M2" i="14"/>
  <c r="C1" i="13"/>
  <c r="C2" i="13"/>
  <c r="Q2" i="13"/>
  <c r="R2" i="15"/>
  <c r="M4" i="12"/>
  <c r="M25" i="12"/>
  <c r="F4" i="12"/>
  <c r="F25" i="12"/>
  <c r="M50" i="12"/>
  <c r="F50" i="12"/>
  <c r="C2" i="12"/>
  <c r="C1" i="12"/>
  <c r="M2" i="12"/>
  <c r="C2" i="15"/>
  <c r="C1" i="15"/>
  <c r="B42" i="10"/>
  <c r="C2" i="10"/>
</calcChain>
</file>

<file path=xl/comments1.xml><?xml version="1.0" encoding="utf-8"?>
<comments xmlns="http://schemas.openxmlformats.org/spreadsheetml/2006/main">
  <authors>
    <author>Mike Camperman</author>
  </authors>
  <commentList>
    <comment ref="A3" author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2.xml><?xml version="1.0" encoding="utf-8"?>
<comments xmlns="http://schemas.openxmlformats.org/spreadsheetml/2006/main">
  <authors>
    <author>Mike Camperman</author>
  </authors>
  <commentList>
    <comment ref="F25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25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47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47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50" author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  <comment ref="M50" author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</commentList>
</comments>
</file>

<file path=xl/comments3.xml><?xml version="1.0" encoding="utf-8"?>
<comments xmlns="http://schemas.openxmlformats.org/spreadsheetml/2006/main">
  <authors>
    <author>Mike Camperman</author>
  </authors>
  <commentList>
    <comment ref="D3" author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M3" author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H28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28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H53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53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</commentList>
</comments>
</file>

<file path=xl/comments4.xml><?xml version="1.0" encoding="utf-8"?>
<comments xmlns="http://schemas.openxmlformats.org/spreadsheetml/2006/main">
  <authors>
    <author>Mike Camperman</author>
  </authors>
  <commentList>
    <comment ref="E12" authorId="0">
      <text>
        <r>
          <rPr>
            <sz val="12"/>
            <color indexed="81"/>
            <rFont val="Arial"/>
            <family val="2"/>
          </rPr>
          <t>This total is calculated with an additional 10% and rounded up to the nearest 1,000 screws.</t>
        </r>
      </text>
    </comment>
    <comment ref="M1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2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3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3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4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</commentList>
</comments>
</file>

<file path=xl/comments5.xml><?xml version="1.0" encoding="utf-8"?>
<comments xmlns="http://schemas.openxmlformats.org/spreadsheetml/2006/main">
  <authors>
    <author>Mike Camperman</author>
  </authors>
  <commentList>
    <comment ref="A3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AC - Arched Joists
BW - Bowstrings
GB - Gable Joists
GV - Galvanized Joists
HS - Horizontally Spliced
IP   - Inverted Pitch
MS - Multiple Spliced
SC - Scissor Joists
SP - Special (Special connections, plates, angles, etc.)
VS - Vertically Spliced
Example:
"Job Name **XX**" or "Job Name **XX/XX**"</t>
        </r>
      </text>
    </comment>
    <comment ref="C54" authorId="0">
      <text>
        <r>
          <rPr>
            <sz val="12"/>
            <color indexed="81"/>
            <rFont val="Arial"/>
            <family val="2"/>
          </rPr>
          <t>This value is the total number of joists &amp; girders from all of the "J" worksheets.</t>
        </r>
      </text>
    </comment>
  </commentList>
</comments>
</file>

<file path=xl/comments6.xml><?xml version="1.0" encoding="utf-8"?>
<comments xmlns="http://schemas.openxmlformats.org/spreadsheetml/2006/main">
  <authors>
    <author>Mike Camperman</author>
  </authors>
  <commentList>
    <comment ref="A3" author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7.xml><?xml version="1.0" encoding="utf-8"?>
<comments xmlns="http://schemas.openxmlformats.org/spreadsheetml/2006/main">
  <authors>
    <author>Mike Camperman</author>
  </authors>
  <commentList>
    <comment ref="F25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25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47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47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50" author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  <comment ref="M50" author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</commentList>
</comments>
</file>

<file path=xl/comments8.xml><?xml version="1.0" encoding="utf-8"?>
<comments xmlns="http://schemas.openxmlformats.org/spreadsheetml/2006/main">
  <authors>
    <author>Mike Camperman</author>
  </authors>
  <commentList>
    <comment ref="A3" author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sharedStrings.xml><?xml version="1.0" encoding="utf-8"?>
<sst xmlns="http://schemas.openxmlformats.org/spreadsheetml/2006/main" count="351" uniqueCount="125">
  <si>
    <t>QTY</t>
  </si>
  <si>
    <t>DESCRIPTION</t>
  </si>
  <si>
    <t>TCXL</t>
  </si>
  <si>
    <t>NO</t>
  </si>
  <si>
    <t>LGTH</t>
  </si>
  <si>
    <t>TCXR</t>
  </si>
  <si>
    <t>NO.</t>
  </si>
  <si>
    <t>BCX's</t>
  </si>
  <si>
    <t>SEAT DEPTH</t>
  </si>
  <si>
    <t>LEFT</t>
  </si>
  <si>
    <t>RIGHT</t>
  </si>
  <si>
    <t>REMARKS</t>
  </si>
  <si>
    <t>SIZE</t>
  </si>
  <si>
    <t>ROWS</t>
  </si>
  <si>
    <t>TOTAL</t>
  </si>
  <si>
    <t>SEQ</t>
  </si>
  <si>
    <t>TYPE</t>
  </si>
  <si>
    <t>WIDTH</t>
  </si>
  <si>
    <t>SQ'S</t>
  </si>
  <si>
    <t>DATE:</t>
  </si>
  <si>
    <t>SCREWS</t>
  </si>
  <si>
    <t>H OR X</t>
  </si>
  <si>
    <t>UPLIFT</t>
  </si>
  <si>
    <t>(PLF)</t>
  </si>
  <si>
    <t>OTHER</t>
  </si>
  <si>
    <r>
      <t>NOTES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</si>
  <si>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</si>
  <si>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</si>
  <si>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r>
      <t>DATE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</si>
  <si>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</si>
  <si>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</si>
  <si>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t>KB'S</t>
  </si>
  <si>
    <t>SPLICE</t>
  </si>
  <si>
    <r>
      <t>JOB NAME:</t>
    </r>
    <r>
      <rPr>
        <sz val="12"/>
        <rFont val="Arial"/>
        <family val="2"/>
      </rPr>
      <t xml:space="preserve">         </t>
    </r>
  </si>
  <si>
    <t>MILEAGE:</t>
  </si>
  <si>
    <t>LOCATION:</t>
  </si>
  <si>
    <t>FILE:</t>
  </si>
  <si>
    <t>ADDITIONAL MONEY:</t>
  </si>
  <si>
    <t>PAGE:</t>
  </si>
  <si>
    <t>CELL CLOSURE</t>
  </si>
  <si>
    <t>SIDE CLOSURE</t>
  </si>
  <si>
    <t>POUR STOP</t>
  </si>
  <si>
    <t>FLAT PLATE</t>
  </si>
  <si>
    <t>RIDGE / VALLEY</t>
  </si>
  <si>
    <t>SUMP PANS</t>
  </si>
  <si>
    <t>of</t>
  </si>
  <si>
    <t>MK</t>
  </si>
  <si>
    <r>
      <t>NOTES (Cont.)</t>
    </r>
    <r>
      <rPr>
        <sz val="12"/>
        <rFont val="Arial"/>
        <family val="2"/>
      </rPr>
      <t>:</t>
    </r>
  </si>
  <si>
    <t>PCS</t>
  </si>
  <si>
    <t>TOTAL:</t>
  </si>
  <si>
    <t>SETS</t>
  </si>
  <si>
    <t>COLUMN CLOSURE</t>
  </si>
  <si>
    <t>&lt;</t>
  </si>
  <si>
    <t>ASAP</t>
  </si>
  <si>
    <t>*JOB TYPE:</t>
  </si>
  <si>
    <t>*LOCATION:</t>
  </si>
  <si>
    <t>*CUSTOMER:</t>
  </si>
  <si>
    <t>*DATE:</t>
  </si>
  <si>
    <t>*BID DATE:</t>
  </si>
  <si>
    <t>*TAKEOFF BY:</t>
  </si>
  <si>
    <t>*JST SPCG:</t>
  </si>
  <si>
    <t>*DEFL LIMIT:</t>
  </si>
  <si>
    <t>*NET UPLIFT:</t>
  </si>
  <si>
    <t>*SPECS (YES / NO):</t>
  </si>
  <si>
    <r>
      <t>*JOB NAME:</t>
    </r>
    <r>
      <rPr>
        <sz val="11"/>
        <rFont val="Arial"/>
        <family val="2"/>
      </rPr>
      <t xml:space="preserve">         </t>
    </r>
  </si>
  <si>
    <r>
      <t>*DRAWING DATE:</t>
    </r>
    <r>
      <rPr>
        <sz val="11"/>
        <rFont val="Arial"/>
        <family val="2"/>
      </rPr>
      <t xml:space="preserve">      </t>
    </r>
  </si>
  <si>
    <r>
      <t>*ADDENDUM NO:</t>
    </r>
    <r>
      <rPr>
        <sz val="11"/>
        <rFont val="Arial"/>
        <family val="2"/>
      </rPr>
      <t xml:space="preserve">           </t>
    </r>
  </si>
  <si>
    <r>
      <t>*DRAWING #'s:</t>
    </r>
    <r>
      <rPr>
        <sz val="11"/>
        <rFont val="Arial"/>
        <family val="2"/>
      </rPr>
      <t xml:space="preserve">           </t>
    </r>
  </si>
  <si>
    <r>
      <t>NOTES</t>
    </r>
    <r>
      <rPr>
        <sz val="11"/>
        <rFont val="Arial"/>
        <family val="2"/>
      </rPr>
      <t>:</t>
    </r>
  </si>
  <si>
    <t>*TIME:</t>
  </si>
  <si>
    <r>
      <t>*</t>
    </r>
    <r>
      <rPr>
        <b/>
        <sz val="12"/>
        <rFont val="Arial"/>
        <family val="2"/>
      </rPr>
      <t xml:space="preserve"> = Reqiured Info.</t>
    </r>
  </si>
  <si>
    <t>*DECK &amp; ACCESSORY TOTALS</t>
  </si>
  <si>
    <t>*BRIDGING TOTALS</t>
  </si>
  <si>
    <t>*DRAWING LOCATION:</t>
  </si>
  <si>
    <t>*ENGR. FIRM:</t>
  </si>
  <si>
    <t>CAT.</t>
  </si>
  <si>
    <t>POS.</t>
  </si>
  <si>
    <t>LOAD 1</t>
  </si>
  <si>
    <t>LOAD 2</t>
  </si>
  <si>
    <t>DISTANCE</t>
  </si>
  <si>
    <t>VALUE</t>
  </si>
  <si>
    <t>LOAD INFO.</t>
  </si>
  <si>
    <t>CASE
NO.</t>
  </si>
  <si>
    <t>BASE
LENGTH</t>
  </si>
  <si>
    <t/>
  </si>
  <si>
    <t>*ESTIMATED DELIVERY:</t>
  </si>
  <si>
    <t>Last Updated: 9/29/2010</t>
  </si>
  <si>
    <t>Page Quadrant</t>
  </si>
  <si>
    <t>Percentage</t>
  </si>
  <si>
    <t>Multiplier</t>
  </si>
  <si>
    <t>Percentage to add to Total Deck Sqs.</t>
  </si>
  <si>
    <t>ESTIMATING - FINAL CHECK LIST</t>
  </si>
  <si>
    <t>Estimator:</t>
  </si>
  <si>
    <t>Checker:</t>
  </si>
  <si>
    <t>N/A</t>
  </si>
  <si>
    <t>EST</t>
  </si>
  <si>
    <t>CKR</t>
  </si>
  <si>
    <t>CHECK LIST ITEMS</t>
  </si>
  <si>
    <t>Specifications reviewed</t>
  </si>
  <si>
    <t>Addendums reviewed</t>
  </si>
  <si>
    <t>Check for multiple floors labeled on one plan</t>
  </si>
  <si>
    <t>Joist count</t>
  </si>
  <si>
    <t>Girder count</t>
  </si>
  <si>
    <t>Bridging count</t>
  </si>
  <si>
    <t>Bridging sizes</t>
  </si>
  <si>
    <t>Splice joists required</t>
  </si>
  <si>
    <t>Specialty profile joists</t>
  </si>
  <si>
    <t>Sloped seats</t>
  </si>
  <si>
    <t>Deck types</t>
  </si>
  <si>
    <t>Deck gages</t>
  </si>
  <si>
    <t>Deck finishes</t>
  </si>
  <si>
    <t>Deck square count</t>
  </si>
  <si>
    <t>Deck accessories (Column closure, Sump pans, Pour stops, Girder filler, etc.)</t>
  </si>
  <si>
    <t>Buy out deck required</t>
  </si>
  <si>
    <t>Alternates and breakouts incorporated and interpreted correctly</t>
  </si>
  <si>
    <t>Final review of all sheets</t>
  </si>
  <si>
    <t>Qualifications complete</t>
  </si>
  <si>
    <t>Exclusions complete</t>
  </si>
  <si>
    <t>Notes to coordinator</t>
  </si>
  <si>
    <r>
      <t>Date:</t>
    </r>
    <r>
      <rPr>
        <sz val="10"/>
        <rFont val="Arial"/>
        <family val="2"/>
      </rPr>
      <t xml:space="preserve">  </t>
    </r>
  </si>
  <si>
    <r>
      <t>Job Name:</t>
    </r>
    <r>
      <rPr>
        <sz val="10"/>
        <rFont val="Arial"/>
        <family val="2"/>
      </rPr>
      <t xml:space="preserve">  </t>
    </r>
  </si>
  <si>
    <t>HOME</t>
  </si>
  <si>
    <t>1</t>
  </si>
  <si>
    <t>NA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</si>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</sst>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m/d/yyyy;@"/>
    <numFmt numFmtId="165" formatCode="0\ \-"/>
    <numFmt numFmtId="166" formatCode="0\ ?/?"/>
    <numFmt numFmtId="167" formatCode="[$-409]h:mm\ AM/PM;@"/>
  </numFmts>
  <fonts count="42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name val="Arial"/>
      <family val="2"/>
    </font>
    <font>
      <b/>
      <i/>
      <sz val="12"/>
      <name val="Arial"/>
      <family val="2"/>
    </font>
    <font>
      <b/>
      <sz val="11"/>
      <name val="Arial"/>
      <family val="2"/>
    </font>
    <font>
      <i/>
      <sz val="12"/>
      <color indexed="12"/>
      <name val="Arial"/>
      <family val="2"/>
    </font>
    <font>
      <i/>
      <sz val="12"/>
      <color indexed="17"/>
      <name val="Arial"/>
      <family val="2"/>
    </font>
    <font>
      <b/>
      <i/>
      <sz val="12"/>
      <color indexed="17"/>
      <name val="Arial"/>
      <family val="2"/>
    </font>
    <font>
      <b/>
      <i/>
      <sz val="12"/>
      <color indexed="12"/>
      <name val="Arial"/>
      <family val="2"/>
    </font>
    <font>
      <sz val="12"/>
      <color indexed="17"/>
      <name val="Arial"/>
      <family val="2"/>
    </font>
    <font>
      <sz val="12"/>
      <color indexed="81"/>
      <name val="Arial"/>
      <family val="2"/>
    </font>
    <font>
      <b/>
      <u/>
      <sz val="12"/>
      <color indexed="81"/>
      <name val="Arial"/>
      <family val="2"/>
    </font>
    <font>
      <b/>
      <sz val="14"/>
      <name val="Arial Black"/>
      <family val="2"/>
    </font>
    <font>
      <i/>
      <sz val="11"/>
      <color indexed="12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i/>
      <sz val="11"/>
      <color indexed="17"/>
      <name val="Arial"/>
      <family val="2"/>
    </font>
    <font>
      <sz val="12"/>
      <color indexed="12"/>
      <name val="Arial"/>
      <family val="2"/>
    </font>
    <font>
      <b/>
      <sz val="12"/>
      <color indexed="81"/>
      <name val="Arial"/>
      <family val="2"/>
    </font>
    <font>
      <i/>
      <sz val="12"/>
      <color indexed="81"/>
      <name val="Arial"/>
      <family val="2"/>
    </font>
    <font>
      <sz val="12"/>
      <color indexed="10"/>
      <name val="Arial"/>
      <family val="2"/>
    </font>
    <font>
      <sz val="12"/>
      <color indexed="57"/>
      <name val="Arial"/>
      <family val="2"/>
    </font>
    <font>
      <i/>
      <u/>
      <sz val="12"/>
      <color indexed="81"/>
      <name val="Arial"/>
      <family val="2"/>
    </font>
    <font>
      <i/>
      <sz val="12"/>
      <color indexed="14"/>
      <name val="Arial"/>
      <family val="2"/>
    </font>
    <font>
      <i/>
      <sz val="12"/>
      <color indexed="10"/>
      <name val="Arial"/>
      <family val="2"/>
    </font>
    <font>
      <sz val="14"/>
      <color indexed="81"/>
      <name val="Arial"/>
      <family val="2"/>
    </font>
    <font>
      <b/>
      <i/>
      <sz val="12"/>
      <color indexed="81"/>
      <name val="Arial"/>
      <family val="2"/>
    </font>
    <font>
      <b/>
      <sz val="10"/>
      <color indexed="12"/>
      <name val="Arial"/>
      <family val="2"/>
    </font>
    <font>
      <sz val="10"/>
      <color indexed="23"/>
      <name val="Arial"/>
      <family val="2"/>
    </font>
    <font>
      <b/>
      <sz val="12"/>
      <color indexed="63"/>
      <name val="Arial"/>
      <family val="2"/>
    </font>
    <font>
      <sz val="7"/>
      <name val="Arial"/>
      <family val="2"/>
    </font>
    <font>
      <sz val="7"/>
      <name val="Arial"/>
      <family val="2"/>
    </font>
    <font>
      <b/>
      <sz val="10"/>
      <color indexed="23"/>
      <name val="Arial"/>
      <family val="2"/>
    </font>
    <font>
      <sz val="10"/>
      <color indexed="63"/>
      <name val="Arial"/>
      <family val="2"/>
    </font>
    <font>
      <sz val="8"/>
      <name val="Arial"/>
      <family val="2"/>
    </font>
    <font>
      <b/>
      <sz val="14"/>
      <color indexed="55"/>
      <name val="Arial"/>
      <family val="2"/>
    </font>
  </fonts>
  <fills count="8">
    <fill>
      <patternFill patternType="none"/>
    </fill>
    <fill>
      <patternFill patternType="gray125"/>
    </fill>
    <fill>
      <patternFill patternType="lightUp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</fills>
  <borders count="105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22"/>
      </right>
      <top style="thin">
        <color indexed="8"/>
      </top>
      <bottom style="thin">
        <color indexed="22"/>
      </bottom>
      <diagonal/>
    </border>
    <border>
      <left style="medium">
        <color indexed="63"/>
      </left>
      <right/>
      <top/>
      <bottom/>
      <diagonal/>
    </border>
    <border>
      <left style="thin">
        <color indexed="63"/>
      </left>
      <right/>
      <top/>
      <bottom/>
      <diagonal/>
    </border>
    <border>
      <left/>
      <right style="medium">
        <color indexed="63"/>
      </right>
      <top/>
      <bottom/>
      <diagonal/>
    </border>
    <border>
      <left style="medium">
        <color indexed="63"/>
      </left>
      <right/>
      <top style="thin">
        <color indexed="63"/>
      </top>
      <bottom/>
      <diagonal/>
    </border>
    <border>
      <left/>
      <right/>
      <top style="thin">
        <color indexed="63"/>
      </top>
      <bottom/>
      <diagonal/>
    </border>
    <border>
      <left style="thin">
        <color indexed="63"/>
      </left>
      <right/>
      <top style="thin">
        <color indexed="63"/>
      </top>
      <bottom/>
      <diagonal/>
    </border>
    <border>
      <left/>
      <right style="medium">
        <color indexed="63"/>
      </right>
      <top style="thin">
        <color indexed="63"/>
      </top>
      <bottom/>
      <diagonal/>
    </border>
    <border>
      <left style="medium">
        <color indexed="63"/>
      </left>
      <right/>
      <top/>
      <bottom style="medium">
        <color indexed="63"/>
      </bottom>
      <diagonal/>
    </border>
    <border>
      <left/>
      <right/>
      <top/>
      <bottom style="medium">
        <color indexed="63"/>
      </bottom>
      <diagonal/>
    </border>
    <border>
      <left style="thin">
        <color indexed="63"/>
      </left>
      <right/>
      <top/>
      <bottom style="medium">
        <color indexed="63"/>
      </bottom>
      <diagonal/>
    </border>
    <border>
      <left/>
      <right style="medium">
        <color indexed="63"/>
      </right>
      <top/>
      <bottom style="medium">
        <color indexed="63"/>
      </bottom>
      <diagonal/>
    </border>
    <border>
      <left style="medium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medium">
        <color indexed="63"/>
      </right>
      <top/>
      <bottom style="thin">
        <color indexed="6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3"/>
      </left>
      <right/>
      <top style="medium">
        <color indexed="63"/>
      </top>
      <bottom style="thin">
        <color indexed="63"/>
      </bottom>
      <diagonal/>
    </border>
    <border>
      <left/>
      <right/>
      <top style="medium">
        <color indexed="63"/>
      </top>
      <bottom style="thin">
        <color indexed="63"/>
      </bottom>
      <diagonal/>
    </border>
    <border>
      <left/>
      <right style="medium">
        <color indexed="63"/>
      </right>
      <top style="medium">
        <color indexed="63"/>
      </top>
      <bottom style="thin">
        <color indexed="63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1" fillId="0" borderId="0"/>
  </cellStyleXfs>
  <cellXfs count="436">
    <xf numFmtId="0" fontId="0" fillId="0" borderId="0" xfId="0"/>
    <xf numFmtId="3" fontId="13" fillId="0" borderId="1" xfId="0" applyNumberFormat="1" applyFont="1" applyFill="1" applyBorder="1" applyAlignment="1">
      <alignment horizontal="left" vertical="center" indent="1"/>
    </xf>
    <xf numFmtId="0" fontId="6" fillId="2" borderId="2" xfId="0" applyFont="1" applyFill="1" applyBorder="1" applyAlignment="1">
      <alignment horizontal="center"/>
    </xf>
    <xf numFmtId="1" fontId="7" fillId="2" borderId="3" xfId="0" applyNumberFormat="1" applyFont="1" applyFill="1" applyBorder="1" applyAlignment="1">
      <alignment horizontal="center" vertical="center"/>
    </xf>
    <xf numFmtId="1" fontId="6" fillId="0" borderId="4" xfId="0" applyNumberFormat="1" applyFont="1" applyFill="1" applyBorder="1" applyAlignment="1" applyProtection="1">
      <alignment horizontal="right" vertical="center"/>
    </xf>
    <xf numFmtId="3" fontId="13" fillId="0" borderId="1" xfId="0" applyNumberFormat="1" applyFont="1" applyFill="1" applyBorder="1" applyAlignment="1" applyProtection="1">
      <alignment horizontal="center" vertical="center"/>
    </xf>
    <xf numFmtId="0" fontId="0" fillId="3" borderId="0" xfId="0" applyFill="1" applyAlignment="1" applyProtection="1"/>
    <xf numFmtId="0" fontId="0" fillId="3" borderId="0" xfId="0" applyFill="1" applyBorder="1" applyAlignment="1" applyProtection="1"/>
    <xf numFmtId="0" fontId="0" fillId="3" borderId="0" xfId="0" applyFill="1" applyProtection="1"/>
    <xf numFmtId="0" fontId="4" fillId="3" borderId="0" xfId="0" applyFont="1" applyFill="1" applyAlignment="1" applyProtection="1">
      <alignment horizontal="right"/>
    </xf>
    <xf numFmtId="0" fontId="3" fillId="3" borderId="0" xfId="0" applyFont="1" applyFill="1" applyBorder="1" applyAlignment="1" applyProtection="1">
      <alignment horizontal="right"/>
    </xf>
    <xf numFmtId="0" fontId="4" fillId="3" borderId="0" xfId="0" applyFont="1" applyFill="1" applyBorder="1" applyAlignment="1" applyProtection="1">
      <alignment horizontal="right"/>
    </xf>
    <xf numFmtId="0" fontId="3" fillId="3" borderId="0" xfId="0" applyFont="1" applyFill="1" applyBorder="1" applyAlignment="1" applyProtection="1">
      <alignment horizontal="left"/>
    </xf>
    <xf numFmtId="0" fontId="0" fillId="3" borderId="0" xfId="0" applyFill="1" applyBorder="1" applyAlignment="1" applyProtection="1">
      <alignment horizontal="center"/>
    </xf>
    <xf numFmtId="0" fontId="3" fillId="3" borderId="0" xfId="0" applyFont="1" applyFill="1" applyBorder="1" applyAlignment="1" applyProtection="1">
      <alignment horizontal="center"/>
    </xf>
    <xf numFmtId="0" fontId="3" fillId="3" borderId="0" xfId="0" applyFont="1" applyFill="1" applyAlignment="1" applyProtection="1">
      <alignment horizontal="right"/>
    </xf>
    <xf numFmtId="0" fontId="0" fillId="3" borderId="0" xfId="0" applyFill="1" applyAlignment="1" applyProtection="1">
      <alignment horizontal="center"/>
    </xf>
    <xf numFmtId="0" fontId="4" fillId="3" borderId="0" xfId="0" applyFont="1" applyFill="1" applyBorder="1" applyProtection="1"/>
    <xf numFmtId="0" fontId="4" fillId="3" borderId="0" xfId="0" applyFont="1" applyFill="1" applyProtection="1"/>
    <xf numFmtId="0" fontId="4" fillId="3" borderId="0" xfId="0" applyFont="1" applyFill="1" applyAlignment="1" applyProtection="1"/>
    <xf numFmtId="0" fontId="4" fillId="3" borderId="0" xfId="0" applyFont="1" applyFill="1" applyAlignment="1" applyProtection="1">
      <alignment horizontal="center"/>
    </xf>
    <xf numFmtId="0" fontId="6" fillId="0" borderId="5" xfId="0" applyFont="1" applyFill="1" applyBorder="1" applyAlignment="1" applyProtection="1">
      <alignment horizontal="right" vertical="center"/>
    </xf>
    <xf numFmtId="0" fontId="6" fillId="0" borderId="6" xfId="0" applyFont="1" applyFill="1" applyBorder="1" applyAlignment="1" applyProtection="1">
      <alignment horizontal="right" vertical="center"/>
    </xf>
    <xf numFmtId="0" fontId="5" fillId="0" borderId="7" xfId="0" applyFont="1" applyFill="1" applyBorder="1" applyAlignment="1" applyProtection="1">
      <alignment horizontal="center"/>
    </xf>
    <xf numFmtId="0" fontId="6" fillId="0" borderId="1" xfId="0" applyFont="1" applyFill="1" applyBorder="1" applyAlignment="1" applyProtection="1">
      <alignment horizontal="center"/>
    </xf>
    <xf numFmtId="0" fontId="11" fillId="0" borderId="8" xfId="0" applyFont="1" applyFill="1" applyBorder="1" applyAlignment="1" applyProtection="1">
      <alignment horizontal="center" vertical="center"/>
      <protection locked="0"/>
    </xf>
    <xf numFmtId="1" fontId="6" fillId="3" borderId="6" xfId="0" applyNumberFormat="1" applyFont="1" applyFill="1" applyBorder="1" applyAlignment="1" applyProtection="1">
      <alignment horizontal="center" vertical="center"/>
    </xf>
    <xf numFmtId="1" fontId="7" fillId="3" borderId="6" xfId="0" applyNumberFormat="1" applyFont="1" applyFill="1" applyBorder="1" applyAlignment="1" applyProtection="1">
      <alignment horizontal="center" vertical="center"/>
    </xf>
    <xf numFmtId="1" fontId="4" fillId="3" borderId="6" xfId="0" applyNumberFormat="1" applyFont="1" applyFill="1" applyBorder="1" applyAlignment="1" applyProtection="1">
      <alignment horizontal="center" vertical="center"/>
    </xf>
    <xf numFmtId="0" fontId="7" fillId="3" borderId="6" xfId="0" applyFont="1" applyFill="1" applyBorder="1" applyAlignment="1" applyProtection="1"/>
    <xf numFmtId="0" fontId="9" fillId="3" borderId="6" xfId="0" applyFont="1" applyFill="1" applyBorder="1" applyAlignment="1" applyProtection="1"/>
    <xf numFmtId="0" fontId="8" fillId="3" borderId="6" xfId="0" applyFont="1" applyFill="1" applyBorder="1" applyAlignment="1" applyProtection="1"/>
    <xf numFmtId="0" fontId="10" fillId="0" borderId="5" xfId="0" applyFont="1" applyFill="1" applyBorder="1" applyAlignment="1" applyProtection="1">
      <alignment horizontal="center" vertical="center"/>
    </xf>
    <xf numFmtId="1" fontId="12" fillId="0" borderId="9" xfId="0" applyNumberFormat="1" applyFont="1" applyFill="1" applyBorder="1" applyAlignment="1" applyProtection="1">
      <alignment horizontal="left" vertical="center"/>
    </xf>
    <xf numFmtId="0" fontId="6" fillId="0" borderId="2" xfId="0" applyFont="1" applyFill="1" applyBorder="1" applyAlignment="1" applyProtection="1">
      <alignment horizontal="center"/>
    </xf>
    <xf numFmtId="0" fontId="11" fillId="0" borderId="8" xfId="0" applyFont="1" applyFill="1" applyBorder="1" applyAlignment="1" applyProtection="1">
      <alignment horizontal="center"/>
      <protection locked="0"/>
    </xf>
    <xf numFmtId="3" fontId="11" fillId="0" borderId="10" xfId="0" applyNumberFormat="1" applyFont="1" applyFill="1" applyBorder="1" applyAlignment="1" applyProtection="1">
      <alignment horizontal="center"/>
      <protection locked="0"/>
    </xf>
    <xf numFmtId="1" fontId="9" fillId="3" borderId="6" xfId="0" applyNumberFormat="1" applyFont="1" applyFill="1" applyBorder="1" applyAlignment="1" applyProtection="1">
      <alignment horizontal="center" vertical="center"/>
    </xf>
    <xf numFmtId="0" fontId="12" fillId="0" borderId="6" xfId="0" applyFont="1" applyFill="1" applyBorder="1" applyAlignment="1" applyProtection="1">
      <alignment horizontal="left" vertical="center"/>
    </xf>
    <xf numFmtId="49" fontId="11" fillId="0" borderId="8" xfId="0" applyNumberFormat="1" applyFont="1" applyFill="1" applyBorder="1" applyAlignment="1" applyProtection="1">
      <alignment horizontal="center" vertical="center"/>
      <protection locked="0"/>
    </xf>
    <xf numFmtId="49" fontId="14" fillId="0" borderId="11" xfId="0" applyNumberFormat="1" applyFont="1" applyFill="1" applyBorder="1" applyAlignment="1" applyProtection="1">
      <alignment horizontal="center" vertical="center"/>
      <protection locked="0"/>
    </xf>
    <xf numFmtId="165" fontId="11" fillId="0" borderId="12" xfId="0" applyNumberFormat="1" applyFont="1" applyFill="1" applyBorder="1" applyAlignment="1" applyProtection="1">
      <alignment horizontal="right" vertical="center"/>
      <protection locked="0"/>
    </xf>
    <xf numFmtId="1" fontId="11" fillId="0" borderId="13" xfId="0" applyNumberFormat="1" applyFont="1" applyFill="1" applyBorder="1" applyAlignment="1" applyProtection="1">
      <alignment horizontal="left" vertical="center"/>
      <protection locked="0"/>
    </xf>
    <xf numFmtId="3" fontId="11" fillId="0" borderId="11" xfId="0" applyNumberFormat="1" applyFont="1" applyFill="1" applyBorder="1" applyAlignment="1" applyProtection="1">
      <alignment horizontal="center" vertical="center"/>
      <protection locked="0"/>
    </xf>
    <xf numFmtId="4" fontId="12" fillId="0" borderId="10" xfId="0" applyNumberFormat="1" applyFont="1" applyFill="1" applyBorder="1" applyAlignment="1" applyProtection="1">
      <alignment horizontal="center" vertical="center"/>
    </xf>
    <xf numFmtId="0" fontId="0" fillId="3" borderId="0" xfId="0" applyFill="1"/>
    <xf numFmtId="0" fontId="4" fillId="3" borderId="0" xfId="0" applyFont="1" applyFill="1"/>
    <xf numFmtId="0" fontId="6" fillId="0" borderId="6" xfId="0" applyFont="1" applyFill="1" applyBorder="1" applyAlignment="1">
      <alignment horizontal="right" vertical="center"/>
    </xf>
    <xf numFmtId="0" fontId="6" fillId="0" borderId="5" xfId="0" applyFont="1" applyFill="1" applyBorder="1" applyAlignment="1">
      <alignment horizontal="right" vertical="center"/>
    </xf>
    <xf numFmtId="0" fontId="6" fillId="0" borderId="2" xfId="0" applyFont="1" applyFill="1" applyBorder="1" applyAlignment="1">
      <alignment horizontal="center"/>
    </xf>
    <xf numFmtId="0" fontId="6" fillId="0" borderId="4" xfId="0" applyFont="1" applyFill="1" applyBorder="1" applyAlignment="1">
      <alignment horizontal="center"/>
    </xf>
    <xf numFmtId="0" fontId="11" fillId="0" borderId="11" xfId="0" applyFont="1" applyFill="1" applyBorder="1" applyAlignment="1" applyProtection="1">
      <alignment horizontal="center" vertical="center"/>
      <protection locked="0"/>
    </xf>
    <xf numFmtId="0" fontId="14" fillId="0" borderId="11" xfId="0" applyFont="1" applyFill="1" applyBorder="1" applyAlignment="1" applyProtection="1">
      <alignment horizontal="center" vertical="center"/>
      <protection locked="0"/>
    </xf>
    <xf numFmtId="37" fontId="11" fillId="0" borderId="13" xfId="1" applyNumberFormat="1" applyFont="1" applyFill="1" applyBorder="1" applyAlignment="1" applyProtection="1">
      <alignment horizontal="center" vertical="center"/>
      <protection locked="0"/>
    </xf>
    <xf numFmtId="37" fontId="12" fillId="0" borderId="10" xfId="1" applyNumberFormat="1" applyFont="1" applyFill="1" applyBorder="1" applyAlignment="1">
      <alignment horizontal="center" vertical="center"/>
    </xf>
    <xf numFmtId="1" fontId="11" fillId="0" borderId="14" xfId="0" applyNumberFormat="1" applyFont="1" applyFill="1" applyBorder="1" applyAlignment="1" applyProtection="1">
      <alignment horizontal="center" vertical="center"/>
      <protection locked="0"/>
    </xf>
    <xf numFmtId="3" fontId="11" fillId="0" borderId="3" xfId="0" applyNumberFormat="1" applyFont="1" applyFill="1" applyBorder="1" applyAlignment="1" applyProtection="1">
      <alignment horizontal="center" vertical="center"/>
      <protection locked="0"/>
    </xf>
    <xf numFmtId="1" fontId="11" fillId="0" borderId="3" xfId="0" applyNumberFormat="1" applyFont="1" applyFill="1" applyBorder="1" applyAlignment="1" applyProtection="1">
      <alignment horizontal="center" vertical="center"/>
      <protection locked="0"/>
    </xf>
    <xf numFmtId="37" fontId="13" fillId="0" borderId="15" xfId="1" applyNumberFormat="1" applyFont="1" applyFill="1" applyBorder="1" applyAlignment="1">
      <alignment horizontal="center" vertical="center"/>
    </xf>
    <xf numFmtId="1" fontId="12" fillId="0" borderId="5" xfId="0" applyNumberFormat="1" applyFont="1" applyFill="1" applyBorder="1" applyAlignment="1" applyProtection="1">
      <alignment horizontal="center" vertical="center"/>
    </xf>
    <xf numFmtId="0" fontId="5" fillId="0" borderId="16" xfId="0" applyFont="1" applyFill="1" applyBorder="1" applyAlignment="1" applyProtection="1">
      <alignment horizontal="center"/>
    </xf>
    <xf numFmtId="0" fontId="5" fillId="0" borderId="17" xfId="0" applyFont="1" applyFill="1" applyBorder="1" applyAlignment="1" applyProtection="1">
      <alignment horizontal="center"/>
    </xf>
    <xf numFmtId="0" fontId="5" fillId="0" borderId="9" xfId="0" applyFont="1" applyFill="1" applyBorder="1" applyAlignment="1" applyProtection="1">
      <alignment horizontal="center"/>
    </xf>
    <xf numFmtId="49" fontId="11" fillId="0" borderId="18" xfId="0" applyNumberFormat="1" applyFont="1" applyFill="1" applyBorder="1" applyAlignment="1" applyProtection="1">
      <alignment horizontal="center" vertical="center"/>
      <protection locked="0"/>
    </xf>
    <xf numFmtId="37" fontId="11" fillId="0" borderId="18" xfId="1" applyNumberFormat="1" applyFont="1" applyFill="1" applyBorder="1" applyAlignment="1" applyProtection="1">
      <alignment horizontal="center" vertical="center"/>
      <protection locked="0"/>
    </xf>
    <xf numFmtId="165" fontId="11" fillId="0" borderId="13" xfId="0" applyNumberFormat="1" applyFont="1" applyFill="1" applyBorder="1" applyAlignment="1" applyProtection="1">
      <alignment horizontal="right" vertical="center"/>
      <protection locked="0"/>
    </xf>
    <xf numFmtId="166" fontId="11" fillId="0" borderId="13" xfId="0" applyNumberFormat="1" applyFont="1" applyFill="1" applyBorder="1" applyAlignment="1" applyProtection="1">
      <alignment horizontal="left" vertical="center"/>
      <protection locked="0"/>
    </xf>
    <xf numFmtId="1" fontId="11" fillId="0" borderId="8" xfId="0" applyNumberFormat="1" applyFont="1" applyFill="1" applyBorder="1" applyAlignment="1" applyProtection="1">
      <alignment horizontal="center" vertical="center"/>
      <protection locked="0"/>
    </xf>
    <xf numFmtId="166" fontId="11" fillId="0" borderId="19" xfId="0" applyNumberFormat="1" applyFont="1" applyFill="1" applyBorder="1" applyAlignment="1" applyProtection="1">
      <alignment horizontal="left" vertical="center"/>
      <protection locked="0"/>
    </xf>
    <xf numFmtId="166" fontId="11" fillId="0" borderId="8" xfId="0" applyNumberFormat="1" applyFont="1" applyFill="1" applyBorder="1" applyAlignment="1" applyProtection="1">
      <alignment horizontal="center" vertical="center"/>
      <protection locked="0"/>
    </xf>
    <xf numFmtId="166" fontId="11" fillId="0" borderId="10" xfId="0" applyNumberFormat="1" applyFont="1" applyFill="1" applyBorder="1" applyAlignment="1" applyProtection="1">
      <alignment horizontal="center" vertical="center"/>
      <protection locked="0"/>
    </xf>
    <xf numFmtId="1" fontId="11" fillId="0" borderId="18" xfId="0" applyNumberFormat="1" applyFont="1" applyFill="1" applyBorder="1" applyAlignment="1" applyProtection="1">
      <alignment horizontal="center" vertical="center"/>
      <protection locked="0"/>
    </xf>
    <xf numFmtId="37" fontId="11" fillId="0" borderId="20" xfId="1" applyNumberFormat="1" applyFont="1" applyFill="1" applyBorder="1" applyAlignment="1" applyProtection="1">
      <alignment horizontal="center" vertical="center"/>
      <protection locked="0"/>
    </xf>
    <xf numFmtId="49" fontId="11" fillId="0" borderId="20" xfId="0" applyNumberFormat="1" applyFont="1" applyFill="1" applyBorder="1" applyAlignment="1" applyProtection="1">
      <alignment horizontal="center" vertical="center"/>
      <protection locked="0"/>
    </xf>
    <xf numFmtId="0" fontId="6" fillId="0" borderId="4" xfId="0" applyFont="1" applyFill="1" applyBorder="1" applyAlignment="1" applyProtection="1">
      <alignment horizontal="right" vertical="center"/>
    </xf>
    <xf numFmtId="0" fontId="11" fillId="0" borderId="21" xfId="0" applyFont="1" applyFill="1" applyBorder="1" applyAlignment="1" applyProtection="1">
      <alignment horizontal="center"/>
      <protection locked="0"/>
    </xf>
    <xf numFmtId="0" fontId="11" fillId="0" borderId="22" xfId="0" applyFont="1" applyFill="1" applyBorder="1" applyAlignment="1" applyProtection="1">
      <alignment horizontal="center"/>
      <protection locked="0"/>
    </xf>
    <xf numFmtId="3" fontId="11" fillId="0" borderId="23" xfId="0" applyNumberFormat="1" applyFont="1" applyFill="1" applyBorder="1" applyAlignment="1" applyProtection="1">
      <alignment horizontal="center"/>
      <protection locked="0"/>
    </xf>
    <xf numFmtId="0" fontId="4" fillId="3" borderId="6" xfId="0" applyFont="1" applyFill="1" applyBorder="1" applyProtection="1"/>
    <xf numFmtId="0" fontId="12" fillId="0" borderId="5" xfId="0" applyFont="1" applyFill="1" applyBorder="1" applyAlignment="1" applyProtection="1">
      <alignment horizontal="left" vertical="center"/>
    </xf>
    <xf numFmtId="49" fontId="11" fillId="0" borderId="24" xfId="0" applyNumberFormat="1" applyFont="1" applyFill="1" applyBorder="1" applyAlignment="1" applyProtection="1">
      <alignment horizontal="center" vertical="center"/>
      <protection locked="0"/>
    </xf>
    <xf numFmtId="37" fontId="11" fillId="0" borderId="25" xfId="1" applyNumberFormat="1" applyFont="1" applyFill="1" applyBorder="1" applyAlignment="1" applyProtection="1">
      <alignment horizontal="center" vertical="center"/>
      <protection locked="0"/>
    </xf>
    <xf numFmtId="165" fontId="11" fillId="0" borderId="26" xfId="0" applyNumberFormat="1" applyFont="1" applyFill="1" applyBorder="1" applyAlignment="1" applyProtection="1">
      <alignment horizontal="right" vertical="center"/>
      <protection locked="0"/>
    </xf>
    <xf numFmtId="166" fontId="11" fillId="0" borderId="26" xfId="0" applyNumberFormat="1" applyFont="1" applyFill="1" applyBorder="1" applyAlignment="1" applyProtection="1">
      <alignment horizontal="left" vertical="center"/>
      <protection locked="0"/>
    </xf>
    <xf numFmtId="1" fontId="11" fillId="0" borderId="21" xfId="0" applyNumberFormat="1" applyFont="1" applyFill="1" applyBorder="1" applyAlignment="1" applyProtection="1">
      <alignment horizontal="center" vertical="center"/>
      <protection locked="0"/>
    </xf>
    <xf numFmtId="165" fontId="11" fillId="0" borderId="22" xfId="0" applyNumberFormat="1" applyFont="1" applyFill="1" applyBorder="1" applyAlignment="1" applyProtection="1">
      <alignment horizontal="right" vertical="center"/>
      <protection locked="0"/>
    </xf>
    <xf numFmtId="166" fontId="11" fillId="0" borderId="27" xfId="0" applyNumberFormat="1" applyFont="1" applyFill="1" applyBorder="1" applyAlignment="1" applyProtection="1">
      <alignment horizontal="left" vertical="center"/>
      <protection locked="0"/>
    </xf>
    <xf numFmtId="166" fontId="11" fillId="0" borderId="21" xfId="0" applyNumberFormat="1" applyFont="1" applyFill="1" applyBorder="1" applyAlignment="1" applyProtection="1">
      <alignment horizontal="center" vertical="center"/>
      <protection locked="0"/>
    </xf>
    <xf numFmtId="166" fontId="11" fillId="0" borderId="23" xfId="0" applyNumberFormat="1" applyFont="1" applyFill="1" applyBorder="1" applyAlignment="1" applyProtection="1">
      <alignment horizontal="center" vertical="center"/>
      <protection locked="0"/>
    </xf>
    <xf numFmtId="1" fontId="11" fillId="0" borderId="24" xfId="0" applyNumberFormat="1" applyFont="1" applyFill="1" applyBorder="1" applyAlignment="1" applyProtection="1">
      <alignment horizontal="center" vertical="center"/>
      <protection locked="0"/>
    </xf>
    <xf numFmtId="165" fontId="11" fillId="0" borderId="28" xfId="0" applyNumberFormat="1" applyFont="1" applyFill="1" applyBorder="1" applyAlignment="1" applyProtection="1">
      <alignment horizontal="right" vertical="center"/>
      <protection locked="0"/>
    </xf>
    <xf numFmtId="166" fontId="11" fillId="0" borderId="28" xfId="0" applyNumberFormat="1" applyFont="1" applyFill="1" applyBorder="1" applyAlignment="1" applyProtection="1">
      <alignment horizontal="left" vertical="center"/>
      <protection locked="0"/>
    </xf>
    <xf numFmtId="1" fontId="11" fillId="0" borderId="29" xfId="0" applyNumberFormat="1" applyFont="1" applyFill="1" applyBorder="1" applyAlignment="1" applyProtection="1">
      <alignment horizontal="center" vertical="center"/>
      <protection locked="0"/>
    </xf>
    <xf numFmtId="165" fontId="11" fillId="0" borderId="30" xfId="0" applyNumberFormat="1" applyFont="1" applyFill="1" applyBorder="1" applyAlignment="1" applyProtection="1">
      <alignment horizontal="right" vertical="center"/>
      <protection locked="0"/>
    </xf>
    <xf numFmtId="166" fontId="11" fillId="0" borderId="31" xfId="0" applyNumberFormat="1" applyFont="1" applyFill="1" applyBorder="1" applyAlignment="1" applyProtection="1">
      <alignment horizontal="left" vertical="center"/>
      <protection locked="0"/>
    </xf>
    <xf numFmtId="166" fontId="11" fillId="0" borderId="29" xfId="0" applyNumberFormat="1" applyFont="1" applyFill="1" applyBorder="1" applyAlignment="1" applyProtection="1">
      <alignment horizontal="center" vertical="center"/>
      <protection locked="0"/>
    </xf>
    <xf numFmtId="166" fontId="11" fillId="0" borderId="32" xfId="0" applyNumberFormat="1" applyFont="1" applyFill="1" applyBorder="1" applyAlignment="1" applyProtection="1">
      <alignment horizontal="center" vertical="center"/>
      <protection locked="0"/>
    </xf>
    <xf numFmtId="1" fontId="11" fillId="0" borderId="20" xfId="0" applyNumberFormat="1" applyFont="1" applyFill="1" applyBorder="1" applyAlignment="1" applyProtection="1">
      <alignment horizontal="center" vertical="center"/>
      <protection locked="0"/>
    </xf>
    <xf numFmtId="0" fontId="11" fillId="0" borderId="21" xfId="0" applyFont="1" applyFill="1" applyBorder="1" applyAlignment="1" applyProtection="1">
      <alignment horizontal="center" vertical="center"/>
      <protection locked="0"/>
    </xf>
    <xf numFmtId="0" fontId="11" fillId="0" borderId="33" xfId="0" applyFont="1" applyFill="1" applyBorder="1" applyAlignment="1" applyProtection="1">
      <alignment horizontal="center" vertical="center"/>
      <protection locked="0"/>
    </xf>
    <xf numFmtId="0" fontId="14" fillId="0" borderId="33" xfId="0" applyFont="1" applyFill="1" applyBorder="1" applyAlignment="1" applyProtection="1">
      <alignment horizontal="center" vertical="center"/>
      <protection locked="0"/>
    </xf>
    <xf numFmtId="3" fontId="11" fillId="0" borderId="33" xfId="0" applyNumberFormat="1" applyFont="1" applyFill="1" applyBorder="1" applyAlignment="1" applyProtection="1">
      <alignment horizontal="center" vertical="center"/>
      <protection locked="0"/>
    </xf>
    <xf numFmtId="37" fontId="11" fillId="0" borderId="26" xfId="1" applyNumberFormat="1" applyFont="1" applyFill="1" applyBorder="1" applyAlignment="1" applyProtection="1">
      <alignment horizontal="center" vertical="center"/>
      <protection locked="0"/>
    </xf>
    <xf numFmtId="37" fontId="12" fillId="0" borderId="23" xfId="1" applyNumberFormat="1" applyFont="1" applyFill="1" applyBorder="1" applyAlignment="1">
      <alignment horizontal="center" vertical="center"/>
    </xf>
    <xf numFmtId="0" fontId="11" fillId="0" borderId="29" xfId="0" applyFont="1" applyFill="1" applyBorder="1" applyAlignment="1" applyProtection="1">
      <alignment horizontal="center" vertical="center"/>
      <protection locked="0"/>
    </xf>
    <xf numFmtId="0" fontId="11" fillId="0" borderId="34" xfId="0" applyFont="1" applyFill="1" applyBorder="1" applyAlignment="1" applyProtection="1">
      <alignment horizontal="center" vertical="center"/>
      <protection locked="0"/>
    </xf>
    <xf numFmtId="0" fontId="14" fillId="0" borderId="34" xfId="0" applyFont="1" applyFill="1" applyBorder="1" applyAlignment="1" applyProtection="1">
      <alignment horizontal="center" vertical="center"/>
      <protection locked="0"/>
    </xf>
    <xf numFmtId="3" fontId="11" fillId="0" borderId="34" xfId="0" applyNumberFormat="1" applyFont="1" applyFill="1" applyBorder="1" applyAlignment="1" applyProtection="1">
      <alignment horizontal="center" vertical="center"/>
      <protection locked="0"/>
    </xf>
    <xf numFmtId="37" fontId="11" fillId="0" borderId="28" xfId="1" applyNumberFormat="1" applyFont="1" applyFill="1" applyBorder="1" applyAlignment="1" applyProtection="1">
      <alignment horizontal="center" vertical="center"/>
      <protection locked="0"/>
    </xf>
    <xf numFmtId="37" fontId="12" fillId="0" borderId="32" xfId="1" applyNumberFormat="1" applyFont="1" applyFill="1" applyBorder="1" applyAlignment="1">
      <alignment horizontal="center" vertical="center"/>
    </xf>
    <xf numFmtId="4" fontId="11" fillId="0" borderId="11" xfId="0" applyNumberFormat="1" applyFont="1" applyFill="1" applyBorder="1" applyAlignment="1" applyProtection="1">
      <alignment horizontal="center" vertical="center"/>
      <protection locked="0"/>
    </xf>
    <xf numFmtId="49" fontId="11" fillId="0" borderId="21" xfId="0" applyNumberFormat="1" applyFont="1" applyFill="1" applyBorder="1" applyAlignment="1" applyProtection="1">
      <alignment horizontal="center" vertical="center"/>
      <protection locked="0"/>
    </xf>
    <xf numFmtId="49" fontId="14" fillId="0" borderId="33" xfId="0" applyNumberFormat="1" applyFont="1" applyFill="1" applyBorder="1" applyAlignment="1" applyProtection="1">
      <alignment horizontal="center" vertical="center"/>
      <protection locked="0"/>
    </xf>
    <xf numFmtId="1" fontId="11" fillId="0" borderId="26" xfId="0" applyNumberFormat="1" applyFont="1" applyFill="1" applyBorder="1" applyAlignment="1" applyProtection="1">
      <alignment horizontal="left" vertical="center"/>
      <protection locked="0"/>
    </xf>
    <xf numFmtId="4" fontId="11" fillId="0" borderId="33" xfId="0" applyNumberFormat="1" applyFont="1" applyFill="1" applyBorder="1" applyAlignment="1" applyProtection="1">
      <alignment horizontal="center" vertical="center"/>
      <protection locked="0"/>
    </xf>
    <xf numFmtId="4" fontId="12" fillId="0" borderId="23" xfId="0" applyNumberFormat="1" applyFont="1" applyFill="1" applyBorder="1" applyAlignment="1" applyProtection="1">
      <alignment horizontal="center" vertical="center"/>
    </xf>
    <xf numFmtId="49" fontId="11" fillId="0" borderId="29" xfId="0" applyNumberFormat="1" applyFont="1" applyFill="1" applyBorder="1" applyAlignment="1" applyProtection="1">
      <alignment horizontal="center" vertical="center"/>
      <protection locked="0"/>
    </xf>
    <xf numFmtId="49" fontId="14" fillId="0" borderId="34" xfId="0" applyNumberFormat="1" applyFont="1" applyFill="1" applyBorder="1" applyAlignment="1" applyProtection="1">
      <alignment horizontal="center" vertical="center"/>
      <protection locked="0"/>
    </xf>
    <xf numFmtId="1" fontId="11" fillId="0" borderId="28" xfId="0" applyNumberFormat="1" applyFont="1" applyFill="1" applyBorder="1" applyAlignment="1" applyProtection="1">
      <alignment horizontal="left" vertical="center"/>
      <protection locked="0"/>
    </xf>
    <xf numFmtId="4" fontId="11" fillId="0" borderId="34" xfId="0" applyNumberFormat="1" applyFont="1" applyFill="1" applyBorder="1" applyAlignment="1" applyProtection="1">
      <alignment horizontal="center" vertical="center"/>
      <protection locked="0"/>
    </xf>
    <xf numFmtId="4" fontId="12" fillId="0" borderId="32" xfId="0" applyNumberFormat="1" applyFont="1" applyFill="1" applyBorder="1" applyAlignment="1" applyProtection="1">
      <alignment horizontal="center" vertical="center"/>
    </xf>
    <xf numFmtId="0" fontId="11" fillId="0" borderId="29" xfId="0" applyFont="1" applyFill="1" applyBorder="1" applyAlignment="1" applyProtection="1">
      <alignment horizontal="center"/>
      <protection locked="0"/>
    </xf>
    <xf numFmtId="0" fontId="11" fillId="0" borderId="30" xfId="0" applyFont="1" applyFill="1" applyBorder="1" applyAlignment="1" applyProtection="1">
      <alignment horizontal="center"/>
      <protection locked="0"/>
    </xf>
    <xf numFmtId="3" fontId="11" fillId="0" borderId="32" xfId="0" applyNumberFormat="1" applyFont="1" applyFill="1" applyBorder="1" applyAlignment="1" applyProtection="1">
      <alignment horizontal="center"/>
      <protection locked="0"/>
    </xf>
    <xf numFmtId="0" fontId="11" fillId="0" borderId="35" xfId="0" applyFont="1" applyFill="1" applyBorder="1" applyAlignment="1" applyProtection="1">
      <alignment horizontal="center"/>
      <protection locked="0"/>
    </xf>
    <xf numFmtId="49" fontId="11" fillId="0" borderId="8" xfId="0" applyNumberFormat="1" applyFont="1" applyFill="1" applyBorder="1" applyAlignment="1" applyProtection="1">
      <alignment horizontal="center"/>
      <protection locked="0"/>
    </xf>
    <xf numFmtId="0" fontId="18" fillId="3" borderId="0" xfId="0" applyFont="1" applyFill="1" applyBorder="1" applyAlignment="1" applyProtection="1"/>
    <xf numFmtId="0" fontId="0" fillId="3" borderId="0" xfId="0" applyFill="1" applyAlignment="1" applyProtection="1">
      <alignment horizontal="left"/>
    </xf>
    <xf numFmtId="0" fontId="4" fillId="3" borderId="0" xfId="0" applyFont="1" applyFill="1" applyBorder="1" applyAlignment="1" applyProtection="1">
      <alignment horizontal="left"/>
    </xf>
    <xf numFmtId="0" fontId="0" fillId="3" borderId="0" xfId="0" applyFill="1" applyAlignment="1" applyProtection="1">
      <alignment horizontal="left" indent="1"/>
    </xf>
    <xf numFmtId="0" fontId="4" fillId="3" borderId="0" xfId="0" applyFont="1" applyFill="1" applyAlignment="1" applyProtection="1">
      <alignment horizontal="left" indent="1"/>
    </xf>
    <xf numFmtId="0" fontId="4" fillId="3" borderId="0" xfId="0" applyFont="1" applyFill="1" applyBorder="1" applyAlignment="1" applyProtection="1">
      <alignment horizontal="left" indent="1"/>
    </xf>
    <xf numFmtId="18" fontId="4" fillId="3" borderId="0" xfId="0" applyNumberFormat="1" applyFont="1" applyFill="1" applyBorder="1" applyAlignment="1" applyProtection="1">
      <alignment horizontal="left" indent="1"/>
    </xf>
    <xf numFmtId="0" fontId="10" fillId="0" borderId="36" xfId="0" applyFont="1" applyFill="1" applyBorder="1" applyAlignment="1" applyProtection="1">
      <alignment horizontal="center"/>
    </xf>
    <xf numFmtId="0" fontId="10" fillId="0" borderId="37" xfId="0" applyFont="1" applyFill="1" applyBorder="1" applyAlignment="1" applyProtection="1">
      <alignment horizontal="center"/>
    </xf>
    <xf numFmtId="0" fontId="10" fillId="0" borderId="38" xfId="0" applyFont="1" applyFill="1" applyBorder="1" applyAlignment="1" applyProtection="1">
      <alignment horizontal="center"/>
    </xf>
    <xf numFmtId="0" fontId="10" fillId="0" borderId="39" xfId="0" applyFont="1" applyFill="1" applyBorder="1" applyAlignment="1" applyProtection="1">
      <alignment horizontal="center"/>
    </xf>
    <xf numFmtId="0" fontId="10" fillId="0" borderId="40" xfId="0" applyFont="1" applyFill="1" applyBorder="1" applyAlignment="1" applyProtection="1">
      <alignment horizontal="center"/>
    </xf>
    <xf numFmtId="0" fontId="10" fillId="0" borderId="6" xfId="0" applyFont="1" applyFill="1" applyBorder="1" applyAlignment="1" applyProtection="1">
      <alignment horizontal="right"/>
    </xf>
    <xf numFmtId="0" fontId="10" fillId="0" borderId="0" xfId="0" applyFont="1" applyFill="1" applyBorder="1" applyAlignment="1" applyProtection="1">
      <alignment horizontal="right"/>
    </xf>
    <xf numFmtId="167" fontId="19" fillId="0" borderId="41" xfId="0" applyNumberFormat="1" applyFont="1" applyFill="1" applyBorder="1" applyAlignment="1" applyProtection="1">
      <alignment horizontal="left"/>
      <protection locked="0"/>
    </xf>
    <xf numFmtId="0" fontId="10" fillId="0" borderId="0" xfId="0" applyFont="1" applyFill="1" applyBorder="1" applyAlignment="1" applyProtection="1">
      <alignment horizontal="center"/>
    </xf>
    <xf numFmtId="1" fontId="19" fillId="0" borderId="41" xfId="0" applyNumberFormat="1" applyFont="1" applyFill="1" applyBorder="1" applyAlignment="1" applyProtection="1">
      <alignment horizontal="left"/>
    </xf>
    <xf numFmtId="0" fontId="14" fillId="0" borderId="35" xfId="0" applyFont="1" applyFill="1" applyBorder="1" applyAlignment="1" applyProtection="1">
      <alignment horizontal="center"/>
      <protection locked="0"/>
    </xf>
    <xf numFmtId="3" fontId="11" fillId="0" borderId="42" xfId="0" applyNumberFormat="1" applyFont="1" applyFill="1" applyBorder="1" applyAlignment="1" applyProtection="1">
      <alignment horizontal="center"/>
      <protection locked="0"/>
    </xf>
    <xf numFmtId="0" fontId="11" fillId="0" borderId="43" xfId="0" applyFont="1" applyFill="1" applyBorder="1" applyAlignment="1" applyProtection="1">
      <alignment horizontal="center"/>
      <protection locked="0"/>
    </xf>
    <xf numFmtId="3" fontId="11" fillId="0" borderId="19" xfId="0" applyNumberFormat="1" applyFont="1" applyFill="1" applyBorder="1" applyAlignment="1" applyProtection="1">
      <alignment horizontal="center"/>
      <protection locked="0"/>
    </xf>
    <xf numFmtId="0" fontId="11" fillId="0" borderId="17" xfId="0" applyFont="1" applyFill="1" applyBorder="1" applyAlignment="1" applyProtection="1">
      <alignment horizontal="center"/>
      <protection locked="0"/>
    </xf>
    <xf numFmtId="0" fontId="11" fillId="0" borderId="44" xfId="0" applyFont="1" applyFill="1" applyBorder="1" applyAlignment="1" applyProtection="1">
      <alignment horizontal="center"/>
      <protection locked="0"/>
    </xf>
    <xf numFmtId="0" fontId="14" fillId="0" borderId="44" xfId="0" applyFont="1" applyFill="1" applyBorder="1" applyAlignment="1" applyProtection="1">
      <alignment horizontal="center"/>
      <protection locked="0"/>
    </xf>
    <xf numFmtId="3" fontId="11" fillId="0" borderId="45" xfId="0" applyNumberFormat="1" applyFont="1" applyFill="1" applyBorder="1" applyAlignment="1" applyProtection="1">
      <alignment horizontal="center"/>
      <protection locked="0"/>
    </xf>
    <xf numFmtId="0" fontId="11" fillId="0" borderId="46" xfId="0" applyFont="1" applyFill="1" applyBorder="1" applyAlignment="1" applyProtection="1">
      <alignment horizontal="center"/>
      <protection locked="0"/>
    </xf>
    <xf numFmtId="3" fontId="11" fillId="0" borderId="47" xfId="0" applyNumberFormat="1" applyFont="1" applyFill="1" applyBorder="1" applyAlignment="1" applyProtection="1">
      <alignment horizontal="center"/>
      <protection locked="0"/>
    </xf>
    <xf numFmtId="49" fontId="11" fillId="0" borderId="17" xfId="0" applyNumberFormat="1" applyFont="1" applyFill="1" applyBorder="1" applyAlignment="1" applyProtection="1">
      <alignment horizontal="center"/>
      <protection locked="0"/>
    </xf>
    <xf numFmtId="1" fontId="22" fillId="0" borderId="0" xfId="0" applyNumberFormat="1" applyFont="1" applyFill="1" applyBorder="1" applyAlignment="1" applyProtection="1">
      <alignment horizontal="center"/>
    </xf>
    <xf numFmtId="0" fontId="5" fillId="0" borderId="48" xfId="0" applyFont="1" applyFill="1" applyBorder="1" applyAlignment="1" applyProtection="1">
      <alignment horizontal="center"/>
    </xf>
    <xf numFmtId="1" fontId="11" fillId="0" borderId="37" xfId="0" applyNumberFormat="1" applyFont="1" applyFill="1" applyBorder="1" applyAlignment="1" applyProtection="1">
      <alignment horizontal="center" vertical="center"/>
      <protection locked="0"/>
    </xf>
    <xf numFmtId="1" fontId="11" fillId="0" borderId="11" xfId="0" applyNumberFormat="1" applyFont="1" applyFill="1" applyBorder="1" applyAlignment="1" applyProtection="1">
      <alignment horizontal="center" vertical="center"/>
      <protection locked="0"/>
    </xf>
    <xf numFmtId="0" fontId="5" fillId="0" borderId="46" xfId="0" applyFont="1" applyFill="1" applyBorder="1" applyAlignment="1" applyProtection="1">
      <alignment horizontal="center"/>
    </xf>
    <xf numFmtId="165" fontId="11" fillId="0" borderId="49" xfId="0" applyNumberFormat="1" applyFont="1" applyFill="1" applyBorder="1" applyAlignment="1" applyProtection="1">
      <alignment horizontal="right" vertical="center"/>
      <protection locked="0"/>
    </xf>
    <xf numFmtId="166" fontId="11" fillId="0" borderId="50" xfId="0" applyNumberFormat="1" applyFont="1" applyFill="1" applyBorder="1" applyAlignment="1" applyProtection="1">
      <alignment horizontal="left" vertical="center"/>
      <protection locked="0"/>
    </xf>
    <xf numFmtId="49" fontId="11" fillId="0" borderId="18" xfId="1" applyNumberFormat="1" applyFont="1" applyFill="1" applyBorder="1" applyAlignment="1" applyProtection="1">
      <alignment horizontal="center" vertical="center"/>
      <protection locked="0"/>
    </xf>
    <xf numFmtId="49" fontId="11" fillId="0" borderId="51" xfId="1" applyNumberFormat="1" applyFont="1" applyFill="1" applyBorder="1" applyAlignment="1" applyProtection="1">
      <alignment horizontal="center" vertical="center"/>
      <protection locked="0"/>
    </xf>
    <xf numFmtId="0" fontId="4" fillId="3" borderId="0" xfId="0" applyFont="1" applyFill="1" applyBorder="1" applyAlignment="1" applyProtection="1"/>
    <xf numFmtId="0" fontId="6" fillId="0" borderId="52" xfId="0" applyFont="1" applyFill="1" applyBorder="1" applyAlignment="1" applyProtection="1">
      <alignment horizontal="right" vertical="center"/>
    </xf>
    <xf numFmtId="1" fontId="12" fillId="0" borderId="9" xfId="0" applyNumberFormat="1" applyFont="1" applyFill="1" applyBorder="1" applyAlignment="1" applyProtection="1">
      <alignment horizontal="center" vertical="center"/>
    </xf>
    <xf numFmtId="38" fontId="11" fillId="0" borderId="36" xfId="0" applyNumberFormat="1" applyFont="1" applyFill="1" applyBorder="1" applyAlignment="1" applyProtection="1">
      <alignment horizontal="center" vertical="center"/>
      <protection locked="0"/>
    </xf>
    <xf numFmtId="38" fontId="11" fillId="0" borderId="8" xfId="0" applyNumberFormat="1" applyFont="1" applyFill="1" applyBorder="1" applyAlignment="1" applyProtection="1">
      <alignment horizontal="center" vertical="center"/>
      <protection locked="0"/>
    </xf>
    <xf numFmtId="1" fontId="11" fillId="4" borderId="21" xfId="0" applyNumberFormat="1" applyFont="1" applyFill="1" applyBorder="1" applyAlignment="1" applyProtection="1">
      <alignment horizontal="center" vertical="center"/>
      <protection locked="0"/>
    </xf>
    <xf numFmtId="0" fontId="5" fillId="0" borderId="53" xfId="0" applyFont="1" applyFill="1" applyBorder="1" applyAlignment="1" applyProtection="1">
      <alignment horizontal="center"/>
    </xf>
    <xf numFmtId="49" fontId="11" fillId="0" borderId="35" xfId="0" applyNumberFormat="1" applyFont="1" applyFill="1" applyBorder="1" applyAlignment="1" applyProtection="1">
      <alignment horizontal="center" vertical="center"/>
      <protection locked="0"/>
    </xf>
    <xf numFmtId="1" fontId="11" fillId="4" borderId="25" xfId="0" applyNumberFormat="1" applyFont="1" applyFill="1" applyBorder="1" applyAlignment="1" applyProtection="1">
      <alignment horizontal="center" vertical="center"/>
      <protection locked="0"/>
    </xf>
    <xf numFmtId="1" fontId="11" fillId="4" borderId="54" xfId="0" applyNumberFormat="1" applyFont="1" applyFill="1" applyBorder="1" applyAlignment="1" applyProtection="1">
      <alignment horizontal="center" vertical="center"/>
      <protection locked="0"/>
    </xf>
    <xf numFmtId="1" fontId="11" fillId="0" borderId="54" xfId="0" applyNumberFormat="1" applyFont="1" applyFill="1" applyBorder="1" applyAlignment="1" applyProtection="1">
      <alignment horizontal="center" vertical="center"/>
      <protection locked="0"/>
    </xf>
    <xf numFmtId="1" fontId="11" fillId="0" borderId="55" xfId="0" applyNumberFormat="1" applyFont="1" applyFill="1" applyBorder="1" applyAlignment="1" applyProtection="1">
      <alignment horizontal="center" vertical="center"/>
      <protection locked="0"/>
    </xf>
    <xf numFmtId="0" fontId="5" fillId="0" borderId="44" xfId="0" applyFont="1" applyFill="1" applyBorder="1" applyAlignment="1" applyProtection="1">
      <alignment horizontal="center"/>
    </xf>
    <xf numFmtId="49" fontId="11" fillId="0" borderId="56" xfId="0" applyNumberFormat="1" applyFont="1" applyFill="1" applyBorder="1" applyAlignment="1" applyProtection="1">
      <alignment horizontal="center" vertical="center"/>
      <protection locked="0"/>
    </xf>
    <xf numFmtId="1" fontId="11" fillId="0" borderId="39" xfId="0" applyNumberFormat="1" applyFont="1" applyFill="1" applyBorder="1" applyAlignment="1" applyProtection="1">
      <alignment horizontal="center" vertical="center"/>
      <protection locked="0"/>
    </xf>
    <xf numFmtId="1" fontId="11" fillId="0" borderId="43" xfId="0" applyNumberFormat="1" applyFont="1" applyFill="1" applyBorder="1" applyAlignment="1" applyProtection="1">
      <alignment horizontal="center" vertical="center"/>
      <protection locked="0"/>
    </xf>
    <xf numFmtId="1" fontId="11" fillId="0" borderId="46" xfId="0" applyNumberFormat="1" applyFont="1" applyFill="1" applyBorder="1" applyAlignment="1" applyProtection="1">
      <alignment horizontal="center" vertical="center"/>
      <protection locked="0"/>
    </xf>
    <xf numFmtId="1" fontId="33" fillId="0" borderId="57" xfId="0" applyNumberFormat="1" applyFont="1" applyFill="1" applyBorder="1" applyAlignment="1" applyProtection="1">
      <alignment horizontal="center" vertical="center"/>
      <protection locked="0"/>
    </xf>
    <xf numFmtId="0" fontId="0" fillId="5" borderId="58" xfId="0" applyFill="1" applyBorder="1" applyAlignment="1" applyProtection="1">
      <alignment horizontal="center"/>
      <protection hidden="1"/>
    </xf>
    <xf numFmtId="0" fontId="34" fillId="5" borderId="0" xfId="0" applyFont="1" applyFill="1" applyBorder="1" applyAlignment="1" applyProtection="1">
      <alignment horizontal="left"/>
      <protection hidden="1"/>
    </xf>
    <xf numFmtId="0" fontId="0" fillId="5" borderId="59" xfId="0" applyFill="1" applyBorder="1" applyAlignment="1" applyProtection="1">
      <alignment horizontal="center"/>
      <protection hidden="1"/>
    </xf>
    <xf numFmtId="0" fontId="34" fillId="5" borderId="60" xfId="0" applyFont="1" applyFill="1" applyBorder="1" applyAlignment="1" applyProtection="1">
      <alignment horizontal="left"/>
      <protection hidden="1"/>
    </xf>
    <xf numFmtId="0" fontId="35" fillId="5" borderId="58" xfId="0" applyFont="1" applyFill="1" applyBorder="1" applyAlignment="1" applyProtection="1">
      <alignment horizontal="center" vertical="center"/>
      <protection hidden="1"/>
    </xf>
    <xf numFmtId="0" fontId="39" fillId="5" borderId="0" xfId="0" applyFont="1" applyFill="1" applyBorder="1" applyAlignment="1" applyProtection="1">
      <alignment horizontal="left" vertical="center"/>
      <protection hidden="1"/>
    </xf>
    <xf numFmtId="0" fontId="35" fillId="5" borderId="59" xfId="0" applyFont="1" applyFill="1" applyBorder="1" applyAlignment="1" applyProtection="1">
      <alignment horizontal="center" vertical="center"/>
      <protection hidden="1"/>
    </xf>
    <xf numFmtId="0" fontId="39" fillId="5" borderId="60" xfId="0" applyFont="1" applyFill="1" applyBorder="1" applyAlignment="1" applyProtection="1">
      <alignment horizontal="left" vertical="center"/>
      <protection hidden="1"/>
    </xf>
    <xf numFmtId="0" fontId="0" fillId="5" borderId="58" xfId="0" applyFill="1" applyBorder="1" applyAlignment="1" applyProtection="1">
      <alignment horizontal="center" vertical="center"/>
      <protection hidden="1"/>
    </xf>
    <xf numFmtId="0" fontId="0" fillId="5" borderId="0" xfId="0" applyFill="1" applyBorder="1" applyAlignment="1" applyProtection="1">
      <alignment horizontal="center" vertical="center"/>
      <protection hidden="1"/>
    </xf>
    <xf numFmtId="0" fontId="0" fillId="5" borderId="59" xfId="0" applyFill="1" applyBorder="1" applyAlignment="1" applyProtection="1">
      <alignment horizontal="center" vertical="center"/>
      <protection hidden="1"/>
    </xf>
    <xf numFmtId="0" fontId="0" fillId="5" borderId="60" xfId="0" applyFill="1" applyBorder="1" applyAlignment="1" applyProtection="1">
      <alignment horizontal="center" vertical="center"/>
      <protection hidden="1"/>
    </xf>
    <xf numFmtId="0" fontId="35" fillId="5" borderId="61" xfId="0" applyFont="1" applyFill="1" applyBorder="1" applyAlignment="1" applyProtection="1">
      <alignment horizontal="center" vertical="center"/>
      <protection hidden="1"/>
    </xf>
    <xf numFmtId="1" fontId="33" fillId="5" borderId="62" xfId="0" applyNumberFormat="1" applyFont="1" applyFill="1" applyBorder="1" applyAlignment="1" applyProtection="1">
      <alignment horizontal="center" vertical="center"/>
      <protection hidden="1"/>
    </xf>
    <xf numFmtId="0" fontId="38" fillId="5" borderId="62" xfId="0" applyFont="1" applyFill="1" applyBorder="1" applyAlignment="1" applyProtection="1">
      <alignment horizontal="left" vertical="center"/>
      <protection hidden="1"/>
    </xf>
    <xf numFmtId="0" fontId="35" fillId="5" borderId="63" xfId="0" applyFont="1" applyFill="1" applyBorder="1" applyAlignment="1" applyProtection="1">
      <alignment horizontal="center" vertical="center"/>
      <protection hidden="1"/>
    </xf>
    <xf numFmtId="0" fontId="38" fillId="5" borderId="64" xfId="0" applyFont="1" applyFill="1" applyBorder="1" applyAlignment="1" applyProtection="1">
      <alignment horizontal="left" vertical="center"/>
      <protection hidden="1"/>
    </xf>
    <xf numFmtId="0" fontId="0" fillId="5" borderId="65" xfId="0" applyFill="1" applyBorder="1" applyAlignment="1" applyProtection="1">
      <alignment horizontal="center"/>
      <protection hidden="1"/>
    </xf>
    <xf numFmtId="0" fontId="0" fillId="5" borderId="66" xfId="0" applyFill="1" applyBorder="1" applyProtection="1">
      <protection hidden="1"/>
    </xf>
    <xf numFmtId="0" fontId="0" fillId="5" borderId="67" xfId="0" applyFill="1" applyBorder="1" applyAlignment="1" applyProtection="1">
      <alignment horizontal="center"/>
      <protection hidden="1"/>
    </xf>
    <xf numFmtId="0" fontId="0" fillId="5" borderId="68" xfId="0" applyFill="1" applyBorder="1" applyProtection="1">
      <protection hidden="1"/>
    </xf>
    <xf numFmtId="1" fontId="33" fillId="5" borderId="0" xfId="0" applyNumberFormat="1" applyFont="1" applyFill="1" applyBorder="1" applyAlignment="1" applyProtection="1">
      <alignment horizontal="center"/>
      <protection hidden="1"/>
    </xf>
    <xf numFmtId="0" fontId="0" fillId="5" borderId="66" xfId="0" applyFill="1" applyBorder="1" applyAlignment="1" applyProtection="1">
      <alignment horizontal="center"/>
      <protection hidden="1"/>
    </xf>
    <xf numFmtId="0" fontId="36" fillId="6" borderId="69" xfId="0" applyFont="1" applyFill="1" applyBorder="1" applyAlignment="1" applyProtection="1">
      <alignment horizontal="center" vertical="center" wrapText="1"/>
      <protection hidden="1"/>
    </xf>
    <xf numFmtId="1" fontId="37" fillId="6" borderId="70" xfId="0" applyNumberFormat="1" applyFont="1" applyFill="1" applyBorder="1" applyAlignment="1" applyProtection="1">
      <alignment horizontal="center" vertical="center"/>
      <protection hidden="1"/>
    </xf>
    <xf numFmtId="0" fontId="37" fillId="6" borderId="70" xfId="0" applyFont="1" applyFill="1" applyBorder="1" applyAlignment="1" applyProtection="1">
      <alignment horizontal="center" vertical="center"/>
      <protection hidden="1"/>
    </xf>
    <xf numFmtId="0" fontId="36" fillId="6" borderId="70" xfId="0" applyFont="1" applyFill="1" applyBorder="1" applyAlignment="1" applyProtection="1">
      <alignment horizontal="center" vertical="center" wrapText="1"/>
      <protection hidden="1"/>
    </xf>
    <xf numFmtId="0" fontId="37" fillId="6" borderId="71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5" fillId="0" borderId="0" xfId="0" applyFont="1" applyBorder="1" applyAlignment="1" applyProtection="1">
      <alignment horizontal="right"/>
      <protection hidden="1"/>
    </xf>
    <xf numFmtId="14" fontId="3" fillId="0" borderId="26" xfId="0" applyNumberFormat="1" applyFont="1" applyBorder="1" applyAlignment="1" applyProtection="1">
      <alignment horizontal="left"/>
      <protection locked="0"/>
    </xf>
    <xf numFmtId="0" fontId="0" fillId="0" borderId="26" xfId="0" applyBorder="1" applyProtection="1">
      <protection locked="0"/>
    </xf>
    <xf numFmtId="0" fontId="3" fillId="0" borderId="26" xfId="0" applyFont="1" applyBorder="1" applyAlignment="1" applyProtection="1">
      <protection locked="0"/>
    </xf>
    <xf numFmtId="0" fontId="3" fillId="0" borderId="0" xfId="0" applyFont="1" applyBorder="1" applyAlignment="1" applyProtection="1">
      <protection locked="0"/>
    </xf>
    <xf numFmtId="0" fontId="3" fillId="0" borderId="0" xfId="0" applyFont="1" applyBorder="1" applyAlignment="1" applyProtection="1">
      <alignment horizontal="right"/>
      <protection hidden="1"/>
    </xf>
    <xf numFmtId="0" fontId="0" fillId="0" borderId="0" xfId="0" applyBorder="1" applyProtection="1">
      <protection hidden="1"/>
    </xf>
    <xf numFmtId="0" fontId="5" fillId="0" borderId="72" xfId="0" applyFont="1" applyBorder="1" applyAlignment="1" applyProtection="1">
      <alignment horizontal="center"/>
      <protection hidden="1"/>
    </xf>
    <xf numFmtId="0" fontId="5" fillId="0" borderId="73" xfId="0" applyFont="1" applyBorder="1" applyAlignment="1" applyProtection="1">
      <alignment horizontal="center"/>
      <protection hidden="1"/>
    </xf>
    <xf numFmtId="0" fontId="3" fillId="0" borderId="74" xfId="0" applyFont="1" applyFill="1" applyBorder="1" applyAlignment="1" applyProtection="1">
      <alignment horizontal="center"/>
      <protection hidden="1"/>
    </xf>
    <xf numFmtId="0" fontId="2" fillId="0" borderId="75" xfId="0" applyFont="1" applyFill="1" applyBorder="1" applyAlignment="1" applyProtection="1">
      <alignment horizontal="center"/>
      <protection hidden="1"/>
    </xf>
    <xf numFmtId="0" fontId="2" fillId="0" borderId="76" xfId="0" applyFont="1" applyFill="1" applyBorder="1" applyAlignment="1" applyProtection="1">
      <alignment horizontal="center"/>
      <protection hidden="1"/>
    </xf>
    <xf numFmtId="0" fontId="2" fillId="0" borderId="77" xfId="0" applyFont="1" applyFill="1" applyBorder="1" applyAlignment="1" applyProtection="1">
      <alignment horizontal="center"/>
      <protection hidden="1"/>
    </xf>
    <xf numFmtId="0" fontId="2" fillId="0" borderId="77" xfId="0" applyFont="1" applyFill="1" applyBorder="1" applyProtection="1">
      <protection hidden="1"/>
    </xf>
    <xf numFmtId="0" fontId="2" fillId="0" borderId="78" xfId="0" applyFont="1" applyFill="1" applyBorder="1" applyProtection="1">
      <protection hidden="1"/>
    </xf>
    <xf numFmtId="0" fontId="2" fillId="0" borderId="79" xfId="0" applyFont="1" applyFill="1" applyBorder="1" applyProtection="1">
      <protection hidden="1"/>
    </xf>
    <xf numFmtId="0" fontId="2" fillId="0" borderId="76" xfId="0" applyFont="1" applyFill="1" applyBorder="1" applyProtection="1">
      <protection hidden="1"/>
    </xf>
    <xf numFmtId="0" fontId="2" fillId="0" borderId="80" xfId="0" applyFont="1" applyFill="1" applyBorder="1" applyProtection="1">
      <protection hidden="1"/>
    </xf>
    <xf numFmtId="0" fontId="2" fillId="0" borderId="81" xfId="0" applyFont="1" applyFill="1" applyBorder="1" applyProtection="1">
      <protection hidden="1"/>
    </xf>
    <xf numFmtId="49" fontId="11" fillId="0" borderId="82" xfId="0" applyNumberFormat="1" applyFont="1" applyFill="1" applyBorder="1" applyAlignment="1" applyProtection="1">
      <alignment horizontal="center"/>
      <protection locked="0"/>
    </xf>
    <xf numFmtId="0" fontId="11" fillId="0" borderId="35" xfId="0" applyFont="1" applyFill="1" applyBorder="1" applyAlignment="1" applyProtection="1">
      <alignment horizontal="center"/>
      <protection locked="0"/>
    </xf>
    <xf numFmtId="0" fontId="6" fillId="0" borderId="6" xfId="0" applyFont="1" applyFill="1" applyBorder="1" applyAlignment="1">
      <alignment horizontal="right" vertical="center"/>
    </xf>
    <xf numFmtId="0" fontId="6" fillId="0" borderId="5" xfId="0" applyFont="1" applyFill="1" applyBorder="1" applyAlignment="1">
      <alignment horizontal="right" vertical="center"/>
    </xf>
    <xf numFmtId="0" fontId="6" fillId="0" borderId="6" xfId="0" applyFont="1" applyFill="1" applyBorder="1" applyAlignment="1" applyProtection="1">
      <alignment horizontal="right" vertical="center"/>
    </xf>
    <xf numFmtId="0" fontId="6" fillId="0" borderId="5" xfId="0" applyFont="1" applyFill="1" applyBorder="1" applyAlignment="1" applyProtection="1">
      <alignment horizontal="right" vertical="center"/>
    </xf>
    <xf numFmtId="0" fontId="5" fillId="0" borderId="53" xfId="0" applyFont="1" applyFill="1" applyBorder="1" applyAlignment="1" applyProtection="1">
      <alignment horizontal="center"/>
    </xf>
    <xf numFmtId="0" fontId="5" fillId="0" borderId="9" xfId="0" applyFont="1" applyFill="1" applyBorder="1" applyAlignment="1" applyProtection="1">
      <alignment horizontal="center"/>
    </xf>
    <xf numFmtId="0" fontId="5" fillId="0" borderId="7" xfId="0" applyFont="1" applyFill="1" applyBorder="1" applyAlignment="1" applyProtection="1">
      <alignment horizontal="center"/>
    </xf>
    <xf numFmtId="0" fontId="5" fillId="0" borderId="16" xfId="0" applyFont="1" applyFill="1" applyBorder="1" applyAlignment="1" applyProtection="1">
      <alignment horizontal="center"/>
    </xf>
    <xf numFmtId="49" fontId="11" fillId="0" borderId="35" xfId="0" applyNumberFormat="1" applyFont="1" applyFill="1" applyBorder="1" applyAlignment="1" applyProtection="1">
      <alignment horizontal="center" vertical="center"/>
      <protection locked="0"/>
    </xf>
    <xf numFmtId="0" fontId="6" fillId="0" borderId="6" xfId="0" applyFont="1" applyFill="1" applyBorder="1" applyAlignment="1" applyProtection="1">
      <alignment horizontal="right" vertical="center"/>
    </xf>
    <xf numFmtId="0" fontId="6" fillId="0" borderId="5" xfId="0" applyFont="1" applyFill="1" applyBorder="1" applyAlignment="1" applyProtection="1">
      <alignment horizontal="right" vertical="center"/>
    </xf>
    <xf numFmtId="0" fontId="5" fillId="0" borderId="7" xfId="0" applyFont="1" applyFill="1" applyBorder="1" applyAlignment="1" applyProtection="1">
      <alignment horizontal="center"/>
    </xf>
    <xf numFmtId="0" fontId="5" fillId="0" borderId="16" xfId="0" applyFont="1" applyFill="1" applyBorder="1" applyAlignment="1" applyProtection="1">
      <alignment horizontal="center"/>
    </xf>
    <xf numFmtId="0" fontId="5" fillId="0" borderId="53" xfId="0" applyFont="1" applyFill="1" applyBorder="1" applyAlignment="1" applyProtection="1">
      <alignment horizontal="center"/>
    </xf>
    <xf numFmtId="0" fontId="5" fillId="0" borderId="9" xfId="0" applyFont="1" applyFill="1" applyBorder="1" applyAlignment="1" applyProtection="1">
      <alignment horizontal="center"/>
    </xf>
    <xf numFmtId="49" fontId="11" fillId="0" borderId="35" xfId="0" applyNumberFormat="1" applyFont="1" applyFill="1" applyBorder="1" applyAlignment="1" applyProtection="1">
      <alignment horizontal="center" vertical="center"/>
      <protection locked="0"/>
    </xf>
    <xf numFmtId="49" fontId="11" fillId="0" borderId="13" xfId="0" applyNumberFormat="1" applyFont="1" applyFill="1" applyBorder="1" applyAlignment="1" applyProtection="1">
      <alignment horizontal="left"/>
      <protection locked="0"/>
    </xf>
    <xf numFmtId="49" fontId="11" fillId="0" borderId="19" xfId="0" applyNumberFormat="1" applyFont="1" applyFill="1" applyBorder="1" applyAlignment="1" applyProtection="1">
      <alignment horizontal="left"/>
      <protection locked="0"/>
    </xf>
    <xf numFmtId="1" fontId="11" fillId="0" borderId="25" xfId="0" applyNumberFormat="1" applyFont="1" applyFill="1" applyBorder="1" applyAlignment="1" applyProtection="1">
      <alignment horizontal="center" vertical="center"/>
      <protection locked="0"/>
    </xf>
    <xf numFmtId="49" fontId="11" fillId="0" borderId="13" xfId="0" applyNumberFormat="1" applyFont="1" applyFill="1" applyBorder="1" applyAlignment="1" applyProtection="1">
      <alignment horizontal="left" vertical="center" indent="1"/>
      <protection locked="0"/>
    </xf>
    <xf numFmtId="49" fontId="11" fillId="0" borderId="19" xfId="0" applyNumberFormat="1" applyFont="1" applyFill="1" applyBorder="1" applyAlignment="1" applyProtection="1">
      <alignment horizontal="left" vertical="center" indent="1"/>
      <protection locked="0"/>
    </xf>
    <xf numFmtId="0" fontId="6" fillId="0" borderId="83" xfId="0" applyFont="1" applyFill="1" applyBorder="1" applyAlignment="1" applyProtection="1">
      <alignment horizontal="right" vertical="center"/>
    </xf>
    <xf numFmtId="0" fontId="6" fillId="0" borderId="6" xfId="0" applyFont="1" applyFill="1" applyBorder="1" applyAlignment="1" applyProtection="1">
      <alignment horizontal="right" vertical="center"/>
    </xf>
    <xf numFmtId="0" fontId="6" fillId="0" borderId="53" xfId="0" applyFont="1" applyFill="1" applyBorder="1" applyAlignment="1" applyProtection="1">
      <alignment horizontal="right" vertical="center"/>
    </xf>
    <xf numFmtId="0" fontId="6" fillId="0" borderId="5" xfId="0" applyFont="1" applyFill="1" applyBorder="1" applyAlignment="1" applyProtection="1">
      <alignment horizontal="right" vertical="center"/>
    </xf>
    <xf numFmtId="0" fontId="6" fillId="0" borderId="84" xfId="0" applyFont="1" applyFill="1" applyBorder="1" applyAlignment="1" applyProtection="1">
      <alignment horizontal="left" vertical="center"/>
    </xf>
    <xf numFmtId="0" fontId="6" fillId="0" borderId="26" xfId="0" applyFont="1" applyFill="1" applyBorder="1" applyAlignment="1" applyProtection="1">
      <alignment horizontal="left" vertical="center"/>
    </xf>
    <xf numFmtId="0" fontId="6" fillId="0" borderId="27" xfId="0" applyFont="1" applyFill="1" applyBorder="1" applyAlignment="1" applyProtection="1">
      <alignment horizontal="left" vertical="center"/>
    </xf>
    <xf numFmtId="164" fontId="12" fillId="0" borderId="6" xfId="0" applyNumberFormat="1" applyFont="1" applyFill="1" applyBorder="1" applyAlignment="1" applyProtection="1">
      <alignment horizontal="left" vertical="center"/>
    </xf>
    <xf numFmtId="164" fontId="12" fillId="0" borderId="85" xfId="0" applyNumberFormat="1" applyFont="1" applyFill="1" applyBorder="1" applyAlignment="1" applyProtection="1">
      <alignment horizontal="left" vertical="center"/>
    </xf>
    <xf numFmtId="49" fontId="11" fillId="0" borderId="89" xfId="0" applyNumberFormat="1" applyFont="1" applyFill="1" applyBorder="1" applyAlignment="1" applyProtection="1">
      <alignment horizontal="left" vertical="center"/>
      <protection locked="0"/>
    </xf>
    <xf numFmtId="49" fontId="11" fillId="0" borderId="90" xfId="0" applyNumberFormat="1" applyFont="1" applyFill="1" applyBorder="1" applyAlignment="1" applyProtection="1">
      <alignment horizontal="left" vertical="center"/>
      <protection locked="0"/>
    </xf>
    <xf numFmtId="49" fontId="11" fillId="0" borderId="47" xfId="0" applyNumberFormat="1" applyFont="1" applyFill="1" applyBorder="1" applyAlignment="1" applyProtection="1">
      <alignment horizontal="left" vertical="center"/>
      <protection locked="0"/>
    </xf>
    <xf numFmtId="0" fontId="4" fillId="7" borderId="4" xfId="0" applyFont="1" applyFill="1" applyBorder="1" applyAlignment="1" applyProtection="1">
      <alignment horizontal="center" vertical="center"/>
    </xf>
    <xf numFmtId="0" fontId="4" fillId="7" borderId="91" xfId="0" applyFont="1" applyFill="1" applyBorder="1" applyAlignment="1" applyProtection="1">
      <alignment horizontal="center" vertical="center"/>
    </xf>
    <xf numFmtId="0" fontId="4" fillId="7" borderId="1" xfId="0" applyFont="1" applyFill="1" applyBorder="1" applyAlignment="1" applyProtection="1">
      <alignment horizontal="center" vertical="center"/>
    </xf>
    <xf numFmtId="3" fontId="13" fillId="0" borderId="91" xfId="0" applyNumberFormat="1" applyFont="1" applyFill="1" applyBorder="1" applyAlignment="1" applyProtection="1">
      <alignment horizontal="left" vertical="center" indent="1"/>
    </xf>
    <xf numFmtId="3" fontId="13" fillId="0" borderId="1" xfId="0" applyNumberFormat="1" applyFont="1" applyFill="1" applyBorder="1" applyAlignment="1" applyProtection="1">
      <alignment horizontal="left" vertical="center" indent="1"/>
    </xf>
    <xf numFmtId="49" fontId="11" fillId="0" borderId="83" xfId="0" applyNumberFormat="1" applyFont="1" applyFill="1" applyBorder="1" applyAlignment="1" applyProtection="1">
      <alignment horizontal="left" vertical="center"/>
      <protection locked="0"/>
    </xf>
    <xf numFmtId="49" fontId="11" fillId="0" borderId="6" xfId="0" applyNumberFormat="1" applyFont="1" applyFill="1" applyBorder="1" applyAlignment="1" applyProtection="1">
      <alignment horizontal="left" vertical="center"/>
      <protection locked="0"/>
    </xf>
    <xf numFmtId="49" fontId="11" fillId="0" borderId="85" xfId="0" applyNumberFormat="1" applyFont="1" applyFill="1" applyBorder="1" applyAlignment="1" applyProtection="1">
      <alignment horizontal="left" vertical="center"/>
      <protection locked="0"/>
    </xf>
    <xf numFmtId="49" fontId="11" fillId="0" borderId="54" xfId="0" applyNumberFormat="1" applyFont="1" applyFill="1" applyBorder="1" applyAlignment="1" applyProtection="1">
      <alignment horizontal="left" vertical="center"/>
      <protection locked="0"/>
    </xf>
    <xf numFmtId="49" fontId="11" fillId="0" borderId="13" xfId="0" applyNumberFormat="1" applyFont="1" applyFill="1" applyBorder="1" applyAlignment="1" applyProtection="1">
      <alignment horizontal="left" vertical="center"/>
      <protection locked="0"/>
    </xf>
    <xf numFmtId="49" fontId="11" fillId="0" borderId="19" xfId="0" applyNumberFormat="1" applyFont="1" applyFill="1" applyBorder="1" applyAlignment="1" applyProtection="1">
      <alignment horizontal="left" vertical="center"/>
      <protection locked="0"/>
    </xf>
    <xf numFmtId="0" fontId="12" fillId="0" borderId="6" xfId="0" applyFont="1" applyFill="1" applyBorder="1" applyAlignment="1" applyProtection="1">
      <alignment horizontal="left" vertical="center"/>
    </xf>
    <xf numFmtId="0" fontId="5" fillId="0" borderId="52" xfId="0" applyFont="1" applyFill="1" applyBorder="1" applyAlignment="1" applyProtection="1">
      <alignment horizontal="center"/>
    </xf>
    <xf numFmtId="0" fontId="5" fillId="0" borderId="87" xfId="0" applyFont="1" applyFill="1" applyBorder="1" applyAlignment="1" applyProtection="1">
      <alignment horizontal="center"/>
    </xf>
    <xf numFmtId="0" fontId="5" fillId="0" borderId="50" xfId="0" applyFont="1" applyFill="1" applyBorder="1" applyAlignment="1" applyProtection="1">
      <alignment horizontal="center"/>
    </xf>
    <xf numFmtId="49" fontId="6" fillId="0" borderId="87" xfId="0" applyNumberFormat="1" applyFont="1" applyFill="1" applyBorder="1" applyAlignment="1" applyProtection="1">
      <alignment horizontal="center" vertical="center"/>
    </xf>
    <xf numFmtId="49" fontId="6" fillId="0" borderId="50" xfId="0" applyNumberFormat="1" applyFont="1" applyFill="1" applyBorder="1" applyAlignment="1" applyProtection="1">
      <alignment horizontal="center" vertical="center"/>
    </xf>
    <xf numFmtId="0" fontId="5" fillId="0" borderId="86" xfId="0" applyFont="1" applyFill="1" applyBorder="1" applyAlignment="1" applyProtection="1">
      <alignment horizontal="center"/>
    </xf>
    <xf numFmtId="0" fontId="5" fillId="0" borderId="47" xfId="0" applyFont="1" applyFill="1" applyBorder="1" applyAlignment="1" applyProtection="1">
      <alignment horizontal="center"/>
    </xf>
    <xf numFmtId="0" fontId="5" fillId="0" borderId="88" xfId="0" applyFont="1" applyFill="1" applyBorder="1" applyAlignment="1" applyProtection="1">
      <alignment horizontal="center"/>
    </xf>
    <xf numFmtId="0" fontId="5" fillId="0" borderId="7" xfId="0" applyFont="1" applyFill="1" applyBorder="1" applyAlignment="1" applyProtection="1">
      <alignment horizontal="center"/>
    </xf>
    <xf numFmtId="0" fontId="5" fillId="0" borderId="16" xfId="0" applyFont="1" applyFill="1" applyBorder="1" applyAlignment="1" applyProtection="1">
      <alignment horizontal="center"/>
    </xf>
    <xf numFmtId="0" fontId="12" fillId="0" borderId="5" xfId="0" applyFont="1" applyFill="1" applyBorder="1" applyAlignment="1" applyProtection="1">
      <alignment horizontal="left" vertical="center"/>
    </xf>
    <xf numFmtId="0" fontId="5" fillId="0" borderId="83" xfId="0" applyFont="1" applyFill="1" applyBorder="1" applyAlignment="1" applyProtection="1">
      <alignment horizontal="center" wrapText="1"/>
    </xf>
    <xf numFmtId="0" fontId="5" fillId="0" borderId="85" xfId="0" applyFont="1" applyFill="1" applyBorder="1" applyAlignment="1" applyProtection="1">
      <alignment horizontal="center" wrapText="1"/>
    </xf>
    <xf numFmtId="0" fontId="5" fillId="0" borderId="53" xfId="0" applyFont="1" applyFill="1" applyBorder="1" applyAlignment="1" applyProtection="1">
      <alignment horizontal="center" wrapText="1"/>
    </xf>
    <xf numFmtId="0" fontId="5" fillId="0" borderId="9" xfId="0" applyFont="1" applyFill="1" applyBorder="1" applyAlignment="1" applyProtection="1">
      <alignment horizontal="center" wrapText="1"/>
    </xf>
    <xf numFmtId="0" fontId="5" fillId="0" borderId="7" xfId="0" applyFont="1" applyFill="1" applyBorder="1" applyAlignment="1" applyProtection="1">
      <alignment horizontal="center" wrapText="1"/>
    </xf>
    <xf numFmtId="0" fontId="5" fillId="0" borderId="16" xfId="0" applyFont="1" applyFill="1" applyBorder="1" applyAlignment="1" applyProtection="1">
      <alignment horizontal="center" wrapText="1"/>
    </xf>
    <xf numFmtId="14" fontId="12" fillId="0" borderId="6" xfId="0" applyNumberFormat="1" applyFont="1" applyFill="1" applyBorder="1" applyAlignment="1" applyProtection="1">
      <alignment horizontal="left" vertical="center"/>
    </xf>
    <xf numFmtId="14" fontId="12" fillId="0" borderId="85" xfId="0" applyNumberFormat="1" applyFont="1" applyFill="1" applyBorder="1" applyAlignment="1" applyProtection="1">
      <alignment horizontal="left" vertical="center"/>
    </xf>
    <xf numFmtId="0" fontId="5" fillId="0" borderId="83" xfId="0" applyFont="1" applyFill="1" applyBorder="1" applyAlignment="1" applyProtection="1">
      <alignment horizontal="center"/>
    </xf>
    <xf numFmtId="0" fontId="5" fillId="0" borderId="6" xfId="0" applyFont="1" applyFill="1" applyBorder="1" applyAlignment="1" applyProtection="1">
      <alignment horizontal="center"/>
    </xf>
    <xf numFmtId="0" fontId="5" fillId="0" borderId="85" xfId="0" applyFont="1" applyFill="1" applyBorder="1" applyAlignment="1" applyProtection="1">
      <alignment horizontal="center"/>
    </xf>
    <xf numFmtId="0" fontId="5" fillId="0" borderId="53" xfId="0" applyFont="1" applyFill="1" applyBorder="1" applyAlignment="1" applyProtection="1">
      <alignment horizontal="center"/>
    </xf>
    <xf numFmtId="0" fontId="5" fillId="0" borderId="5" xfId="0" applyFont="1" applyFill="1" applyBorder="1" applyAlignment="1" applyProtection="1">
      <alignment horizontal="center"/>
    </xf>
    <xf numFmtId="0" fontId="5" fillId="0" borderId="9" xfId="0" applyFont="1" applyFill="1" applyBorder="1" applyAlignment="1" applyProtection="1">
      <alignment horizontal="center"/>
    </xf>
    <xf numFmtId="1" fontId="6" fillId="0" borderId="4" xfId="0" applyNumberFormat="1" applyFont="1" applyFill="1" applyBorder="1" applyAlignment="1">
      <alignment horizontal="right" vertical="center"/>
    </xf>
    <xf numFmtId="1" fontId="6" fillId="0" borderId="91" xfId="0" applyNumberFormat="1" applyFont="1" applyFill="1" applyBorder="1" applyAlignment="1">
      <alignment horizontal="right" vertical="center"/>
    </xf>
    <xf numFmtId="49" fontId="4" fillId="7" borderId="4" xfId="0" applyNumberFormat="1" applyFont="1" applyFill="1" applyBorder="1" applyAlignment="1">
      <alignment horizontal="center" vertical="center"/>
    </xf>
    <xf numFmtId="0" fontId="0" fillId="7" borderId="9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14" fontId="12" fillId="0" borderId="6" xfId="0" applyNumberFormat="1" applyFont="1" applyFill="1" applyBorder="1" applyAlignment="1">
      <alignment horizontal="left" vertical="center"/>
    </xf>
    <xf numFmtId="14" fontId="12" fillId="0" borderId="85" xfId="0" applyNumberFormat="1" applyFont="1" applyFill="1" applyBorder="1" applyAlignment="1">
      <alignment horizontal="left" vertical="center"/>
    </xf>
    <xf numFmtId="1" fontId="4" fillId="7" borderId="4" xfId="0" applyNumberFormat="1" applyFont="1" applyFill="1" applyBorder="1" applyAlignment="1">
      <alignment horizontal="center" vertical="center"/>
    </xf>
    <xf numFmtId="1" fontId="4" fillId="7" borderId="91" xfId="0" applyNumberFormat="1" applyFont="1" applyFill="1" applyBorder="1" applyAlignment="1">
      <alignment horizontal="center" vertical="center"/>
    </xf>
    <xf numFmtId="1" fontId="4" fillId="7" borderId="1" xfId="0" applyNumberFormat="1" applyFont="1" applyFill="1" applyBorder="1" applyAlignment="1">
      <alignment horizontal="center" vertical="center"/>
    </xf>
    <xf numFmtId="0" fontId="6" fillId="7" borderId="7" xfId="0" applyFont="1" applyFill="1" applyBorder="1" applyAlignment="1">
      <alignment horizontal="center"/>
    </xf>
    <xf numFmtId="0" fontId="6" fillId="7" borderId="92" xfId="0" applyFont="1" applyFill="1" applyBorder="1" applyAlignment="1">
      <alignment horizontal="center"/>
    </xf>
    <xf numFmtId="0" fontId="6" fillId="7" borderId="16" xfId="0" applyFont="1" applyFill="1" applyBorder="1" applyAlignment="1">
      <alignment horizontal="center"/>
    </xf>
    <xf numFmtId="0" fontId="12" fillId="0" borderId="5" xfId="0" applyFont="1" applyFill="1" applyBorder="1" applyAlignment="1">
      <alignment horizontal="left" vertical="center"/>
    </xf>
    <xf numFmtId="0" fontId="12" fillId="0" borderId="6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horizontal="center" vertical="center"/>
    </xf>
    <xf numFmtId="0" fontId="6" fillId="0" borderId="16" xfId="0" applyFont="1" applyFill="1" applyBorder="1" applyAlignment="1">
      <alignment horizontal="center" vertical="center"/>
    </xf>
    <xf numFmtId="0" fontId="6" fillId="0" borderId="83" xfId="0" applyFont="1" applyFill="1" applyBorder="1" applyAlignment="1">
      <alignment horizontal="right" vertical="center"/>
    </xf>
    <xf numFmtId="0" fontId="6" fillId="0" borderId="6" xfId="0" applyFont="1" applyFill="1" applyBorder="1" applyAlignment="1">
      <alignment horizontal="right" vertical="center"/>
    </xf>
    <xf numFmtId="0" fontId="6" fillId="0" borderId="53" xfId="0" applyFont="1" applyFill="1" applyBorder="1" applyAlignment="1">
      <alignment horizontal="right" vertical="center"/>
    </xf>
    <xf numFmtId="0" fontId="6" fillId="0" borderId="5" xfId="0" applyFont="1" applyFill="1" applyBorder="1" applyAlignment="1">
      <alignment horizontal="right" vertical="center"/>
    </xf>
    <xf numFmtId="49" fontId="11" fillId="0" borderId="12" xfId="0" applyNumberFormat="1" applyFont="1" applyFill="1" applyBorder="1" applyAlignment="1" applyProtection="1">
      <alignment horizontal="center" vertical="center"/>
      <protection locked="0"/>
    </xf>
    <xf numFmtId="49" fontId="11" fillId="0" borderId="35" xfId="0" applyNumberFormat="1" applyFont="1" applyFill="1" applyBorder="1" applyAlignment="1" applyProtection="1">
      <alignment horizontal="center" vertical="center"/>
      <protection locked="0"/>
    </xf>
    <xf numFmtId="0" fontId="6" fillId="0" borderId="4" xfId="0" applyFont="1" applyFill="1" applyBorder="1" applyAlignment="1" applyProtection="1">
      <alignment horizontal="center"/>
    </xf>
    <xf numFmtId="0" fontId="6" fillId="0" borderId="1" xfId="0" applyFont="1" applyFill="1" applyBorder="1" applyAlignment="1" applyProtection="1">
      <alignment horizontal="center"/>
    </xf>
    <xf numFmtId="49" fontId="11" fillId="0" borderId="22" xfId="0" applyNumberFormat="1" applyFont="1" applyFill="1" applyBorder="1" applyAlignment="1" applyProtection="1">
      <alignment horizontal="center" vertical="center"/>
      <protection locked="0"/>
    </xf>
    <xf numFmtId="49" fontId="11" fillId="0" borderId="94" xfId="0" applyNumberFormat="1" applyFont="1" applyFill="1" applyBorder="1" applyAlignment="1" applyProtection="1">
      <alignment horizontal="center" vertical="center"/>
      <protection locked="0"/>
    </xf>
    <xf numFmtId="0" fontId="35" fillId="3" borderId="66" xfId="0" applyFont="1" applyFill="1" applyBorder="1" applyAlignment="1" applyProtection="1">
      <alignment horizontal="center" vertical="center"/>
      <protection hidden="1"/>
    </xf>
    <xf numFmtId="0" fontId="0" fillId="3" borderId="66" xfId="0" applyFill="1" applyBorder="1" applyAlignment="1" applyProtection="1">
      <protection hidden="1"/>
    </xf>
    <xf numFmtId="0" fontId="35" fillId="6" borderId="95" xfId="0" applyFont="1" applyFill="1" applyBorder="1" applyAlignment="1" applyProtection="1">
      <alignment horizontal="center" vertical="center"/>
      <protection hidden="1"/>
    </xf>
    <xf numFmtId="0" fontId="0" fillId="6" borderId="96" xfId="0" applyFill="1" applyBorder="1" applyAlignment="1" applyProtection="1">
      <protection hidden="1"/>
    </xf>
    <xf numFmtId="0" fontId="0" fillId="6" borderId="97" xfId="0" applyFill="1" applyBorder="1" applyAlignment="1" applyProtection="1">
      <protection hidden="1"/>
    </xf>
    <xf numFmtId="1" fontId="6" fillId="0" borderId="4" xfId="0" applyNumberFormat="1" applyFont="1" applyFill="1" applyBorder="1" applyAlignment="1" applyProtection="1">
      <alignment horizontal="right" vertical="center"/>
    </xf>
    <xf numFmtId="1" fontId="6" fillId="0" borderId="91" xfId="0" applyNumberFormat="1" applyFont="1" applyFill="1" applyBorder="1" applyAlignment="1" applyProtection="1">
      <alignment horizontal="right" vertical="center"/>
    </xf>
    <xf numFmtId="49" fontId="4" fillId="7" borderId="4" xfId="0" applyNumberFormat="1" applyFont="1" applyFill="1" applyBorder="1" applyAlignment="1" applyProtection="1">
      <alignment horizontal="center" vertical="center"/>
    </xf>
    <xf numFmtId="49" fontId="4" fillId="7" borderId="91" xfId="0" applyNumberFormat="1" applyFont="1" applyFill="1" applyBorder="1" applyAlignment="1" applyProtection="1">
      <alignment horizontal="center" vertical="center"/>
    </xf>
    <xf numFmtId="49" fontId="4" fillId="7" borderId="1" xfId="0" applyNumberFormat="1" applyFont="1" applyFill="1" applyBorder="1" applyAlignment="1" applyProtection="1">
      <alignment horizontal="center" vertical="center"/>
    </xf>
    <xf numFmtId="0" fontId="6" fillId="7" borderId="7" xfId="0" applyFont="1" applyFill="1" applyBorder="1" applyAlignment="1" applyProtection="1">
      <alignment horizontal="center"/>
    </xf>
    <xf numFmtId="0" fontId="6" fillId="7" borderId="92" xfId="0" applyFont="1" applyFill="1" applyBorder="1" applyAlignment="1" applyProtection="1">
      <alignment horizontal="center"/>
    </xf>
    <xf numFmtId="0" fontId="6" fillId="7" borderId="16" xfId="0" applyFont="1" applyFill="1" applyBorder="1" applyAlignment="1" applyProtection="1">
      <alignment horizontal="center"/>
    </xf>
    <xf numFmtId="49" fontId="11" fillId="0" borderId="30" xfId="0" applyNumberFormat="1" applyFont="1" applyFill="1" applyBorder="1" applyAlignment="1" applyProtection="1">
      <alignment horizontal="center" vertical="center"/>
      <protection locked="0"/>
    </xf>
    <xf numFmtId="49" fontId="11" fillId="0" borderId="93" xfId="0" applyNumberFormat="1" applyFont="1" applyFill="1" applyBorder="1" applyAlignment="1" applyProtection="1">
      <alignment horizontal="center" vertical="center"/>
      <protection locked="0"/>
    </xf>
    <xf numFmtId="0" fontId="15" fillId="0" borderId="5" xfId="0" applyFont="1" applyFill="1" applyBorder="1" applyAlignment="1" applyProtection="1">
      <alignment horizontal="left" vertical="center"/>
    </xf>
    <xf numFmtId="49" fontId="7" fillId="7" borderId="4" xfId="0" applyNumberFormat="1" applyFont="1" applyFill="1" applyBorder="1" applyAlignment="1" applyProtection="1">
      <alignment horizontal="center" vertical="center"/>
    </xf>
    <xf numFmtId="49" fontId="7" fillId="7" borderId="91" xfId="0" applyNumberFormat="1" applyFont="1" applyFill="1" applyBorder="1" applyAlignment="1" applyProtection="1">
      <alignment horizontal="center" vertical="center"/>
    </xf>
    <xf numFmtId="49" fontId="7" fillId="7" borderId="1" xfId="0" applyNumberFormat="1" applyFont="1" applyFill="1" applyBorder="1" applyAlignment="1" applyProtection="1">
      <alignment horizontal="center" vertical="center"/>
    </xf>
    <xf numFmtId="0" fontId="11" fillId="0" borderId="12" xfId="0" applyFont="1" applyFill="1" applyBorder="1" applyAlignment="1" applyProtection="1">
      <alignment horizontal="center"/>
      <protection locked="0"/>
    </xf>
    <xf numFmtId="0" fontId="11" fillId="0" borderId="35" xfId="0" applyFont="1" applyFill="1" applyBorder="1" applyAlignment="1" applyProtection="1">
      <alignment horizontal="center"/>
      <protection locked="0"/>
    </xf>
    <xf numFmtId="0" fontId="11" fillId="0" borderId="30" xfId="0" applyFont="1" applyFill="1" applyBorder="1" applyAlignment="1" applyProtection="1">
      <alignment horizontal="center"/>
      <protection locked="0"/>
    </xf>
    <xf numFmtId="0" fontId="11" fillId="0" borderId="93" xfId="0" applyFont="1" applyFill="1" applyBorder="1" applyAlignment="1" applyProtection="1">
      <alignment horizontal="center"/>
      <protection locked="0"/>
    </xf>
    <xf numFmtId="49" fontId="6" fillId="0" borderId="4" xfId="0" applyNumberFormat="1" applyFont="1" applyFill="1" applyBorder="1" applyAlignment="1" applyProtection="1">
      <alignment horizontal="center"/>
    </xf>
    <xf numFmtId="49" fontId="6" fillId="0" borderId="91" xfId="0" applyNumberFormat="1" applyFont="1" applyFill="1" applyBorder="1" applyAlignment="1" applyProtection="1">
      <alignment horizontal="center"/>
    </xf>
    <xf numFmtId="49" fontId="6" fillId="0" borderId="1" xfId="0" applyNumberFormat="1" applyFont="1" applyFill="1" applyBorder="1" applyAlignment="1" applyProtection="1">
      <alignment horizontal="center"/>
    </xf>
    <xf numFmtId="0" fontId="11" fillId="0" borderId="13" xfId="0" applyFont="1" applyFill="1" applyBorder="1" applyAlignment="1" applyProtection="1">
      <alignment horizontal="center"/>
      <protection locked="0"/>
    </xf>
    <xf numFmtId="0" fontId="11" fillId="0" borderId="22" xfId="0" applyFont="1" applyFill="1" applyBorder="1" applyAlignment="1" applyProtection="1">
      <alignment horizontal="center"/>
      <protection locked="0"/>
    </xf>
    <xf numFmtId="0" fontId="11" fillId="0" borderId="26" xfId="0" applyFont="1" applyFill="1" applyBorder="1" applyAlignment="1" applyProtection="1">
      <alignment horizontal="center"/>
      <protection locked="0"/>
    </xf>
    <xf numFmtId="0" fontId="11" fillId="0" borderId="94" xfId="0" applyFont="1" applyFill="1" applyBorder="1" applyAlignment="1" applyProtection="1">
      <alignment horizontal="center"/>
      <protection locked="0"/>
    </xf>
    <xf numFmtId="0" fontId="6" fillId="0" borderId="2" xfId="0" applyFont="1" applyFill="1" applyBorder="1" applyAlignment="1" applyProtection="1">
      <alignment horizontal="center"/>
    </xf>
    <xf numFmtId="0" fontId="11" fillId="0" borderId="28" xfId="0" applyFont="1" applyFill="1" applyBorder="1" applyAlignment="1" applyProtection="1">
      <alignment horizontal="center"/>
      <protection locked="0"/>
    </xf>
    <xf numFmtId="0" fontId="6" fillId="0" borderId="91" xfId="0" applyFont="1" applyFill="1" applyBorder="1" applyAlignment="1" applyProtection="1">
      <alignment horizontal="center"/>
    </xf>
    <xf numFmtId="0" fontId="15" fillId="0" borderId="6" xfId="0" applyFont="1" applyFill="1" applyBorder="1" applyAlignment="1" applyProtection="1">
      <alignment horizontal="left" vertical="center"/>
    </xf>
    <xf numFmtId="0" fontId="0" fillId="0" borderId="91" xfId="0" applyFill="1" applyBorder="1"/>
    <xf numFmtId="164" fontId="19" fillId="0" borderId="0" xfId="0" applyNumberFormat="1" applyFont="1" applyFill="1" applyBorder="1" applyAlignment="1" applyProtection="1">
      <alignment horizontal="left"/>
      <protection locked="0"/>
    </xf>
    <xf numFmtId="164" fontId="19" fillId="0" borderId="41" xfId="0" applyNumberFormat="1" applyFont="1" applyFill="1" applyBorder="1" applyAlignment="1" applyProtection="1">
      <alignment horizontal="left"/>
      <protection locked="0"/>
    </xf>
    <xf numFmtId="164" fontId="19" fillId="0" borderId="6" xfId="0" applyNumberFormat="1" applyFont="1" applyFill="1" applyBorder="1" applyAlignment="1" applyProtection="1">
      <alignment horizontal="left"/>
      <protection locked="0"/>
    </xf>
    <xf numFmtId="49" fontId="11" fillId="0" borderId="12" xfId="0" applyNumberFormat="1" applyFont="1" applyFill="1" applyBorder="1" applyAlignment="1" applyProtection="1">
      <alignment horizontal="left"/>
      <protection locked="0"/>
    </xf>
    <xf numFmtId="49" fontId="11" fillId="0" borderId="13" xfId="0" applyNumberFormat="1" applyFont="1" applyFill="1" applyBorder="1" applyAlignment="1" applyProtection="1">
      <alignment horizontal="left"/>
      <protection locked="0"/>
    </xf>
    <xf numFmtId="49" fontId="11" fillId="0" borderId="19" xfId="0" applyNumberFormat="1" applyFont="1" applyFill="1" applyBorder="1" applyAlignment="1" applyProtection="1">
      <alignment horizontal="left"/>
      <protection locked="0"/>
    </xf>
    <xf numFmtId="3" fontId="12" fillId="0" borderId="91" xfId="1" applyNumberFormat="1" applyFont="1" applyFill="1" applyBorder="1" applyAlignment="1" applyProtection="1">
      <alignment horizontal="left"/>
    </xf>
    <xf numFmtId="3" fontId="12" fillId="0" borderId="1" xfId="1" applyNumberFormat="1" applyFont="1" applyFill="1" applyBorder="1" applyAlignment="1" applyProtection="1">
      <alignment horizontal="left"/>
    </xf>
    <xf numFmtId="0" fontId="10" fillId="0" borderId="53" xfId="0" applyFont="1" applyFill="1" applyBorder="1" applyAlignment="1" applyProtection="1">
      <alignment horizontal="right"/>
    </xf>
    <xf numFmtId="0" fontId="20" fillId="0" borderId="5" xfId="0" applyFont="1" applyFill="1" applyBorder="1" applyAlignment="1" applyProtection="1">
      <alignment horizontal="right"/>
    </xf>
    <xf numFmtId="49" fontId="11" fillId="0" borderId="86" xfId="0" applyNumberFormat="1" applyFont="1" applyFill="1" applyBorder="1" applyAlignment="1" applyProtection="1">
      <alignment horizontal="left"/>
      <protection locked="0"/>
    </xf>
    <xf numFmtId="49" fontId="11" fillId="0" borderId="90" xfId="0" applyNumberFormat="1" applyFont="1" applyFill="1" applyBorder="1" applyAlignment="1" applyProtection="1">
      <alignment horizontal="left"/>
      <protection locked="0"/>
    </xf>
    <xf numFmtId="49" fontId="11" fillId="0" borderId="47" xfId="0" applyNumberFormat="1" applyFont="1" applyFill="1" applyBorder="1" applyAlignment="1" applyProtection="1">
      <alignment horizontal="left"/>
      <protection locked="0"/>
    </xf>
    <xf numFmtId="0" fontId="10" fillId="0" borderId="83" xfId="0" applyFont="1" applyFill="1" applyBorder="1" applyAlignment="1" applyProtection="1">
      <alignment horizontal="right"/>
    </xf>
    <xf numFmtId="0" fontId="10" fillId="0" borderId="6" xfId="0" applyFont="1" applyFill="1" applyBorder="1" applyAlignment="1" applyProtection="1">
      <alignment horizontal="right"/>
    </xf>
    <xf numFmtId="0" fontId="10" fillId="0" borderId="84" xfId="0" applyFont="1" applyFill="1" applyBorder="1" applyAlignment="1" applyProtection="1">
      <alignment horizontal="right"/>
    </xf>
    <xf numFmtId="0" fontId="10" fillId="0" borderId="0" xfId="0" applyFont="1" applyFill="1" applyBorder="1" applyAlignment="1" applyProtection="1">
      <alignment horizontal="right"/>
    </xf>
    <xf numFmtId="0" fontId="19" fillId="0" borderId="0" xfId="0" applyFont="1" applyFill="1" applyBorder="1" applyAlignment="1" applyProtection="1">
      <alignment horizontal="left"/>
      <protection locked="0"/>
    </xf>
    <xf numFmtId="0" fontId="19" fillId="0" borderId="5" xfId="0" applyFont="1" applyFill="1" applyBorder="1" applyAlignment="1" applyProtection="1">
      <alignment horizontal="center"/>
    </xf>
    <xf numFmtId="0" fontId="19" fillId="0" borderId="9" xfId="0" applyFont="1" applyFill="1" applyBorder="1" applyAlignment="1" applyProtection="1">
      <alignment horizontal="center"/>
    </xf>
    <xf numFmtId="0" fontId="19" fillId="0" borderId="5" xfId="0" applyFont="1" applyFill="1" applyBorder="1" applyAlignment="1" applyProtection="1">
      <alignment horizontal="left"/>
      <protection locked="0"/>
    </xf>
    <xf numFmtId="0" fontId="3" fillId="0" borderId="84" xfId="0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center"/>
    </xf>
    <xf numFmtId="0" fontId="10" fillId="0" borderId="4" xfId="0" applyFont="1" applyFill="1" applyBorder="1" applyAlignment="1" applyProtection="1">
      <alignment horizontal="center"/>
    </xf>
    <xf numFmtId="0" fontId="10" fillId="0" borderId="91" xfId="0" applyFont="1" applyFill="1" applyBorder="1" applyAlignment="1" applyProtection="1">
      <alignment horizontal="center"/>
    </xf>
    <xf numFmtId="0" fontId="10" fillId="0" borderId="1" xfId="0" applyFont="1" applyFill="1" applyBorder="1" applyAlignment="1" applyProtection="1">
      <alignment horizontal="center"/>
    </xf>
    <xf numFmtId="0" fontId="19" fillId="0" borderId="41" xfId="0" applyFont="1" applyFill="1" applyBorder="1" applyAlignment="1" applyProtection="1">
      <alignment horizontal="left"/>
      <protection locked="0"/>
    </xf>
    <xf numFmtId="49" fontId="19" fillId="0" borderId="0" xfId="0" applyNumberFormat="1" applyFont="1" applyFill="1" applyBorder="1" applyAlignment="1" applyProtection="1">
      <alignment horizontal="left"/>
      <protection locked="0"/>
    </xf>
    <xf numFmtId="49" fontId="19" fillId="0" borderId="41" xfId="0" applyNumberFormat="1" applyFont="1" applyFill="1" applyBorder="1" applyAlignment="1" applyProtection="1">
      <alignment horizontal="left"/>
      <protection locked="0"/>
    </xf>
    <xf numFmtId="0" fontId="10" fillId="0" borderId="49" xfId="0" applyFont="1" applyFill="1" applyBorder="1" applyAlignment="1" applyProtection="1">
      <alignment horizontal="center"/>
    </xf>
    <xf numFmtId="0" fontId="10" fillId="0" borderId="56" xfId="0" applyFont="1" applyFill="1" applyBorder="1" applyAlignment="1" applyProtection="1">
      <alignment horizontal="center"/>
    </xf>
    <xf numFmtId="0" fontId="20" fillId="0" borderId="0" xfId="0" applyFont="1" applyAlignment="1" applyProtection="1">
      <protection locked="0"/>
    </xf>
    <xf numFmtId="0" fontId="20" fillId="0" borderId="41" xfId="0" applyFont="1" applyBorder="1" applyAlignment="1" applyProtection="1">
      <protection locked="0"/>
    </xf>
    <xf numFmtId="16" fontId="19" fillId="0" borderId="6" xfId="0" applyNumberFormat="1" applyFont="1" applyFill="1" applyBorder="1" applyAlignment="1" applyProtection="1">
      <alignment horizontal="left"/>
      <protection locked="0"/>
    </xf>
    <xf numFmtId="0" fontId="20" fillId="0" borderId="6" xfId="0" applyFont="1" applyBorder="1" applyAlignment="1" applyProtection="1">
      <protection locked="0"/>
    </xf>
    <xf numFmtId="0" fontId="20" fillId="0" borderId="85" xfId="0" applyFont="1" applyBorder="1" applyAlignment="1" applyProtection="1">
      <protection locked="0"/>
    </xf>
    <xf numFmtId="49" fontId="11" fillId="0" borderId="49" xfId="0" applyNumberFormat="1" applyFont="1" applyFill="1" applyBorder="1" applyAlignment="1" applyProtection="1">
      <alignment horizontal="left"/>
      <protection locked="0"/>
    </xf>
    <xf numFmtId="49" fontId="11" fillId="0" borderId="87" xfId="0" applyNumberFormat="1" applyFont="1" applyFill="1" applyBorder="1" applyAlignment="1" applyProtection="1">
      <alignment horizontal="left"/>
      <protection locked="0"/>
    </xf>
    <xf numFmtId="49" fontId="11" fillId="0" borderId="50" xfId="0" applyNumberFormat="1" applyFont="1" applyFill="1" applyBorder="1" applyAlignment="1" applyProtection="1">
      <alignment horizontal="left"/>
      <protection locked="0"/>
    </xf>
    <xf numFmtId="0" fontId="10" fillId="0" borderId="91" xfId="0" applyFont="1" applyFill="1" applyBorder="1" applyAlignment="1" applyProtection="1">
      <alignment horizontal="right"/>
    </xf>
    <xf numFmtId="0" fontId="5" fillId="3" borderId="0" xfId="0" applyFont="1" applyFill="1" applyBorder="1" applyAlignment="1" applyProtection="1">
      <alignment horizontal="center" vertical="center"/>
    </xf>
    <xf numFmtId="0" fontId="21" fillId="0" borderId="83" xfId="0" applyFont="1" applyFill="1" applyBorder="1" applyAlignment="1" applyProtection="1">
      <alignment horizontal="right" indent="6"/>
    </xf>
    <xf numFmtId="0" fontId="6" fillId="0" borderId="6" xfId="0" applyFont="1" applyFill="1" applyBorder="1" applyAlignment="1" applyProtection="1">
      <alignment horizontal="right" indent="6"/>
    </xf>
    <xf numFmtId="0" fontId="10" fillId="0" borderId="4" xfId="0" applyFont="1" applyFill="1" applyBorder="1" applyAlignment="1" applyProtection="1">
      <alignment horizontal="left"/>
    </xf>
    <xf numFmtId="0" fontId="10" fillId="0" borderId="98" xfId="0" applyFont="1" applyFill="1" applyBorder="1" applyAlignment="1" applyProtection="1">
      <alignment horizontal="left"/>
    </xf>
    <xf numFmtId="0" fontId="10" fillId="0" borderId="84" xfId="0" applyFont="1" applyFill="1" applyBorder="1" applyAlignment="1" applyProtection="1">
      <alignment horizontal="center"/>
    </xf>
    <xf numFmtId="0" fontId="10" fillId="0" borderId="0" xfId="0" applyFont="1" applyFill="1" applyBorder="1" applyAlignment="1" applyProtection="1">
      <alignment horizontal="center"/>
    </xf>
    <xf numFmtId="0" fontId="10" fillId="0" borderId="53" xfId="0" applyFont="1" applyFill="1" applyBorder="1" applyAlignment="1" applyProtection="1">
      <alignment horizontal="center"/>
    </xf>
    <xf numFmtId="0" fontId="10" fillId="0" borderId="5" xfId="0" applyFont="1" applyFill="1" applyBorder="1" applyAlignment="1" applyProtection="1">
      <alignment horizontal="center"/>
    </xf>
    <xf numFmtId="0" fontId="19" fillId="0" borderId="6" xfId="0" applyFont="1" applyFill="1" applyBorder="1" applyAlignment="1" applyProtection="1">
      <alignment horizontal="left"/>
      <protection locked="0"/>
    </xf>
    <xf numFmtId="0" fontId="10" fillId="0" borderId="87" xfId="0" applyFont="1" applyFill="1" applyBorder="1" applyAlignment="1" applyProtection="1">
      <alignment horizontal="center"/>
    </xf>
    <xf numFmtId="0" fontId="19" fillId="0" borderId="91" xfId="0" applyFont="1" applyFill="1" applyBorder="1" applyAlignment="1" applyProtection="1">
      <alignment horizontal="left"/>
      <protection locked="0"/>
    </xf>
    <xf numFmtId="0" fontId="19" fillId="0" borderId="1" xfId="0" applyFont="1" applyFill="1" applyBorder="1" applyAlignment="1" applyProtection="1">
      <alignment horizontal="left"/>
      <protection locked="0"/>
    </xf>
    <xf numFmtId="0" fontId="10" fillId="0" borderId="5" xfId="0" applyFont="1" applyFill="1" applyBorder="1" applyAlignment="1" applyProtection="1">
      <alignment horizontal="right"/>
    </xf>
    <xf numFmtId="0" fontId="20" fillId="0" borderId="5" xfId="0" applyFont="1" applyBorder="1" applyAlignment="1"/>
    <xf numFmtId="49" fontId="19" fillId="0" borderId="5" xfId="0" applyNumberFormat="1" applyFont="1" applyFill="1" applyBorder="1" applyAlignment="1" applyProtection="1">
      <alignment horizontal="left"/>
      <protection locked="0"/>
    </xf>
    <xf numFmtId="164" fontId="19" fillId="0" borderId="85" xfId="0" applyNumberFormat="1" applyFont="1" applyFill="1" applyBorder="1" applyAlignment="1" applyProtection="1">
      <alignment horizontal="left"/>
      <protection locked="0"/>
    </xf>
    <xf numFmtId="0" fontId="20" fillId="0" borderId="6" xfId="0" applyFont="1" applyBorder="1" applyAlignment="1"/>
    <xf numFmtId="49" fontId="19" fillId="0" borderId="6" xfId="0" applyNumberFormat="1" applyFont="1" applyFill="1" applyBorder="1" applyAlignment="1" applyProtection="1">
      <alignment horizontal="left"/>
      <protection locked="0"/>
    </xf>
    <xf numFmtId="0" fontId="41" fillId="0" borderId="0" xfId="0" applyFont="1" applyFill="1" applyBorder="1" applyAlignment="1" applyProtection="1">
      <alignment horizontal="right" vertical="center"/>
      <protection hidden="1"/>
    </xf>
    <xf numFmtId="0" fontId="3" fillId="0" borderId="77" xfId="0" applyFont="1" applyBorder="1" applyAlignment="1" applyProtection="1">
      <alignment horizontal="left"/>
      <protection hidden="1"/>
    </xf>
    <xf numFmtId="0" fontId="3" fillId="0" borderId="99" xfId="0" applyFont="1" applyBorder="1" applyAlignment="1" applyProtection="1">
      <alignment horizontal="left"/>
      <protection hidden="1"/>
    </xf>
    <xf numFmtId="0" fontId="3" fillId="0" borderId="79" xfId="0" applyFont="1" applyBorder="1" applyAlignment="1" applyProtection="1">
      <alignment horizontal="left"/>
      <protection hidden="1"/>
    </xf>
    <xf numFmtId="0" fontId="3" fillId="0" borderId="100" xfId="0" applyFont="1" applyBorder="1" applyAlignment="1" applyProtection="1">
      <alignment horizontal="left"/>
      <protection hidden="1"/>
    </xf>
    <xf numFmtId="0" fontId="5" fillId="0" borderId="102" xfId="0" applyFont="1" applyFill="1" applyBorder="1" applyAlignment="1" applyProtection="1">
      <alignment horizontal="center"/>
      <protection hidden="1"/>
    </xf>
    <xf numFmtId="0" fontId="5" fillId="0" borderId="103" xfId="0" applyFont="1" applyFill="1" applyBorder="1" applyAlignment="1" applyProtection="1">
      <alignment horizontal="center"/>
      <protection hidden="1"/>
    </xf>
    <xf numFmtId="0" fontId="5" fillId="0" borderId="104" xfId="0" applyFont="1" applyFill="1" applyBorder="1" applyAlignment="1" applyProtection="1">
      <alignment horizontal="center"/>
      <protection hidden="1"/>
    </xf>
    <xf numFmtId="0" fontId="5" fillId="0" borderId="5" xfId="0" applyFont="1" applyBorder="1" applyAlignment="1" applyProtection="1">
      <alignment horizontal="center"/>
      <protection hidden="1"/>
    </xf>
    <xf numFmtId="0" fontId="3" fillId="0" borderId="81" xfId="0" applyFont="1" applyBorder="1" applyAlignment="1" applyProtection="1">
      <alignment horizontal="left"/>
      <protection hidden="1"/>
    </xf>
    <xf numFmtId="0" fontId="3" fillId="0" borderId="101" xfId="0" applyFont="1" applyBorder="1" applyAlignment="1" applyProtection="1">
      <alignment horizontal="left"/>
      <protection hidden="1"/>
    </xf>
    <xf numFmtId="0" fontId="5" fillId="0" borderId="0" xfId="0" applyFont="1" applyBorder="1" applyAlignment="1" applyProtection="1">
      <alignment horizontal="right"/>
      <protection hidden="1"/>
    </xf>
    <xf numFmtId="0" fontId="3" fillId="0" borderId="77" xfId="0" applyFont="1" applyFill="1" applyBorder="1" applyAlignment="1" applyProtection="1">
      <alignment horizontal="left"/>
      <protection hidden="1"/>
    </xf>
    <xf numFmtId="0" fontId="3" fillId="0" borderId="99" xfId="0" applyFont="1" applyFill="1" applyBorder="1" applyAlignment="1" applyProtection="1">
      <alignment horizontal="left"/>
      <protection hidden="1"/>
    </xf>
  </cellXfs>
  <cellStyles count="3">
    <cellStyle name="Comma" xfId="1" builtinId="3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attachedToolbars" Target="attachedToolbars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123825</xdr:colOff>
      <xdr:row>2</xdr:row>
      <xdr:rowOff>38100</xdr:rowOff>
    </xdr:from>
    <xdr:to>
      <xdr:col>3</xdr:col>
      <xdr:colOff>285750</xdr:colOff>
      <xdr:row>2</xdr:row>
      <xdr:rowOff>200025</xdr:rowOff>
    </xdr:to>
    <xdr:sp macro="" textlink="">
      <xdr:nvSpPr>
        <xdr:cNvPr id="1072" name="AutoShape 1"/>
        <xdr:cNvSpPr>
          <a:spLocks noChangeArrowheads="1"/>
        </xdr:cNvSpPr>
      </xdr:nvSpPr>
      <xdr:spPr bwMode="auto">
        <a:xfrm>
          <a:off x="2266950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123825</xdr:colOff>
      <xdr:row>2</xdr:row>
      <xdr:rowOff>38100</xdr:rowOff>
    </xdr:from>
    <xdr:to>
      <xdr:col>12</xdr:col>
      <xdr:colOff>285750</xdr:colOff>
      <xdr:row>2</xdr:row>
      <xdr:rowOff>200025</xdr:rowOff>
    </xdr:to>
    <xdr:sp macro="" textlink="">
      <xdr:nvSpPr>
        <xdr:cNvPr id="1073" name="AutoShape 2"/>
        <xdr:cNvSpPr>
          <a:spLocks noChangeArrowheads="1"/>
        </xdr:cNvSpPr>
      </xdr:nvSpPr>
      <xdr:spPr bwMode="auto">
        <a:xfrm>
          <a:off x="7400925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28575</xdr:colOff>
      <xdr:row>1</xdr:row>
      <xdr:rowOff>38100</xdr:rowOff>
    </xdr:from>
    <xdr:to>
      <xdr:col>24</xdr:col>
      <xdr:colOff>28575</xdr:colOff>
      <xdr:row>9</xdr:row>
      <xdr:rowOff>47625</xdr:rowOff>
    </xdr:to>
    <xdr:sp macro="" textlink="">
      <xdr:nvSpPr>
        <xdr:cNvPr id="1074" name="Line 18"/>
        <xdr:cNvSpPr>
          <a:spLocks noChangeShapeType="1"/>
        </xdr:cNvSpPr>
      </xdr:nvSpPr>
      <xdr:spPr bwMode="auto">
        <a:xfrm flipH="1" flipV="1">
          <a:off x="13401675" y="285750"/>
          <a:ext cx="0" cy="1990725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18</xdr:col>
      <xdr:colOff>28575</xdr:colOff>
      <xdr:row>9</xdr:row>
      <xdr:rowOff>28575</xdr:rowOff>
    </xdr:from>
    <xdr:to>
      <xdr:col>24</xdr:col>
      <xdr:colOff>28575</xdr:colOff>
      <xdr:row>9</xdr:row>
      <xdr:rowOff>28575</xdr:rowOff>
    </xdr:to>
    <xdr:sp macro="" textlink="">
      <xdr:nvSpPr>
        <xdr:cNvPr id="1075" name="Line 19"/>
        <xdr:cNvSpPr>
          <a:spLocks noChangeShapeType="1"/>
        </xdr:cNvSpPr>
      </xdr:nvSpPr>
      <xdr:spPr bwMode="auto">
        <a:xfrm flipV="1">
          <a:off x="10506075" y="2257425"/>
          <a:ext cx="2895600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66675</xdr:rowOff>
    </xdr:from>
    <xdr:to>
      <xdr:col>3</xdr:col>
      <xdr:colOff>876300</xdr:colOff>
      <xdr:row>1</xdr:row>
      <xdr:rowOff>409575</xdr:rowOff>
    </xdr:to>
    <xdr:pic>
      <xdr:nvPicPr>
        <xdr:cNvPr id="73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66675"/>
          <a:ext cx="194310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6</xdr:row>
          <xdr:rowOff>38100</xdr:rowOff>
        </xdr:from>
        <xdr:to>
          <xdr:col>0</xdr:col>
          <xdr:colOff>257175</xdr:colOff>
          <xdr:row>7</xdr:row>
          <xdr:rowOff>0</xdr:rowOff>
        </xdr:to>
        <xdr:sp macro="" textlink="">
          <xdr:nvSpPr>
            <xdr:cNvPr id="7170" name="CheckBox1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257175</xdr:colOff>
          <xdr:row>7</xdr:row>
          <xdr:rowOff>0</xdr:rowOff>
        </xdr:to>
        <xdr:sp macro="" textlink="">
          <xdr:nvSpPr>
            <xdr:cNvPr id="7171" name="CheckBox2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</xdr:row>
          <xdr:rowOff>38100</xdr:rowOff>
        </xdr:from>
        <xdr:to>
          <xdr:col>0</xdr:col>
          <xdr:colOff>257175</xdr:colOff>
          <xdr:row>8</xdr:row>
          <xdr:rowOff>0</xdr:rowOff>
        </xdr:to>
        <xdr:sp macro="" textlink="">
          <xdr:nvSpPr>
            <xdr:cNvPr id="7172" name="CheckBox3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7</xdr:row>
          <xdr:rowOff>38100</xdr:rowOff>
        </xdr:from>
        <xdr:to>
          <xdr:col>2</xdr:col>
          <xdr:colOff>257175</xdr:colOff>
          <xdr:row>8</xdr:row>
          <xdr:rowOff>0</xdr:rowOff>
        </xdr:to>
        <xdr:sp macro="" textlink="">
          <xdr:nvSpPr>
            <xdr:cNvPr id="7173" name="CheckBox4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8</xdr:row>
          <xdr:rowOff>38100</xdr:rowOff>
        </xdr:from>
        <xdr:to>
          <xdr:col>0</xdr:col>
          <xdr:colOff>257175</xdr:colOff>
          <xdr:row>9</xdr:row>
          <xdr:rowOff>0</xdr:rowOff>
        </xdr:to>
        <xdr:sp macro="" textlink="">
          <xdr:nvSpPr>
            <xdr:cNvPr id="7174" name="CheckBox5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8</xdr:row>
          <xdr:rowOff>38100</xdr:rowOff>
        </xdr:from>
        <xdr:to>
          <xdr:col>2</xdr:col>
          <xdr:colOff>257175</xdr:colOff>
          <xdr:row>9</xdr:row>
          <xdr:rowOff>0</xdr:rowOff>
        </xdr:to>
        <xdr:sp macro="" textlink="">
          <xdr:nvSpPr>
            <xdr:cNvPr id="7175" name="CheckBox6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9</xdr:row>
          <xdr:rowOff>38100</xdr:rowOff>
        </xdr:from>
        <xdr:to>
          <xdr:col>0</xdr:col>
          <xdr:colOff>257175</xdr:colOff>
          <xdr:row>10</xdr:row>
          <xdr:rowOff>0</xdr:rowOff>
        </xdr:to>
        <xdr:sp macro="" textlink="">
          <xdr:nvSpPr>
            <xdr:cNvPr id="7176" name="CheckBox7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9</xdr:row>
          <xdr:rowOff>38100</xdr:rowOff>
        </xdr:from>
        <xdr:to>
          <xdr:col>2</xdr:col>
          <xdr:colOff>257175</xdr:colOff>
          <xdr:row>10</xdr:row>
          <xdr:rowOff>0</xdr:rowOff>
        </xdr:to>
        <xdr:sp macro="" textlink="">
          <xdr:nvSpPr>
            <xdr:cNvPr id="7177" name="CheckBox8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10</xdr:row>
          <xdr:rowOff>38100</xdr:rowOff>
        </xdr:from>
        <xdr:to>
          <xdr:col>0</xdr:col>
          <xdr:colOff>257175</xdr:colOff>
          <xdr:row>11</xdr:row>
          <xdr:rowOff>0</xdr:rowOff>
        </xdr:to>
        <xdr:sp macro="" textlink="">
          <xdr:nvSpPr>
            <xdr:cNvPr id="7178" name="CheckBox9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10</xdr:row>
          <xdr:rowOff>38100</xdr:rowOff>
        </xdr:from>
        <xdr:to>
          <xdr:col>2</xdr:col>
          <xdr:colOff>257175</xdr:colOff>
          <xdr:row>11</xdr:row>
          <xdr:rowOff>0</xdr:rowOff>
        </xdr:to>
        <xdr:sp macro="" textlink="">
          <xdr:nvSpPr>
            <xdr:cNvPr id="7179" name="CheckBox10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11</xdr:row>
          <xdr:rowOff>38100</xdr:rowOff>
        </xdr:from>
        <xdr:to>
          <xdr:col>0</xdr:col>
          <xdr:colOff>257175</xdr:colOff>
          <xdr:row>12</xdr:row>
          <xdr:rowOff>0</xdr:rowOff>
        </xdr:to>
        <xdr:sp macro="" textlink="">
          <xdr:nvSpPr>
            <xdr:cNvPr id="7180" name="CheckBox11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11</xdr:row>
          <xdr:rowOff>38100</xdr:rowOff>
        </xdr:from>
        <xdr:to>
          <xdr:col>2</xdr:col>
          <xdr:colOff>257175</xdr:colOff>
          <xdr:row>12</xdr:row>
          <xdr:rowOff>0</xdr:rowOff>
        </xdr:to>
        <xdr:sp macro="" textlink="">
          <xdr:nvSpPr>
            <xdr:cNvPr id="7181" name="CheckBox12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12</xdr:row>
          <xdr:rowOff>38100</xdr:rowOff>
        </xdr:from>
        <xdr:to>
          <xdr:col>0</xdr:col>
          <xdr:colOff>257175</xdr:colOff>
          <xdr:row>13</xdr:row>
          <xdr:rowOff>0</xdr:rowOff>
        </xdr:to>
        <xdr:sp macro="" textlink="">
          <xdr:nvSpPr>
            <xdr:cNvPr id="7182" name="CheckBox13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12</xdr:row>
          <xdr:rowOff>38100</xdr:rowOff>
        </xdr:from>
        <xdr:to>
          <xdr:col>2</xdr:col>
          <xdr:colOff>257175</xdr:colOff>
          <xdr:row>13</xdr:row>
          <xdr:rowOff>0</xdr:rowOff>
        </xdr:to>
        <xdr:sp macro="" textlink="">
          <xdr:nvSpPr>
            <xdr:cNvPr id="7183" name="CheckBox14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13</xdr:row>
          <xdr:rowOff>38100</xdr:rowOff>
        </xdr:from>
        <xdr:to>
          <xdr:col>0</xdr:col>
          <xdr:colOff>257175</xdr:colOff>
          <xdr:row>14</xdr:row>
          <xdr:rowOff>0</xdr:rowOff>
        </xdr:to>
        <xdr:sp macro="" textlink="">
          <xdr:nvSpPr>
            <xdr:cNvPr id="7184" name="CheckBox15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13</xdr:row>
          <xdr:rowOff>38100</xdr:rowOff>
        </xdr:from>
        <xdr:to>
          <xdr:col>2</xdr:col>
          <xdr:colOff>257175</xdr:colOff>
          <xdr:row>14</xdr:row>
          <xdr:rowOff>0</xdr:rowOff>
        </xdr:to>
        <xdr:sp macro="" textlink="">
          <xdr:nvSpPr>
            <xdr:cNvPr id="7185" name="CheckBox16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6" name="CheckBox17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7" name="CheckBox18" hidden="1">
              <a:extLst>
                <a:ext uri="{63B3BB69-23CF-44E3-9099-C40C66FF867C}">
                  <a14:compatExt spid="_x0000_s7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14</xdr:row>
          <xdr:rowOff>38100</xdr:rowOff>
        </xdr:from>
        <xdr:to>
          <xdr:col>2</xdr:col>
          <xdr:colOff>257175</xdr:colOff>
          <xdr:row>15</xdr:row>
          <xdr:rowOff>0</xdr:rowOff>
        </xdr:to>
        <xdr:sp macro="" textlink="">
          <xdr:nvSpPr>
            <xdr:cNvPr id="7188" name="CheckBox19" hidden="1">
              <a:extLst>
                <a:ext uri="{63B3BB69-23CF-44E3-9099-C40C66FF867C}">
                  <a14:compatExt spid="_x0000_s7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15</xdr:row>
          <xdr:rowOff>38100</xdr:rowOff>
        </xdr:from>
        <xdr:to>
          <xdr:col>0</xdr:col>
          <xdr:colOff>257175</xdr:colOff>
          <xdr:row>16</xdr:row>
          <xdr:rowOff>0</xdr:rowOff>
        </xdr:to>
        <xdr:sp macro="" textlink="">
          <xdr:nvSpPr>
            <xdr:cNvPr id="7189" name="CheckBox20" hidden="1">
              <a:extLst>
                <a:ext uri="{63B3BB69-23CF-44E3-9099-C40C66FF867C}">
                  <a14:compatExt spid="_x0000_s7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15</xdr:row>
          <xdr:rowOff>38100</xdr:rowOff>
        </xdr:from>
        <xdr:to>
          <xdr:col>2</xdr:col>
          <xdr:colOff>257175</xdr:colOff>
          <xdr:row>16</xdr:row>
          <xdr:rowOff>0</xdr:rowOff>
        </xdr:to>
        <xdr:sp macro="" textlink="">
          <xdr:nvSpPr>
            <xdr:cNvPr id="7190" name="CheckBox21" hidden="1">
              <a:extLst>
                <a:ext uri="{63B3BB69-23CF-44E3-9099-C40C66FF867C}">
                  <a14:compatExt spid="_x0000_s7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16</xdr:row>
          <xdr:rowOff>38100</xdr:rowOff>
        </xdr:from>
        <xdr:to>
          <xdr:col>0</xdr:col>
          <xdr:colOff>257175</xdr:colOff>
          <xdr:row>17</xdr:row>
          <xdr:rowOff>0</xdr:rowOff>
        </xdr:to>
        <xdr:sp macro="" textlink="">
          <xdr:nvSpPr>
            <xdr:cNvPr id="7191" name="CheckBox22" hidden="1">
              <a:extLst>
                <a:ext uri="{63B3BB69-23CF-44E3-9099-C40C66FF867C}">
                  <a14:compatExt spid="_x0000_s7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16</xdr:row>
          <xdr:rowOff>38100</xdr:rowOff>
        </xdr:from>
        <xdr:to>
          <xdr:col>2</xdr:col>
          <xdr:colOff>257175</xdr:colOff>
          <xdr:row>17</xdr:row>
          <xdr:rowOff>0</xdr:rowOff>
        </xdr:to>
        <xdr:sp macro="" textlink="">
          <xdr:nvSpPr>
            <xdr:cNvPr id="7192" name="CheckBox23" hidden="1">
              <a:extLst>
                <a:ext uri="{63B3BB69-23CF-44E3-9099-C40C66FF867C}">
                  <a14:compatExt spid="_x0000_s7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17</xdr:row>
          <xdr:rowOff>38100</xdr:rowOff>
        </xdr:from>
        <xdr:to>
          <xdr:col>0</xdr:col>
          <xdr:colOff>257175</xdr:colOff>
          <xdr:row>18</xdr:row>
          <xdr:rowOff>0</xdr:rowOff>
        </xdr:to>
        <xdr:sp macro="" textlink="">
          <xdr:nvSpPr>
            <xdr:cNvPr id="7193" name="CheckBox24" hidden="1">
              <a:extLst>
                <a:ext uri="{63B3BB69-23CF-44E3-9099-C40C66FF867C}">
                  <a14:compatExt spid="_x0000_s7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17</xdr:row>
          <xdr:rowOff>38100</xdr:rowOff>
        </xdr:from>
        <xdr:to>
          <xdr:col>2</xdr:col>
          <xdr:colOff>257175</xdr:colOff>
          <xdr:row>18</xdr:row>
          <xdr:rowOff>0</xdr:rowOff>
        </xdr:to>
        <xdr:sp macro="" textlink="">
          <xdr:nvSpPr>
            <xdr:cNvPr id="7194" name="CheckBox25" hidden="1">
              <a:extLst>
                <a:ext uri="{63B3BB69-23CF-44E3-9099-C40C66FF867C}">
                  <a14:compatExt spid="_x0000_s7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18</xdr:row>
          <xdr:rowOff>38100</xdr:rowOff>
        </xdr:from>
        <xdr:to>
          <xdr:col>0</xdr:col>
          <xdr:colOff>257175</xdr:colOff>
          <xdr:row>19</xdr:row>
          <xdr:rowOff>0</xdr:rowOff>
        </xdr:to>
        <xdr:sp macro="" textlink="">
          <xdr:nvSpPr>
            <xdr:cNvPr id="7195" name="CheckBox26" hidden="1">
              <a:extLst>
                <a:ext uri="{63B3BB69-23CF-44E3-9099-C40C66FF867C}">
                  <a14:compatExt spid="_x0000_s7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18</xdr:row>
          <xdr:rowOff>38100</xdr:rowOff>
        </xdr:from>
        <xdr:to>
          <xdr:col>2</xdr:col>
          <xdr:colOff>257175</xdr:colOff>
          <xdr:row>19</xdr:row>
          <xdr:rowOff>0</xdr:rowOff>
        </xdr:to>
        <xdr:sp macro="" textlink="">
          <xdr:nvSpPr>
            <xdr:cNvPr id="7196" name="CheckBox27" hidden="1">
              <a:extLst>
                <a:ext uri="{63B3BB69-23CF-44E3-9099-C40C66FF867C}">
                  <a14:compatExt spid="_x0000_s7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19</xdr:row>
          <xdr:rowOff>38100</xdr:rowOff>
        </xdr:from>
        <xdr:to>
          <xdr:col>0</xdr:col>
          <xdr:colOff>257175</xdr:colOff>
          <xdr:row>20</xdr:row>
          <xdr:rowOff>0</xdr:rowOff>
        </xdr:to>
        <xdr:sp macro="" textlink="">
          <xdr:nvSpPr>
            <xdr:cNvPr id="7197" name="CheckBox28" hidden="1">
              <a:extLst>
                <a:ext uri="{63B3BB69-23CF-44E3-9099-C40C66FF867C}">
                  <a14:compatExt spid="_x0000_s7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19</xdr:row>
          <xdr:rowOff>38100</xdr:rowOff>
        </xdr:from>
        <xdr:to>
          <xdr:col>2</xdr:col>
          <xdr:colOff>257175</xdr:colOff>
          <xdr:row>20</xdr:row>
          <xdr:rowOff>0</xdr:rowOff>
        </xdr:to>
        <xdr:sp macro="" textlink="">
          <xdr:nvSpPr>
            <xdr:cNvPr id="7198" name="CheckBox29" hidden="1">
              <a:extLst>
                <a:ext uri="{63B3BB69-23CF-44E3-9099-C40C66FF867C}">
                  <a14:compatExt spid="_x0000_s7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20</xdr:row>
          <xdr:rowOff>38100</xdr:rowOff>
        </xdr:from>
        <xdr:to>
          <xdr:col>0</xdr:col>
          <xdr:colOff>257175</xdr:colOff>
          <xdr:row>21</xdr:row>
          <xdr:rowOff>0</xdr:rowOff>
        </xdr:to>
        <xdr:sp macro="" textlink="">
          <xdr:nvSpPr>
            <xdr:cNvPr id="7199" name="CheckBox30" hidden="1">
              <a:extLst>
                <a:ext uri="{63B3BB69-23CF-44E3-9099-C40C66FF867C}">
                  <a14:compatExt spid="_x0000_s7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20</xdr:row>
          <xdr:rowOff>38100</xdr:rowOff>
        </xdr:from>
        <xdr:to>
          <xdr:col>2</xdr:col>
          <xdr:colOff>257175</xdr:colOff>
          <xdr:row>21</xdr:row>
          <xdr:rowOff>0</xdr:rowOff>
        </xdr:to>
        <xdr:sp macro="" textlink="">
          <xdr:nvSpPr>
            <xdr:cNvPr id="7200" name="CheckBox31" hidden="1">
              <a:extLst>
                <a:ext uri="{63B3BB69-23CF-44E3-9099-C40C66FF867C}">
                  <a14:compatExt spid="_x0000_s7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21</xdr:row>
          <xdr:rowOff>38100</xdr:rowOff>
        </xdr:from>
        <xdr:to>
          <xdr:col>0</xdr:col>
          <xdr:colOff>257175</xdr:colOff>
          <xdr:row>22</xdr:row>
          <xdr:rowOff>0</xdr:rowOff>
        </xdr:to>
        <xdr:sp macro="" textlink="">
          <xdr:nvSpPr>
            <xdr:cNvPr id="7201" name="CheckBox32" hidden="1">
              <a:extLst>
                <a:ext uri="{63B3BB69-23CF-44E3-9099-C40C66FF867C}">
                  <a14:compatExt spid="_x0000_s7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21</xdr:row>
          <xdr:rowOff>38100</xdr:rowOff>
        </xdr:from>
        <xdr:to>
          <xdr:col>2</xdr:col>
          <xdr:colOff>257175</xdr:colOff>
          <xdr:row>22</xdr:row>
          <xdr:rowOff>0</xdr:rowOff>
        </xdr:to>
        <xdr:sp macro="" textlink="">
          <xdr:nvSpPr>
            <xdr:cNvPr id="7202" name="CheckBox33" hidden="1">
              <a:extLst>
                <a:ext uri="{63B3BB69-23CF-44E3-9099-C40C66FF867C}">
                  <a14:compatExt spid="_x0000_s7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22</xdr:row>
          <xdr:rowOff>38100</xdr:rowOff>
        </xdr:from>
        <xdr:to>
          <xdr:col>0</xdr:col>
          <xdr:colOff>257175</xdr:colOff>
          <xdr:row>23</xdr:row>
          <xdr:rowOff>0</xdr:rowOff>
        </xdr:to>
        <xdr:sp macro="" textlink="">
          <xdr:nvSpPr>
            <xdr:cNvPr id="7203" name="CheckBox34" hidden="1">
              <a:extLst>
                <a:ext uri="{63B3BB69-23CF-44E3-9099-C40C66FF867C}">
                  <a14:compatExt spid="_x0000_s7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38100</xdr:rowOff>
        </xdr:from>
        <xdr:to>
          <xdr:col>2</xdr:col>
          <xdr:colOff>257175</xdr:colOff>
          <xdr:row>23</xdr:row>
          <xdr:rowOff>0</xdr:rowOff>
        </xdr:to>
        <xdr:sp macro="" textlink="">
          <xdr:nvSpPr>
            <xdr:cNvPr id="7204" name="CheckBox35" hidden="1">
              <a:extLst>
                <a:ext uri="{63B3BB69-23CF-44E3-9099-C40C66FF867C}">
                  <a14:compatExt spid="_x0000_s7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23</xdr:row>
          <xdr:rowOff>38100</xdr:rowOff>
        </xdr:from>
        <xdr:to>
          <xdr:col>0</xdr:col>
          <xdr:colOff>257175</xdr:colOff>
          <xdr:row>24</xdr:row>
          <xdr:rowOff>0</xdr:rowOff>
        </xdr:to>
        <xdr:sp macro="" textlink="">
          <xdr:nvSpPr>
            <xdr:cNvPr id="7205" name="CheckBox36" hidden="1">
              <a:extLst>
                <a:ext uri="{63B3BB69-23CF-44E3-9099-C40C66FF867C}">
                  <a14:compatExt spid="_x0000_s7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23</xdr:row>
          <xdr:rowOff>38100</xdr:rowOff>
        </xdr:from>
        <xdr:to>
          <xdr:col>2</xdr:col>
          <xdr:colOff>257175</xdr:colOff>
          <xdr:row>24</xdr:row>
          <xdr:rowOff>0</xdr:rowOff>
        </xdr:to>
        <xdr:sp macro="" textlink="">
          <xdr:nvSpPr>
            <xdr:cNvPr id="7206" name="CheckBox37" hidden="1">
              <a:extLst>
                <a:ext uri="{63B3BB69-23CF-44E3-9099-C40C66FF867C}">
                  <a14:compatExt spid="_x0000_s7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24</xdr:row>
          <xdr:rowOff>38100</xdr:rowOff>
        </xdr:from>
        <xdr:to>
          <xdr:col>0</xdr:col>
          <xdr:colOff>257175</xdr:colOff>
          <xdr:row>25</xdr:row>
          <xdr:rowOff>0</xdr:rowOff>
        </xdr:to>
        <xdr:sp macro="" textlink="">
          <xdr:nvSpPr>
            <xdr:cNvPr id="7207" name="CheckBox38" hidden="1">
              <a:extLst>
                <a:ext uri="{63B3BB69-23CF-44E3-9099-C40C66FF867C}">
                  <a14:compatExt spid="_x0000_s7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24</xdr:row>
          <xdr:rowOff>38100</xdr:rowOff>
        </xdr:from>
        <xdr:to>
          <xdr:col>2</xdr:col>
          <xdr:colOff>257175</xdr:colOff>
          <xdr:row>25</xdr:row>
          <xdr:rowOff>0</xdr:rowOff>
        </xdr:to>
        <xdr:sp macro="" textlink="">
          <xdr:nvSpPr>
            <xdr:cNvPr id="7208" name="CheckBox39" hidden="1">
              <a:extLst>
                <a:ext uri="{63B3BB69-23CF-44E3-9099-C40C66FF867C}">
                  <a14:compatExt spid="_x0000_s7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25</xdr:row>
          <xdr:rowOff>38100</xdr:rowOff>
        </xdr:from>
        <xdr:to>
          <xdr:col>0</xdr:col>
          <xdr:colOff>257175</xdr:colOff>
          <xdr:row>26</xdr:row>
          <xdr:rowOff>0</xdr:rowOff>
        </xdr:to>
        <xdr:sp macro="" textlink="">
          <xdr:nvSpPr>
            <xdr:cNvPr id="7209" name="CheckBox40" hidden="1">
              <a:extLst>
                <a:ext uri="{63B3BB69-23CF-44E3-9099-C40C66FF867C}">
                  <a14:compatExt spid="_x0000_s7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25</xdr:row>
          <xdr:rowOff>38100</xdr:rowOff>
        </xdr:from>
        <xdr:to>
          <xdr:col>2</xdr:col>
          <xdr:colOff>257175</xdr:colOff>
          <xdr:row>26</xdr:row>
          <xdr:rowOff>0</xdr:rowOff>
        </xdr:to>
        <xdr:sp macro="" textlink="">
          <xdr:nvSpPr>
            <xdr:cNvPr id="7210" name="CheckBox41" hidden="1">
              <a:extLst>
                <a:ext uri="{63B3BB69-23CF-44E3-9099-C40C66FF867C}">
                  <a14:compatExt spid="_x0000_s7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26</xdr:row>
          <xdr:rowOff>38100</xdr:rowOff>
        </xdr:from>
        <xdr:to>
          <xdr:col>0</xdr:col>
          <xdr:colOff>257175</xdr:colOff>
          <xdr:row>27</xdr:row>
          <xdr:rowOff>0</xdr:rowOff>
        </xdr:to>
        <xdr:sp macro="" textlink="">
          <xdr:nvSpPr>
            <xdr:cNvPr id="7211" name="CheckBox42" hidden="1">
              <a:extLst>
                <a:ext uri="{63B3BB69-23CF-44E3-9099-C40C66FF867C}">
                  <a14:compatExt spid="_x0000_s7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38100</xdr:rowOff>
        </xdr:from>
        <xdr:to>
          <xdr:col>2</xdr:col>
          <xdr:colOff>257175</xdr:colOff>
          <xdr:row>27</xdr:row>
          <xdr:rowOff>0</xdr:rowOff>
        </xdr:to>
        <xdr:sp macro="" textlink="">
          <xdr:nvSpPr>
            <xdr:cNvPr id="7212" name="CheckBox43" hidden="1">
              <a:extLst>
                <a:ext uri="{63B3BB69-23CF-44E3-9099-C40C66FF867C}">
                  <a14:compatExt spid="_x0000_s7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27</xdr:row>
          <xdr:rowOff>38100</xdr:rowOff>
        </xdr:from>
        <xdr:to>
          <xdr:col>0</xdr:col>
          <xdr:colOff>257175</xdr:colOff>
          <xdr:row>28</xdr:row>
          <xdr:rowOff>0</xdr:rowOff>
        </xdr:to>
        <xdr:sp macro="" textlink="">
          <xdr:nvSpPr>
            <xdr:cNvPr id="7213" name="CheckBox44" hidden="1">
              <a:extLst>
                <a:ext uri="{63B3BB69-23CF-44E3-9099-C40C66FF867C}">
                  <a14:compatExt spid="_x0000_s7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27</xdr:row>
          <xdr:rowOff>38100</xdr:rowOff>
        </xdr:from>
        <xdr:to>
          <xdr:col>2</xdr:col>
          <xdr:colOff>257175</xdr:colOff>
          <xdr:row>28</xdr:row>
          <xdr:rowOff>0</xdr:rowOff>
        </xdr:to>
        <xdr:sp macro="" textlink="">
          <xdr:nvSpPr>
            <xdr:cNvPr id="7214" name="CheckBox45" hidden="1">
              <a:extLst>
                <a:ext uri="{63B3BB69-23CF-44E3-9099-C40C66FF867C}">
                  <a14:compatExt spid="_x0000_s72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28</xdr:row>
          <xdr:rowOff>38100</xdr:rowOff>
        </xdr:from>
        <xdr:to>
          <xdr:col>0</xdr:col>
          <xdr:colOff>257175</xdr:colOff>
          <xdr:row>29</xdr:row>
          <xdr:rowOff>0</xdr:rowOff>
        </xdr:to>
        <xdr:sp macro="" textlink="">
          <xdr:nvSpPr>
            <xdr:cNvPr id="7215" name="CheckBox46" hidden="1">
              <a:extLst>
                <a:ext uri="{63B3BB69-23CF-44E3-9099-C40C66FF867C}">
                  <a14:compatExt spid="_x0000_s7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28</xdr:row>
          <xdr:rowOff>38100</xdr:rowOff>
        </xdr:from>
        <xdr:to>
          <xdr:col>2</xdr:col>
          <xdr:colOff>257175</xdr:colOff>
          <xdr:row>29</xdr:row>
          <xdr:rowOff>0</xdr:rowOff>
        </xdr:to>
        <xdr:sp macro="" textlink="">
          <xdr:nvSpPr>
            <xdr:cNvPr id="7216" name="CheckBox47" hidden="1">
              <a:extLst>
                <a:ext uri="{63B3BB69-23CF-44E3-9099-C40C66FF867C}">
                  <a14:compatExt spid="_x0000_s7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29</xdr:row>
          <xdr:rowOff>38100</xdr:rowOff>
        </xdr:from>
        <xdr:to>
          <xdr:col>0</xdr:col>
          <xdr:colOff>257175</xdr:colOff>
          <xdr:row>30</xdr:row>
          <xdr:rowOff>0</xdr:rowOff>
        </xdr:to>
        <xdr:sp macro="" textlink="">
          <xdr:nvSpPr>
            <xdr:cNvPr id="7217" name="CheckBox48" hidden="1">
              <a:extLst>
                <a:ext uri="{63B3BB69-23CF-44E3-9099-C40C66FF867C}">
                  <a14:compatExt spid="_x0000_s7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29</xdr:row>
          <xdr:rowOff>38100</xdr:rowOff>
        </xdr:from>
        <xdr:to>
          <xdr:col>2</xdr:col>
          <xdr:colOff>257175</xdr:colOff>
          <xdr:row>30</xdr:row>
          <xdr:rowOff>0</xdr:rowOff>
        </xdr:to>
        <xdr:sp macro="" textlink="">
          <xdr:nvSpPr>
            <xdr:cNvPr id="7218" name="CheckBox49" hidden="1">
              <a:extLst>
                <a:ext uri="{63B3BB69-23CF-44E3-9099-C40C66FF867C}">
                  <a14:compatExt spid="_x0000_s7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30</xdr:row>
          <xdr:rowOff>38100</xdr:rowOff>
        </xdr:from>
        <xdr:to>
          <xdr:col>0</xdr:col>
          <xdr:colOff>257175</xdr:colOff>
          <xdr:row>31</xdr:row>
          <xdr:rowOff>0</xdr:rowOff>
        </xdr:to>
        <xdr:sp macro="" textlink="">
          <xdr:nvSpPr>
            <xdr:cNvPr id="7219" name="CheckBox50" hidden="1">
              <a:extLst>
                <a:ext uri="{63B3BB69-23CF-44E3-9099-C40C66FF867C}">
                  <a14:compatExt spid="_x0000_s7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38100</xdr:rowOff>
        </xdr:from>
        <xdr:to>
          <xdr:col>2</xdr:col>
          <xdr:colOff>257175</xdr:colOff>
          <xdr:row>31</xdr:row>
          <xdr:rowOff>0</xdr:rowOff>
        </xdr:to>
        <xdr:sp macro="" textlink="">
          <xdr:nvSpPr>
            <xdr:cNvPr id="7220" name="CheckBox51" hidden="1">
              <a:extLst>
                <a:ext uri="{63B3BB69-23CF-44E3-9099-C40C66FF867C}">
                  <a14:compatExt spid="_x0000_s7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31</xdr:row>
          <xdr:rowOff>38100</xdr:rowOff>
        </xdr:from>
        <xdr:to>
          <xdr:col>0</xdr:col>
          <xdr:colOff>257175</xdr:colOff>
          <xdr:row>32</xdr:row>
          <xdr:rowOff>0</xdr:rowOff>
        </xdr:to>
        <xdr:sp macro="" textlink="">
          <xdr:nvSpPr>
            <xdr:cNvPr id="7221" name="CheckBox52" hidden="1">
              <a:extLst>
                <a:ext uri="{63B3BB69-23CF-44E3-9099-C40C66FF867C}">
                  <a14:compatExt spid="_x0000_s7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31</xdr:row>
          <xdr:rowOff>38100</xdr:rowOff>
        </xdr:from>
        <xdr:to>
          <xdr:col>2</xdr:col>
          <xdr:colOff>257175</xdr:colOff>
          <xdr:row>32</xdr:row>
          <xdr:rowOff>0</xdr:rowOff>
        </xdr:to>
        <xdr:sp macro="" textlink="">
          <xdr:nvSpPr>
            <xdr:cNvPr id="7222" name="CheckBox53" hidden="1">
              <a:extLst>
                <a:ext uri="{63B3BB69-23CF-44E3-9099-C40C66FF867C}">
                  <a14:compatExt spid="_x0000_s7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32</xdr:row>
          <xdr:rowOff>38100</xdr:rowOff>
        </xdr:from>
        <xdr:to>
          <xdr:col>0</xdr:col>
          <xdr:colOff>257175</xdr:colOff>
          <xdr:row>33</xdr:row>
          <xdr:rowOff>0</xdr:rowOff>
        </xdr:to>
        <xdr:sp macro="" textlink="">
          <xdr:nvSpPr>
            <xdr:cNvPr id="7223" name="CheckBox54" hidden="1">
              <a:extLst>
                <a:ext uri="{63B3BB69-23CF-44E3-9099-C40C66FF867C}">
                  <a14:compatExt spid="_x0000_s7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32</xdr:row>
          <xdr:rowOff>38100</xdr:rowOff>
        </xdr:from>
        <xdr:to>
          <xdr:col>2</xdr:col>
          <xdr:colOff>257175</xdr:colOff>
          <xdr:row>33</xdr:row>
          <xdr:rowOff>0</xdr:rowOff>
        </xdr:to>
        <xdr:sp macro="" textlink="">
          <xdr:nvSpPr>
            <xdr:cNvPr id="7224" name="CheckBox55" hidden="1">
              <a:extLst>
                <a:ext uri="{63B3BB69-23CF-44E3-9099-C40C66FF867C}">
                  <a14:compatExt spid="_x0000_s7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33</xdr:row>
          <xdr:rowOff>38100</xdr:rowOff>
        </xdr:from>
        <xdr:to>
          <xdr:col>0</xdr:col>
          <xdr:colOff>257175</xdr:colOff>
          <xdr:row>34</xdr:row>
          <xdr:rowOff>0</xdr:rowOff>
        </xdr:to>
        <xdr:sp macro="" textlink="">
          <xdr:nvSpPr>
            <xdr:cNvPr id="7225" name="CheckBox56" hidden="1">
              <a:extLst>
                <a:ext uri="{63B3BB69-23CF-44E3-9099-C40C66FF867C}">
                  <a14:compatExt spid="_x0000_s7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33</xdr:row>
          <xdr:rowOff>38100</xdr:rowOff>
        </xdr:from>
        <xdr:to>
          <xdr:col>2</xdr:col>
          <xdr:colOff>257175</xdr:colOff>
          <xdr:row>34</xdr:row>
          <xdr:rowOff>0</xdr:rowOff>
        </xdr:to>
        <xdr:sp macro="" textlink="">
          <xdr:nvSpPr>
            <xdr:cNvPr id="7226" name="CheckBox57" hidden="1">
              <a:extLst>
                <a:ext uri="{63B3BB69-23CF-44E3-9099-C40C66FF867C}">
                  <a14:compatExt spid="_x0000_s7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34</xdr:row>
          <xdr:rowOff>38100</xdr:rowOff>
        </xdr:from>
        <xdr:to>
          <xdr:col>0</xdr:col>
          <xdr:colOff>257175</xdr:colOff>
          <xdr:row>35</xdr:row>
          <xdr:rowOff>0</xdr:rowOff>
        </xdr:to>
        <xdr:sp macro="" textlink="">
          <xdr:nvSpPr>
            <xdr:cNvPr id="7227" name="CheckBox58" hidden="1">
              <a:extLst>
                <a:ext uri="{63B3BB69-23CF-44E3-9099-C40C66FF867C}">
                  <a14:compatExt spid="_x0000_s7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34</xdr:row>
          <xdr:rowOff>38100</xdr:rowOff>
        </xdr:from>
        <xdr:to>
          <xdr:col>2</xdr:col>
          <xdr:colOff>257175</xdr:colOff>
          <xdr:row>35</xdr:row>
          <xdr:rowOff>0</xdr:rowOff>
        </xdr:to>
        <xdr:sp macro="" textlink="">
          <xdr:nvSpPr>
            <xdr:cNvPr id="7228" name="CheckBox59" hidden="1">
              <a:extLst>
                <a:ext uri="{63B3BB69-23CF-44E3-9099-C40C66FF867C}">
                  <a14:compatExt spid="_x0000_s7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35</xdr:row>
          <xdr:rowOff>38100</xdr:rowOff>
        </xdr:from>
        <xdr:to>
          <xdr:col>0</xdr:col>
          <xdr:colOff>257175</xdr:colOff>
          <xdr:row>36</xdr:row>
          <xdr:rowOff>0</xdr:rowOff>
        </xdr:to>
        <xdr:sp macro="" textlink="">
          <xdr:nvSpPr>
            <xdr:cNvPr id="7229" name="CheckBox60" hidden="1">
              <a:extLst>
                <a:ext uri="{63B3BB69-23CF-44E3-9099-C40C66FF867C}">
                  <a14:compatExt spid="_x0000_s7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38100</xdr:rowOff>
        </xdr:from>
        <xdr:to>
          <xdr:col>2</xdr:col>
          <xdr:colOff>257175</xdr:colOff>
          <xdr:row>36</xdr:row>
          <xdr:rowOff>0</xdr:rowOff>
        </xdr:to>
        <xdr:sp macro="" textlink="">
          <xdr:nvSpPr>
            <xdr:cNvPr id="7230" name="CheckBox61" hidden="1">
              <a:extLst>
                <a:ext uri="{63B3BB69-23CF-44E3-9099-C40C66FF867C}">
                  <a14:compatExt spid="_x0000_s7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36</xdr:row>
          <xdr:rowOff>38100</xdr:rowOff>
        </xdr:from>
        <xdr:to>
          <xdr:col>0</xdr:col>
          <xdr:colOff>257175</xdr:colOff>
          <xdr:row>37</xdr:row>
          <xdr:rowOff>0</xdr:rowOff>
        </xdr:to>
        <xdr:sp macro="" textlink="">
          <xdr:nvSpPr>
            <xdr:cNvPr id="7231" name="CheckBox62" hidden="1">
              <a:extLst>
                <a:ext uri="{63B3BB69-23CF-44E3-9099-C40C66FF867C}">
                  <a14:compatExt spid="_x0000_s7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36</xdr:row>
          <xdr:rowOff>38100</xdr:rowOff>
        </xdr:from>
        <xdr:to>
          <xdr:col>2</xdr:col>
          <xdr:colOff>257175</xdr:colOff>
          <xdr:row>37</xdr:row>
          <xdr:rowOff>0</xdr:rowOff>
        </xdr:to>
        <xdr:sp macro="" textlink="">
          <xdr:nvSpPr>
            <xdr:cNvPr id="7232" name="CheckBox63" hidden="1">
              <a:extLst>
                <a:ext uri="{63B3BB69-23CF-44E3-9099-C40C66FF867C}">
                  <a14:compatExt spid="_x0000_s7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37</xdr:row>
          <xdr:rowOff>38100</xdr:rowOff>
        </xdr:from>
        <xdr:to>
          <xdr:col>0</xdr:col>
          <xdr:colOff>257175</xdr:colOff>
          <xdr:row>38</xdr:row>
          <xdr:rowOff>0</xdr:rowOff>
        </xdr:to>
        <xdr:sp macro="" textlink="">
          <xdr:nvSpPr>
            <xdr:cNvPr id="7233" name="CheckBox64" hidden="1">
              <a:extLst>
                <a:ext uri="{63B3BB69-23CF-44E3-9099-C40C66FF867C}">
                  <a14:compatExt spid="_x0000_s7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37</xdr:row>
          <xdr:rowOff>38100</xdr:rowOff>
        </xdr:from>
        <xdr:to>
          <xdr:col>2</xdr:col>
          <xdr:colOff>257175</xdr:colOff>
          <xdr:row>38</xdr:row>
          <xdr:rowOff>0</xdr:rowOff>
        </xdr:to>
        <xdr:sp macro="" textlink="">
          <xdr:nvSpPr>
            <xdr:cNvPr id="7234" name="CheckBox65" hidden="1">
              <a:extLst>
                <a:ext uri="{63B3BB69-23CF-44E3-9099-C40C66FF867C}">
                  <a14:compatExt spid="_x0000_s72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38</xdr:row>
          <xdr:rowOff>38100</xdr:rowOff>
        </xdr:from>
        <xdr:to>
          <xdr:col>0</xdr:col>
          <xdr:colOff>257175</xdr:colOff>
          <xdr:row>39</xdr:row>
          <xdr:rowOff>0</xdr:rowOff>
        </xdr:to>
        <xdr:sp macro="" textlink="">
          <xdr:nvSpPr>
            <xdr:cNvPr id="7235" name="CheckBox66" hidden="1">
              <a:extLst>
                <a:ext uri="{63B3BB69-23CF-44E3-9099-C40C66FF867C}">
                  <a14:compatExt spid="_x0000_s72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38</xdr:row>
          <xdr:rowOff>38100</xdr:rowOff>
        </xdr:from>
        <xdr:to>
          <xdr:col>2</xdr:col>
          <xdr:colOff>257175</xdr:colOff>
          <xdr:row>39</xdr:row>
          <xdr:rowOff>0</xdr:rowOff>
        </xdr:to>
        <xdr:sp macro="" textlink="">
          <xdr:nvSpPr>
            <xdr:cNvPr id="7236" name="CheckBox67" hidden="1">
              <a:extLst>
                <a:ext uri="{63B3BB69-23CF-44E3-9099-C40C66FF867C}">
                  <a14:compatExt spid="_x0000_s72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39</xdr:row>
          <xdr:rowOff>38100</xdr:rowOff>
        </xdr:from>
        <xdr:to>
          <xdr:col>0</xdr:col>
          <xdr:colOff>257175</xdr:colOff>
          <xdr:row>40</xdr:row>
          <xdr:rowOff>0</xdr:rowOff>
        </xdr:to>
        <xdr:sp macro="" textlink="">
          <xdr:nvSpPr>
            <xdr:cNvPr id="7237" name="CheckBox68" hidden="1">
              <a:extLst>
                <a:ext uri="{63B3BB69-23CF-44E3-9099-C40C66FF867C}">
                  <a14:compatExt spid="_x0000_s72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38100</xdr:rowOff>
        </xdr:from>
        <xdr:to>
          <xdr:col>2</xdr:col>
          <xdr:colOff>257175</xdr:colOff>
          <xdr:row>40</xdr:row>
          <xdr:rowOff>0</xdr:rowOff>
        </xdr:to>
        <xdr:sp macro="" textlink="">
          <xdr:nvSpPr>
            <xdr:cNvPr id="7238" name="CheckBox69" hidden="1">
              <a:extLst>
                <a:ext uri="{63B3BB69-23CF-44E3-9099-C40C66FF867C}">
                  <a14:compatExt spid="_x0000_s72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40</xdr:row>
          <xdr:rowOff>38100</xdr:rowOff>
        </xdr:from>
        <xdr:to>
          <xdr:col>0</xdr:col>
          <xdr:colOff>257175</xdr:colOff>
          <xdr:row>41</xdr:row>
          <xdr:rowOff>0</xdr:rowOff>
        </xdr:to>
        <xdr:sp macro="" textlink="">
          <xdr:nvSpPr>
            <xdr:cNvPr id="7239" name="CheckBox70" hidden="1">
              <a:extLst>
                <a:ext uri="{63B3BB69-23CF-44E3-9099-C40C66FF867C}">
                  <a14:compatExt spid="_x0000_s72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40</xdr:row>
          <xdr:rowOff>38100</xdr:rowOff>
        </xdr:from>
        <xdr:to>
          <xdr:col>2</xdr:col>
          <xdr:colOff>257175</xdr:colOff>
          <xdr:row>41</xdr:row>
          <xdr:rowOff>0</xdr:rowOff>
        </xdr:to>
        <xdr:sp macro="" textlink="">
          <xdr:nvSpPr>
            <xdr:cNvPr id="7240" name="CheckBox71" hidden="1">
              <a:extLst>
                <a:ext uri="{63B3BB69-23CF-44E3-9099-C40C66FF867C}">
                  <a14:compatExt spid="_x0000_s72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41</xdr:row>
          <xdr:rowOff>38100</xdr:rowOff>
        </xdr:from>
        <xdr:to>
          <xdr:col>0</xdr:col>
          <xdr:colOff>257175</xdr:colOff>
          <xdr:row>42</xdr:row>
          <xdr:rowOff>0</xdr:rowOff>
        </xdr:to>
        <xdr:sp macro="" textlink="">
          <xdr:nvSpPr>
            <xdr:cNvPr id="7241" name="CheckBox72" hidden="1">
              <a:extLst>
                <a:ext uri="{63B3BB69-23CF-44E3-9099-C40C66FF867C}">
                  <a14:compatExt spid="_x0000_s7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41</xdr:row>
          <xdr:rowOff>38100</xdr:rowOff>
        </xdr:from>
        <xdr:to>
          <xdr:col>2</xdr:col>
          <xdr:colOff>257175</xdr:colOff>
          <xdr:row>42</xdr:row>
          <xdr:rowOff>0</xdr:rowOff>
        </xdr:to>
        <xdr:sp macro="" textlink="">
          <xdr:nvSpPr>
            <xdr:cNvPr id="7242" name="CheckBox73" hidden="1">
              <a:extLst>
                <a:ext uri="{63B3BB69-23CF-44E3-9099-C40C66FF867C}">
                  <a14:compatExt spid="_x0000_s7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42</xdr:row>
          <xdr:rowOff>38100</xdr:rowOff>
        </xdr:from>
        <xdr:to>
          <xdr:col>0</xdr:col>
          <xdr:colOff>257175</xdr:colOff>
          <xdr:row>43</xdr:row>
          <xdr:rowOff>0</xdr:rowOff>
        </xdr:to>
        <xdr:sp macro="" textlink="">
          <xdr:nvSpPr>
            <xdr:cNvPr id="7243" name="CheckBox74" hidden="1">
              <a:extLst>
                <a:ext uri="{63B3BB69-23CF-44E3-9099-C40C66FF867C}">
                  <a14:compatExt spid="_x0000_s7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42</xdr:row>
          <xdr:rowOff>38100</xdr:rowOff>
        </xdr:from>
        <xdr:to>
          <xdr:col>2</xdr:col>
          <xdr:colOff>257175</xdr:colOff>
          <xdr:row>43</xdr:row>
          <xdr:rowOff>0</xdr:rowOff>
        </xdr:to>
        <xdr:sp macro="" textlink="">
          <xdr:nvSpPr>
            <xdr:cNvPr id="7244" name="CheckBox75" hidden="1">
              <a:extLst>
                <a:ext uri="{63B3BB69-23CF-44E3-9099-C40C66FF867C}">
                  <a14:compatExt spid="_x0000_s7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43</xdr:row>
          <xdr:rowOff>38100</xdr:rowOff>
        </xdr:from>
        <xdr:to>
          <xdr:col>0</xdr:col>
          <xdr:colOff>257175</xdr:colOff>
          <xdr:row>44</xdr:row>
          <xdr:rowOff>0</xdr:rowOff>
        </xdr:to>
        <xdr:sp macro="" textlink="">
          <xdr:nvSpPr>
            <xdr:cNvPr id="7245" name="CheckBox76" hidden="1">
              <a:extLst>
                <a:ext uri="{63B3BB69-23CF-44E3-9099-C40C66FF867C}">
                  <a14:compatExt spid="_x0000_s7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43</xdr:row>
          <xdr:rowOff>38100</xdr:rowOff>
        </xdr:from>
        <xdr:to>
          <xdr:col>2</xdr:col>
          <xdr:colOff>257175</xdr:colOff>
          <xdr:row>44</xdr:row>
          <xdr:rowOff>0</xdr:rowOff>
        </xdr:to>
        <xdr:sp macro="" textlink="">
          <xdr:nvSpPr>
            <xdr:cNvPr id="7246" name="CheckBox77" hidden="1">
              <a:extLst>
                <a:ext uri="{63B3BB69-23CF-44E3-9099-C40C66FF867C}">
                  <a14:compatExt spid="_x0000_s7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44</xdr:row>
          <xdr:rowOff>38100</xdr:rowOff>
        </xdr:from>
        <xdr:to>
          <xdr:col>0</xdr:col>
          <xdr:colOff>257175</xdr:colOff>
          <xdr:row>45</xdr:row>
          <xdr:rowOff>0</xdr:rowOff>
        </xdr:to>
        <xdr:sp macro="" textlink="">
          <xdr:nvSpPr>
            <xdr:cNvPr id="7247" name="CheckBox78" hidden="1">
              <a:extLst>
                <a:ext uri="{63B3BB69-23CF-44E3-9099-C40C66FF867C}">
                  <a14:compatExt spid="_x0000_s7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44</xdr:row>
          <xdr:rowOff>38100</xdr:rowOff>
        </xdr:from>
        <xdr:to>
          <xdr:col>2</xdr:col>
          <xdr:colOff>257175</xdr:colOff>
          <xdr:row>45</xdr:row>
          <xdr:rowOff>0</xdr:rowOff>
        </xdr:to>
        <xdr:sp macro="" textlink="">
          <xdr:nvSpPr>
            <xdr:cNvPr id="7248" name="CheckBox79" hidden="1">
              <a:extLst>
                <a:ext uri="{63B3BB69-23CF-44E3-9099-C40C66FF867C}">
                  <a14:compatExt spid="_x0000_s7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45</xdr:row>
          <xdr:rowOff>38100</xdr:rowOff>
        </xdr:from>
        <xdr:to>
          <xdr:col>0</xdr:col>
          <xdr:colOff>257175</xdr:colOff>
          <xdr:row>46</xdr:row>
          <xdr:rowOff>0</xdr:rowOff>
        </xdr:to>
        <xdr:sp macro="" textlink="">
          <xdr:nvSpPr>
            <xdr:cNvPr id="7249" name="CheckBox80" hidden="1">
              <a:extLst>
                <a:ext uri="{63B3BB69-23CF-44E3-9099-C40C66FF867C}">
                  <a14:compatExt spid="_x0000_s7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38100</xdr:rowOff>
        </xdr:from>
        <xdr:to>
          <xdr:col>2</xdr:col>
          <xdr:colOff>257175</xdr:colOff>
          <xdr:row>46</xdr:row>
          <xdr:rowOff>0</xdr:rowOff>
        </xdr:to>
        <xdr:sp macro="" textlink="">
          <xdr:nvSpPr>
            <xdr:cNvPr id="7250" name="CheckBox81" hidden="1">
              <a:extLst>
                <a:ext uri="{63B3BB69-23CF-44E3-9099-C40C66FF867C}">
                  <a14:compatExt spid="_x0000_s7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6</xdr:row>
          <xdr:rowOff>38100</xdr:rowOff>
        </xdr:from>
        <xdr:to>
          <xdr:col>1</xdr:col>
          <xdr:colOff>257175</xdr:colOff>
          <xdr:row>7</xdr:row>
          <xdr:rowOff>0</xdr:rowOff>
        </xdr:to>
        <xdr:sp macro="" textlink="">
          <xdr:nvSpPr>
            <xdr:cNvPr id="7251" name="CheckBox84" hidden="1">
              <a:extLst>
                <a:ext uri="{63B3BB69-23CF-44E3-9099-C40C66FF867C}">
                  <a14:compatExt spid="_x0000_s7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7</xdr:row>
          <xdr:rowOff>47625</xdr:rowOff>
        </xdr:from>
        <xdr:to>
          <xdr:col>1</xdr:col>
          <xdr:colOff>257175</xdr:colOff>
          <xdr:row>8</xdr:row>
          <xdr:rowOff>9525</xdr:rowOff>
        </xdr:to>
        <xdr:sp macro="" textlink="">
          <xdr:nvSpPr>
            <xdr:cNvPr id="7252" name="CheckBox85" hidden="1">
              <a:extLst>
                <a:ext uri="{63B3BB69-23CF-44E3-9099-C40C66FF867C}">
                  <a14:compatExt spid="_x0000_s7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38100</xdr:rowOff>
        </xdr:from>
        <xdr:to>
          <xdr:col>1</xdr:col>
          <xdr:colOff>257175</xdr:colOff>
          <xdr:row>9</xdr:row>
          <xdr:rowOff>0</xdr:rowOff>
        </xdr:to>
        <xdr:sp macro="" textlink="">
          <xdr:nvSpPr>
            <xdr:cNvPr id="7253" name="CheckBox86" hidden="1">
              <a:extLst>
                <a:ext uri="{63B3BB69-23CF-44E3-9099-C40C66FF867C}">
                  <a14:compatExt spid="_x0000_s7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38100</xdr:rowOff>
        </xdr:from>
        <xdr:to>
          <xdr:col>1</xdr:col>
          <xdr:colOff>257175</xdr:colOff>
          <xdr:row>10</xdr:row>
          <xdr:rowOff>0</xdr:rowOff>
        </xdr:to>
        <xdr:sp macro="" textlink="">
          <xdr:nvSpPr>
            <xdr:cNvPr id="7254" name="CheckBox87" hidden="1">
              <a:extLst>
                <a:ext uri="{63B3BB69-23CF-44E3-9099-C40C66FF867C}">
                  <a14:compatExt spid="_x0000_s7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10</xdr:row>
          <xdr:rowOff>38100</xdr:rowOff>
        </xdr:from>
        <xdr:to>
          <xdr:col>1</xdr:col>
          <xdr:colOff>257175</xdr:colOff>
          <xdr:row>11</xdr:row>
          <xdr:rowOff>0</xdr:rowOff>
        </xdr:to>
        <xdr:sp macro="" textlink="">
          <xdr:nvSpPr>
            <xdr:cNvPr id="7255" name="CheckBox88" hidden="1">
              <a:extLst>
                <a:ext uri="{63B3BB69-23CF-44E3-9099-C40C66FF867C}">
                  <a14:compatExt spid="_x0000_s7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11</xdr:row>
          <xdr:rowOff>38100</xdr:rowOff>
        </xdr:from>
        <xdr:to>
          <xdr:col>1</xdr:col>
          <xdr:colOff>257175</xdr:colOff>
          <xdr:row>12</xdr:row>
          <xdr:rowOff>0</xdr:rowOff>
        </xdr:to>
        <xdr:sp macro="" textlink="">
          <xdr:nvSpPr>
            <xdr:cNvPr id="7256" name="CheckBox89" hidden="1">
              <a:extLst>
                <a:ext uri="{63B3BB69-23CF-44E3-9099-C40C66FF867C}">
                  <a14:compatExt spid="_x0000_s7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12</xdr:row>
          <xdr:rowOff>38100</xdr:rowOff>
        </xdr:from>
        <xdr:to>
          <xdr:col>1</xdr:col>
          <xdr:colOff>257175</xdr:colOff>
          <xdr:row>13</xdr:row>
          <xdr:rowOff>0</xdr:rowOff>
        </xdr:to>
        <xdr:sp macro="" textlink="">
          <xdr:nvSpPr>
            <xdr:cNvPr id="7257" name="CheckBox90" hidden="1">
              <a:extLst>
                <a:ext uri="{63B3BB69-23CF-44E3-9099-C40C66FF867C}">
                  <a14:compatExt spid="_x0000_s7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13</xdr:row>
          <xdr:rowOff>38100</xdr:rowOff>
        </xdr:from>
        <xdr:to>
          <xdr:col>1</xdr:col>
          <xdr:colOff>257175</xdr:colOff>
          <xdr:row>14</xdr:row>
          <xdr:rowOff>0</xdr:rowOff>
        </xdr:to>
        <xdr:sp macro="" textlink="">
          <xdr:nvSpPr>
            <xdr:cNvPr id="7258" name="CheckBox91" hidden="1">
              <a:extLst>
                <a:ext uri="{63B3BB69-23CF-44E3-9099-C40C66FF867C}">
                  <a14:compatExt spid="_x0000_s7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14</xdr:row>
          <xdr:rowOff>38100</xdr:rowOff>
        </xdr:from>
        <xdr:to>
          <xdr:col>1</xdr:col>
          <xdr:colOff>257175</xdr:colOff>
          <xdr:row>15</xdr:row>
          <xdr:rowOff>0</xdr:rowOff>
        </xdr:to>
        <xdr:sp macro="" textlink="">
          <xdr:nvSpPr>
            <xdr:cNvPr id="7259" name="CheckBox92" hidden="1">
              <a:extLst>
                <a:ext uri="{63B3BB69-23CF-44E3-9099-C40C66FF867C}">
                  <a14:compatExt spid="_x0000_s7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15</xdr:row>
          <xdr:rowOff>38100</xdr:rowOff>
        </xdr:from>
        <xdr:to>
          <xdr:col>1</xdr:col>
          <xdr:colOff>257175</xdr:colOff>
          <xdr:row>16</xdr:row>
          <xdr:rowOff>0</xdr:rowOff>
        </xdr:to>
        <xdr:sp macro="" textlink="">
          <xdr:nvSpPr>
            <xdr:cNvPr id="7260" name="CheckBox93" hidden="1">
              <a:extLst>
                <a:ext uri="{63B3BB69-23CF-44E3-9099-C40C66FF867C}">
                  <a14:compatExt spid="_x0000_s7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16</xdr:row>
          <xdr:rowOff>38100</xdr:rowOff>
        </xdr:from>
        <xdr:to>
          <xdr:col>1</xdr:col>
          <xdr:colOff>257175</xdr:colOff>
          <xdr:row>17</xdr:row>
          <xdr:rowOff>0</xdr:rowOff>
        </xdr:to>
        <xdr:sp macro="" textlink="">
          <xdr:nvSpPr>
            <xdr:cNvPr id="7261" name="CheckBox94" hidden="1">
              <a:extLst>
                <a:ext uri="{63B3BB69-23CF-44E3-9099-C40C66FF867C}">
                  <a14:compatExt spid="_x0000_s7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17</xdr:row>
          <xdr:rowOff>38100</xdr:rowOff>
        </xdr:from>
        <xdr:to>
          <xdr:col>1</xdr:col>
          <xdr:colOff>257175</xdr:colOff>
          <xdr:row>18</xdr:row>
          <xdr:rowOff>0</xdr:rowOff>
        </xdr:to>
        <xdr:sp macro="" textlink="">
          <xdr:nvSpPr>
            <xdr:cNvPr id="7262" name="CheckBox95" hidden="1">
              <a:extLst>
                <a:ext uri="{63B3BB69-23CF-44E3-9099-C40C66FF867C}">
                  <a14:compatExt spid="_x0000_s7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18</xdr:row>
          <xdr:rowOff>38100</xdr:rowOff>
        </xdr:from>
        <xdr:to>
          <xdr:col>1</xdr:col>
          <xdr:colOff>257175</xdr:colOff>
          <xdr:row>19</xdr:row>
          <xdr:rowOff>0</xdr:rowOff>
        </xdr:to>
        <xdr:sp macro="" textlink="">
          <xdr:nvSpPr>
            <xdr:cNvPr id="7263" name="CheckBox96" hidden="1">
              <a:extLst>
                <a:ext uri="{63B3BB69-23CF-44E3-9099-C40C66FF867C}">
                  <a14:compatExt spid="_x0000_s7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19</xdr:row>
          <xdr:rowOff>38100</xdr:rowOff>
        </xdr:from>
        <xdr:to>
          <xdr:col>1</xdr:col>
          <xdr:colOff>257175</xdr:colOff>
          <xdr:row>20</xdr:row>
          <xdr:rowOff>0</xdr:rowOff>
        </xdr:to>
        <xdr:sp macro="" textlink="">
          <xdr:nvSpPr>
            <xdr:cNvPr id="7264" name="CheckBox97" hidden="1">
              <a:extLst>
                <a:ext uri="{63B3BB69-23CF-44E3-9099-C40C66FF867C}">
                  <a14:compatExt spid="_x0000_s7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20</xdr:row>
          <xdr:rowOff>38100</xdr:rowOff>
        </xdr:from>
        <xdr:to>
          <xdr:col>1</xdr:col>
          <xdr:colOff>257175</xdr:colOff>
          <xdr:row>21</xdr:row>
          <xdr:rowOff>0</xdr:rowOff>
        </xdr:to>
        <xdr:sp macro="" textlink="">
          <xdr:nvSpPr>
            <xdr:cNvPr id="7265" name="CheckBox98" hidden="1">
              <a:extLst>
                <a:ext uri="{63B3BB69-23CF-44E3-9099-C40C66FF867C}">
                  <a14:compatExt spid="_x0000_s7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21</xdr:row>
          <xdr:rowOff>38100</xdr:rowOff>
        </xdr:from>
        <xdr:to>
          <xdr:col>1</xdr:col>
          <xdr:colOff>257175</xdr:colOff>
          <xdr:row>22</xdr:row>
          <xdr:rowOff>0</xdr:rowOff>
        </xdr:to>
        <xdr:sp macro="" textlink="">
          <xdr:nvSpPr>
            <xdr:cNvPr id="7266" name="CheckBox99" hidden="1">
              <a:extLst>
                <a:ext uri="{63B3BB69-23CF-44E3-9099-C40C66FF867C}">
                  <a14:compatExt spid="_x0000_s7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22</xdr:row>
          <xdr:rowOff>38100</xdr:rowOff>
        </xdr:from>
        <xdr:to>
          <xdr:col>1</xdr:col>
          <xdr:colOff>257175</xdr:colOff>
          <xdr:row>23</xdr:row>
          <xdr:rowOff>0</xdr:rowOff>
        </xdr:to>
        <xdr:sp macro="" textlink="">
          <xdr:nvSpPr>
            <xdr:cNvPr id="7267" name="CheckBox100" hidden="1">
              <a:extLst>
                <a:ext uri="{63B3BB69-23CF-44E3-9099-C40C66FF867C}">
                  <a14:compatExt spid="_x0000_s7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23</xdr:row>
          <xdr:rowOff>38100</xdr:rowOff>
        </xdr:from>
        <xdr:to>
          <xdr:col>1</xdr:col>
          <xdr:colOff>257175</xdr:colOff>
          <xdr:row>24</xdr:row>
          <xdr:rowOff>0</xdr:rowOff>
        </xdr:to>
        <xdr:sp macro="" textlink="">
          <xdr:nvSpPr>
            <xdr:cNvPr id="7268" name="CheckBox101" hidden="1">
              <a:extLst>
                <a:ext uri="{63B3BB69-23CF-44E3-9099-C40C66FF867C}">
                  <a14:compatExt spid="_x0000_s7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24</xdr:row>
          <xdr:rowOff>38100</xdr:rowOff>
        </xdr:from>
        <xdr:to>
          <xdr:col>1</xdr:col>
          <xdr:colOff>257175</xdr:colOff>
          <xdr:row>25</xdr:row>
          <xdr:rowOff>0</xdr:rowOff>
        </xdr:to>
        <xdr:sp macro="" textlink="">
          <xdr:nvSpPr>
            <xdr:cNvPr id="7269" name="CheckBox102" hidden="1">
              <a:extLst>
                <a:ext uri="{63B3BB69-23CF-44E3-9099-C40C66FF867C}">
                  <a14:compatExt spid="_x0000_s7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25</xdr:row>
          <xdr:rowOff>38100</xdr:rowOff>
        </xdr:from>
        <xdr:to>
          <xdr:col>1</xdr:col>
          <xdr:colOff>257175</xdr:colOff>
          <xdr:row>26</xdr:row>
          <xdr:rowOff>0</xdr:rowOff>
        </xdr:to>
        <xdr:sp macro="" textlink="">
          <xdr:nvSpPr>
            <xdr:cNvPr id="7270" name="CheckBox103" hidden="1">
              <a:extLst>
                <a:ext uri="{63B3BB69-23CF-44E3-9099-C40C66FF867C}">
                  <a14:compatExt spid="_x0000_s7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26</xdr:row>
          <xdr:rowOff>38100</xdr:rowOff>
        </xdr:from>
        <xdr:to>
          <xdr:col>1</xdr:col>
          <xdr:colOff>257175</xdr:colOff>
          <xdr:row>27</xdr:row>
          <xdr:rowOff>0</xdr:rowOff>
        </xdr:to>
        <xdr:sp macro="" textlink="">
          <xdr:nvSpPr>
            <xdr:cNvPr id="7271" name="CheckBox104" hidden="1">
              <a:extLst>
                <a:ext uri="{63B3BB69-23CF-44E3-9099-C40C66FF867C}">
                  <a14:compatExt spid="_x0000_s7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27</xdr:row>
          <xdr:rowOff>38100</xdr:rowOff>
        </xdr:from>
        <xdr:to>
          <xdr:col>1</xdr:col>
          <xdr:colOff>257175</xdr:colOff>
          <xdr:row>28</xdr:row>
          <xdr:rowOff>0</xdr:rowOff>
        </xdr:to>
        <xdr:sp macro="" textlink="">
          <xdr:nvSpPr>
            <xdr:cNvPr id="7272" name="CheckBox105" hidden="1">
              <a:extLst>
                <a:ext uri="{63B3BB69-23CF-44E3-9099-C40C66FF867C}">
                  <a14:compatExt spid="_x0000_s7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28</xdr:row>
          <xdr:rowOff>38100</xdr:rowOff>
        </xdr:from>
        <xdr:to>
          <xdr:col>1</xdr:col>
          <xdr:colOff>257175</xdr:colOff>
          <xdr:row>29</xdr:row>
          <xdr:rowOff>0</xdr:rowOff>
        </xdr:to>
        <xdr:sp macro="" textlink="">
          <xdr:nvSpPr>
            <xdr:cNvPr id="7273" name="CheckBox106" hidden="1">
              <a:extLst>
                <a:ext uri="{63B3BB69-23CF-44E3-9099-C40C66FF867C}">
                  <a14:compatExt spid="_x0000_s7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30</xdr:row>
          <xdr:rowOff>38100</xdr:rowOff>
        </xdr:from>
        <xdr:to>
          <xdr:col>1</xdr:col>
          <xdr:colOff>257175</xdr:colOff>
          <xdr:row>31</xdr:row>
          <xdr:rowOff>0</xdr:rowOff>
        </xdr:to>
        <xdr:sp macro="" textlink="">
          <xdr:nvSpPr>
            <xdr:cNvPr id="7274" name="CheckBox107" hidden="1">
              <a:extLst>
                <a:ext uri="{63B3BB69-23CF-44E3-9099-C40C66FF867C}">
                  <a14:compatExt spid="_x0000_s7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29</xdr:row>
          <xdr:rowOff>38100</xdr:rowOff>
        </xdr:from>
        <xdr:to>
          <xdr:col>1</xdr:col>
          <xdr:colOff>257175</xdr:colOff>
          <xdr:row>30</xdr:row>
          <xdr:rowOff>0</xdr:rowOff>
        </xdr:to>
        <xdr:sp macro="" textlink="">
          <xdr:nvSpPr>
            <xdr:cNvPr id="7275" name="CheckBox108" hidden="1">
              <a:extLst>
                <a:ext uri="{63B3BB69-23CF-44E3-9099-C40C66FF867C}">
                  <a14:compatExt spid="_x0000_s7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31</xdr:row>
          <xdr:rowOff>38100</xdr:rowOff>
        </xdr:from>
        <xdr:to>
          <xdr:col>1</xdr:col>
          <xdr:colOff>257175</xdr:colOff>
          <xdr:row>32</xdr:row>
          <xdr:rowOff>0</xdr:rowOff>
        </xdr:to>
        <xdr:sp macro="" textlink="">
          <xdr:nvSpPr>
            <xdr:cNvPr id="7276" name="CheckBox109" hidden="1">
              <a:extLst>
                <a:ext uri="{63B3BB69-23CF-44E3-9099-C40C66FF867C}">
                  <a14:compatExt spid="_x0000_s72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32</xdr:row>
          <xdr:rowOff>38100</xdr:rowOff>
        </xdr:from>
        <xdr:to>
          <xdr:col>1</xdr:col>
          <xdr:colOff>257175</xdr:colOff>
          <xdr:row>33</xdr:row>
          <xdr:rowOff>0</xdr:rowOff>
        </xdr:to>
        <xdr:sp macro="" textlink="">
          <xdr:nvSpPr>
            <xdr:cNvPr id="7277" name="CheckBox110" hidden="1">
              <a:extLst>
                <a:ext uri="{63B3BB69-23CF-44E3-9099-C40C66FF867C}">
                  <a14:compatExt spid="_x0000_s72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33</xdr:row>
          <xdr:rowOff>38100</xdr:rowOff>
        </xdr:from>
        <xdr:to>
          <xdr:col>1</xdr:col>
          <xdr:colOff>257175</xdr:colOff>
          <xdr:row>34</xdr:row>
          <xdr:rowOff>0</xdr:rowOff>
        </xdr:to>
        <xdr:sp macro="" textlink="">
          <xdr:nvSpPr>
            <xdr:cNvPr id="7278" name="CheckBox111" hidden="1">
              <a:extLst>
                <a:ext uri="{63B3BB69-23CF-44E3-9099-C40C66FF867C}">
                  <a14:compatExt spid="_x0000_s72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34</xdr:row>
          <xdr:rowOff>38100</xdr:rowOff>
        </xdr:from>
        <xdr:to>
          <xdr:col>1</xdr:col>
          <xdr:colOff>257175</xdr:colOff>
          <xdr:row>35</xdr:row>
          <xdr:rowOff>0</xdr:rowOff>
        </xdr:to>
        <xdr:sp macro="" textlink="">
          <xdr:nvSpPr>
            <xdr:cNvPr id="7279" name="CheckBox112" hidden="1">
              <a:extLst>
                <a:ext uri="{63B3BB69-23CF-44E3-9099-C40C66FF867C}">
                  <a14:compatExt spid="_x0000_s72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35</xdr:row>
          <xdr:rowOff>38100</xdr:rowOff>
        </xdr:from>
        <xdr:to>
          <xdr:col>1</xdr:col>
          <xdr:colOff>257175</xdr:colOff>
          <xdr:row>36</xdr:row>
          <xdr:rowOff>0</xdr:rowOff>
        </xdr:to>
        <xdr:sp macro="" textlink="">
          <xdr:nvSpPr>
            <xdr:cNvPr id="7280" name="CheckBox113" hidden="1">
              <a:extLst>
                <a:ext uri="{63B3BB69-23CF-44E3-9099-C40C66FF867C}">
                  <a14:compatExt spid="_x0000_s72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37</xdr:row>
          <xdr:rowOff>38100</xdr:rowOff>
        </xdr:from>
        <xdr:to>
          <xdr:col>1</xdr:col>
          <xdr:colOff>257175</xdr:colOff>
          <xdr:row>38</xdr:row>
          <xdr:rowOff>0</xdr:rowOff>
        </xdr:to>
        <xdr:sp macro="" textlink="">
          <xdr:nvSpPr>
            <xdr:cNvPr id="7281" name="CheckBox114" hidden="1">
              <a:extLst>
                <a:ext uri="{63B3BB69-23CF-44E3-9099-C40C66FF867C}">
                  <a14:compatExt spid="_x0000_s7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36</xdr:row>
          <xdr:rowOff>38100</xdr:rowOff>
        </xdr:from>
        <xdr:to>
          <xdr:col>1</xdr:col>
          <xdr:colOff>257175</xdr:colOff>
          <xdr:row>37</xdr:row>
          <xdr:rowOff>0</xdr:rowOff>
        </xdr:to>
        <xdr:sp macro="" textlink="">
          <xdr:nvSpPr>
            <xdr:cNvPr id="7282" name="CheckBox115" hidden="1">
              <a:extLst>
                <a:ext uri="{63B3BB69-23CF-44E3-9099-C40C66FF867C}">
                  <a14:compatExt spid="_x0000_s72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38</xdr:row>
          <xdr:rowOff>38100</xdr:rowOff>
        </xdr:from>
        <xdr:to>
          <xdr:col>1</xdr:col>
          <xdr:colOff>257175</xdr:colOff>
          <xdr:row>39</xdr:row>
          <xdr:rowOff>0</xdr:rowOff>
        </xdr:to>
        <xdr:sp macro="" textlink="">
          <xdr:nvSpPr>
            <xdr:cNvPr id="7283" name="CheckBox116" hidden="1">
              <a:extLst>
                <a:ext uri="{63B3BB69-23CF-44E3-9099-C40C66FF867C}">
                  <a14:compatExt spid="_x0000_s72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39</xdr:row>
          <xdr:rowOff>38100</xdr:rowOff>
        </xdr:from>
        <xdr:to>
          <xdr:col>1</xdr:col>
          <xdr:colOff>257175</xdr:colOff>
          <xdr:row>40</xdr:row>
          <xdr:rowOff>0</xdr:rowOff>
        </xdr:to>
        <xdr:sp macro="" textlink="">
          <xdr:nvSpPr>
            <xdr:cNvPr id="7284" name="CheckBox117" hidden="1">
              <a:extLst>
                <a:ext uri="{63B3BB69-23CF-44E3-9099-C40C66FF867C}">
                  <a14:compatExt spid="_x0000_s72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40</xdr:row>
          <xdr:rowOff>38100</xdr:rowOff>
        </xdr:from>
        <xdr:to>
          <xdr:col>1</xdr:col>
          <xdr:colOff>257175</xdr:colOff>
          <xdr:row>41</xdr:row>
          <xdr:rowOff>0</xdr:rowOff>
        </xdr:to>
        <xdr:sp macro="" textlink="">
          <xdr:nvSpPr>
            <xdr:cNvPr id="7285" name="CheckBox118" hidden="1">
              <a:extLst>
                <a:ext uri="{63B3BB69-23CF-44E3-9099-C40C66FF867C}">
                  <a14:compatExt spid="_x0000_s72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41</xdr:row>
          <xdr:rowOff>38100</xdr:rowOff>
        </xdr:from>
        <xdr:to>
          <xdr:col>1</xdr:col>
          <xdr:colOff>257175</xdr:colOff>
          <xdr:row>42</xdr:row>
          <xdr:rowOff>0</xdr:rowOff>
        </xdr:to>
        <xdr:sp macro="" textlink="">
          <xdr:nvSpPr>
            <xdr:cNvPr id="7286" name="CheckBox119" hidden="1">
              <a:extLst>
                <a:ext uri="{63B3BB69-23CF-44E3-9099-C40C66FF867C}">
                  <a14:compatExt spid="_x0000_s72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42</xdr:row>
          <xdr:rowOff>38100</xdr:rowOff>
        </xdr:from>
        <xdr:to>
          <xdr:col>1</xdr:col>
          <xdr:colOff>257175</xdr:colOff>
          <xdr:row>43</xdr:row>
          <xdr:rowOff>0</xdr:rowOff>
        </xdr:to>
        <xdr:sp macro="" textlink="">
          <xdr:nvSpPr>
            <xdr:cNvPr id="7287" name="CheckBox120" hidden="1">
              <a:extLst>
                <a:ext uri="{63B3BB69-23CF-44E3-9099-C40C66FF867C}">
                  <a14:compatExt spid="_x0000_s72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43</xdr:row>
          <xdr:rowOff>38100</xdr:rowOff>
        </xdr:from>
        <xdr:to>
          <xdr:col>1</xdr:col>
          <xdr:colOff>257175</xdr:colOff>
          <xdr:row>44</xdr:row>
          <xdr:rowOff>0</xdr:rowOff>
        </xdr:to>
        <xdr:sp macro="" textlink="">
          <xdr:nvSpPr>
            <xdr:cNvPr id="7288" name="CheckBox121" hidden="1">
              <a:extLst>
                <a:ext uri="{63B3BB69-23CF-44E3-9099-C40C66FF867C}">
                  <a14:compatExt spid="_x0000_s72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44</xdr:row>
          <xdr:rowOff>38100</xdr:rowOff>
        </xdr:from>
        <xdr:to>
          <xdr:col>1</xdr:col>
          <xdr:colOff>257175</xdr:colOff>
          <xdr:row>45</xdr:row>
          <xdr:rowOff>0</xdr:rowOff>
        </xdr:to>
        <xdr:sp macro="" textlink="">
          <xdr:nvSpPr>
            <xdr:cNvPr id="7289" name="CheckBox122" hidden="1">
              <a:extLst>
                <a:ext uri="{63B3BB69-23CF-44E3-9099-C40C66FF867C}">
                  <a14:compatExt spid="_x0000_s7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45</xdr:row>
          <xdr:rowOff>38100</xdr:rowOff>
        </xdr:from>
        <xdr:to>
          <xdr:col>1</xdr:col>
          <xdr:colOff>257175</xdr:colOff>
          <xdr:row>46</xdr:row>
          <xdr:rowOff>0</xdr:rowOff>
        </xdr:to>
        <xdr:sp macro="" textlink="">
          <xdr:nvSpPr>
            <xdr:cNvPr id="7290" name="CheckBox123" hidden="1">
              <a:extLst>
                <a:ext uri="{63B3BB69-23CF-44E3-9099-C40C66FF867C}">
                  <a14:compatExt spid="_x0000_s7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46</xdr:row>
          <xdr:rowOff>38100</xdr:rowOff>
        </xdr:from>
        <xdr:to>
          <xdr:col>0</xdr:col>
          <xdr:colOff>266700</xdr:colOff>
          <xdr:row>47</xdr:row>
          <xdr:rowOff>0</xdr:rowOff>
        </xdr:to>
        <xdr:sp macro="" textlink="">
          <xdr:nvSpPr>
            <xdr:cNvPr id="7291" name="CheckBox82" hidden="1">
              <a:extLst>
                <a:ext uri="{63B3BB69-23CF-44E3-9099-C40C66FF867C}">
                  <a14:compatExt spid="_x0000_s7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46</xdr:row>
          <xdr:rowOff>38100</xdr:rowOff>
        </xdr:from>
        <xdr:to>
          <xdr:col>2</xdr:col>
          <xdr:colOff>257175</xdr:colOff>
          <xdr:row>47</xdr:row>
          <xdr:rowOff>0</xdr:rowOff>
        </xdr:to>
        <xdr:sp macro="" textlink="">
          <xdr:nvSpPr>
            <xdr:cNvPr id="7292" name="CheckBox83" hidden="1">
              <a:extLst>
                <a:ext uri="{63B3BB69-23CF-44E3-9099-C40C66FF867C}">
                  <a14:compatExt spid="_x0000_s7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46</xdr:row>
          <xdr:rowOff>38100</xdr:rowOff>
        </xdr:from>
        <xdr:to>
          <xdr:col>1</xdr:col>
          <xdr:colOff>257175</xdr:colOff>
          <xdr:row>47</xdr:row>
          <xdr:rowOff>0</xdr:rowOff>
        </xdr:to>
        <xdr:sp macro="" textlink="">
          <xdr:nvSpPr>
            <xdr:cNvPr id="7293" name="CheckBox124" hidden="1">
              <a:extLst>
                <a:ext uri="{63B3BB69-23CF-44E3-9099-C40C66FF867C}">
                  <a14:compatExt spid="_x0000_s7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22.xml"/><Relationship Id="rId117" Type="http://schemas.openxmlformats.org/officeDocument/2006/relationships/control" Target="../activeX/activeX113.xml"/><Relationship Id="rId21" Type="http://schemas.openxmlformats.org/officeDocument/2006/relationships/control" Target="../activeX/activeX17.xml"/><Relationship Id="rId42" Type="http://schemas.openxmlformats.org/officeDocument/2006/relationships/control" Target="../activeX/activeX38.xml"/><Relationship Id="rId47" Type="http://schemas.openxmlformats.org/officeDocument/2006/relationships/control" Target="../activeX/activeX43.xml"/><Relationship Id="rId63" Type="http://schemas.openxmlformats.org/officeDocument/2006/relationships/control" Target="../activeX/activeX59.xml"/><Relationship Id="rId68" Type="http://schemas.openxmlformats.org/officeDocument/2006/relationships/control" Target="../activeX/activeX64.xml"/><Relationship Id="rId84" Type="http://schemas.openxmlformats.org/officeDocument/2006/relationships/control" Target="../activeX/activeX80.xml"/><Relationship Id="rId89" Type="http://schemas.openxmlformats.org/officeDocument/2006/relationships/control" Target="../activeX/activeX85.xml"/><Relationship Id="rId112" Type="http://schemas.openxmlformats.org/officeDocument/2006/relationships/control" Target="../activeX/activeX108.xml"/><Relationship Id="rId16" Type="http://schemas.openxmlformats.org/officeDocument/2006/relationships/control" Target="../activeX/activeX12.xml"/><Relationship Id="rId107" Type="http://schemas.openxmlformats.org/officeDocument/2006/relationships/control" Target="../activeX/activeX103.xml"/><Relationship Id="rId11" Type="http://schemas.openxmlformats.org/officeDocument/2006/relationships/control" Target="../activeX/activeX7.xml"/><Relationship Id="rId32" Type="http://schemas.openxmlformats.org/officeDocument/2006/relationships/control" Target="../activeX/activeX28.xml"/><Relationship Id="rId37" Type="http://schemas.openxmlformats.org/officeDocument/2006/relationships/control" Target="../activeX/activeX33.xml"/><Relationship Id="rId53" Type="http://schemas.openxmlformats.org/officeDocument/2006/relationships/control" Target="../activeX/activeX49.xml"/><Relationship Id="rId58" Type="http://schemas.openxmlformats.org/officeDocument/2006/relationships/control" Target="../activeX/activeX54.xml"/><Relationship Id="rId74" Type="http://schemas.openxmlformats.org/officeDocument/2006/relationships/control" Target="../activeX/activeX70.xml"/><Relationship Id="rId79" Type="http://schemas.openxmlformats.org/officeDocument/2006/relationships/control" Target="../activeX/activeX75.xml"/><Relationship Id="rId102" Type="http://schemas.openxmlformats.org/officeDocument/2006/relationships/control" Target="../activeX/activeX98.xml"/><Relationship Id="rId123" Type="http://schemas.openxmlformats.org/officeDocument/2006/relationships/control" Target="../activeX/activeX119.xml"/><Relationship Id="rId128" Type="http://schemas.openxmlformats.org/officeDocument/2006/relationships/control" Target="../activeX/activeX124.xml"/><Relationship Id="rId5" Type="http://schemas.openxmlformats.org/officeDocument/2006/relationships/image" Target="../media/image1.emf"/><Relationship Id="rId90" Type="http://schemas.openxmlformats.org/officeDocument/2006/relationships/control" Target="../activeX/activeX86.xml"/><Relationship Id="rId95" Type="http://schemas.openxmlformats.org/officeDocument/2006/relationships/control" Target="../activeX/activeX91.xml"/><Relationship Id="rId19" Type="http://schemas.openxmlformats.org/officeDocument/2006/relationships/control" Target="../activeX/activeX15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8.xml"/><Relationship Id="rId27" Type="http://schemas.openxmlformats.org/officeDocument/2006/relationships/control" Target="../activeX/activeX23.xml"/><Relationship Id="rId30" Type="http://schemas.openxmlformats.org/officeDocument/2006/relationships/control" Target="../activeX/activeX26.xml"/><Relationship Id="rId35" Type="http://schemas.openxmlformats.org/officeDocument/2006/relationships/control" Target="../activeX/activeX31.xml"/><Relationship Id="rId43" Type="http://schemas.openxmlformats.org/officeDocument/2006/relationships/control" Target="../activeX/activeX39.xml"/><Relationship Id="rId48" Type="http://schemas.openxmlformats.org/officeDocument/2006/relationships/control" Target="../activeX/activeX44.xml"/><Relationship Id="rId56" Type="http://schemas.openxmlformats.org/officeDocument/2006/relationships/control" Target="../activeX/activeX52.xml"/><Relationship Id="rId64" Type="http://schemas.openxmlformats.org/officeDocument/2006/relationships/control" Target="../activeX/activeX60.xml"/><Relationship Id="rId69" Type="http://schemas.openxmlformats.org/officeDocument/2006/relationships/control" Target="../activeX/activeX65.xml"/><Relationship Id="rId77" Type="http://schemas.openxmlformats.org/officeDocument/2006/relationships/control" Target="../activeX/activeX73.xml"/><Relationship Id="rId100" Type="http://schemas.openxmlformats.org/officeDocument/2006/relationships/control" Target="../activeX/activeX96.xml"/><Relationship Id="rId105" Type="http://schemas.openxmlformats.org/officeDocument/2006/relationships/control" Target="../activeX/activeX101.xml"/><Relationship Id="rId113" Type="http://schemas.openxmlformats.org/officeDocument/2006/relationships/control" Target="../activeX/activeX109.xml"/><Relationship Id="rId118" Type="http://schemas.openxmlformats.org/officeDocument/2006/relationships/control" Target="../activeX/activeX114.xml"/><Relationship Id="rId126" Type="http://schemas.openxmlformats.org/officeDocument/2006/relationships/control" Target="../activeX/activeX122.xml"/><Relationship Id="rId8" Type="http://schemas.openxmlformats.org/officeDocument/2006/relationships/control" Target="../activeX/activeX4.xml"/><Relationship Id="rId51" Type="http://schemas.openxmlformats.org/officeDocument/2006/relationships/control" Target="../activeX/activeX47.xml"/><Relationship Id="rId72" Type="http://schemas.openxmlformats.org/officeDocument/2006/relationships/control" Target="../activeX/activeX68.xml"/><Relationship Id="rId80" Type="http://schemas.openxmlformats.org/officeDocument/2006/relationships/control" Target="../activeX/activeX76.xml"/><Relationship Id="rId85" Type="http://schemas.openxmlformats.org/officeDocument/2006/relationships/control" Target="../activeX/activeX81.xml"/><Relationship Id="rId93" Type="http://schemas.openxmlformats.org/officeDocument/2006/relationships/control" Target="../activeX/activeX89.xml"/><Relationship Id="rId98" Type="http://schemas.openxmlformats.org/officeDocument/2006/relationships/control" Target="../activeX/activeX94.xml"/><Relationship Id="rId121" Type="http://schemas.openxmlformats.org/officeDocument/2006/relationships/control" Target="../activeX/activeX117.xml"/><Relationship Id="rId3" Type="http://schemas.openxmlformats.org/officeDocument/2006/relationships/vmlDrawing" Target="../drawings/vmlDrawing8.v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5" Type="http://schemas.openxmlformats.org/officeDocument/2006/relationships/control" Target="../activeX/activeX21.xml"/><Relationship Id="rId33" Type="http://schemas.openxmlformats.org/officeDocument/2006/relationships/control" Target="../activeX/activeX29.xml"/><Relationship Id="rId38" Type="http://schemas.openxmlformats.org/officeDocument/2006/relationships/control" Target="../activeX/activeX34.xml"/><Relationship Id="rId46" Type="http://schemas.openxmlformats.org/officeDocument/2006/relationships/control" Target="../activeX/activeX42.xml"/><Relationship Id="rId59" Type="http://schemas.openxmlformats.org/officeDocument/2006/relationships/control" Target="../activeX/activeX55.xml"/><Relationship Id="rId67" Type="http://schemas.openxmlformats.org/officeDocument/2006/relationships/control" Target="../activeX/activeX63.xml"/><Relationship Id="rId103" Type="http://schemas.openxmlformats.org/officeDocument/2006/relationships/control" Target="../activeX/activeX99.xml"/><Relationship Id="rId108" Type="http://schemas.openxmlformats.org/officeDocument/2006/relationships/control" Target="../activeX/activeX104.xml"/><Relationship Id="rId116" Type="http://schemas.openxmlformats.org/officeDocument/2006/relationships/control" Target="../activeX/activeX112.xml"/><Relationship Id="rId124" Type="http://schemas.openxmlformats.org/officeDocument/2006/relationships/control" Target="../activeX/activeX120.xml"/><Relationship Id="rId20" Type="http://schemas.openxmlformats.org/officeDocument/2006/relationships/control" Target="../activeX/activeX16.xml"/><Relationship Id="rId41" Type="http://schemas.openxmlformats.org/officeDocument/2006/relationships/control" Target="../activeX/activeX37.xml"/><Relationship Id="rId54" Type="http://schemas.openxmlformats.org/officeDocument/2006/relationships/control" Target="../activeX/activeX50.xml"/><Relationship Id="rId62" Type="http://schemas.openxmlformats.org/officeDocument/2006/relationships/control" Target="../activeX/activeX58.xml"/><Relationship Id="rId70" Type="http://schemas.openxmlformats.org/officeDocument/2006/relationships/control" Target="../activeX/activeX66.xml"/><Relationship Id="rId75" Type="http://schemas.openxmlformats.org/officeDocument/2006/relationships/control" Target="../activeX/activeX71.xml"/><Relationship Id="rId83" Type="http://schemas.openxmlformats.org/officeDocument/2006/relationships/control" Target="../activeX/activeX79.xml"/><Relationship Id="rId88" Type="http://schemas.openxmlformats.org/officeDocument/2006/relationships/control" Target="../activeX/activeX84.xml"/><Relationship Id="rId91" Type="http://schemas.openxmlformats.org/officeDocument/2006/relationships/control" Target="../activeX/activeX87.xml"/><Relationship Id="rId96" Type="http://schemas.openxmlformats.org/officeDocument/2006/relationships/control" Target="../activeX/activeX92.xml"/><Relationship Id="rId111" Type="http://schemas.openxmlformats.org/officeDocument/2006/relationships/control" Target="../activeX/activeX107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11.xml"/><Relationship Id="rId23" Type="http://schemas.openxmlformats.org/officeDocument/2006/relationships/control" Target="../activeX/activeX19.xml"/><Relationship Id="rId28" Type="http://schemas.openxmlformats.org/officeDocument/2006/relationships/control" Target="../activeX/activeX24.xml"/><Relationship Id="rId36" Type="http://schemas.openxmlformats.org/officeDocument/2006/relationships/control" Target="../activeX/activeX32.xml"/><Relationship Id="rId49" Type="http://schemas.openxmlformats.org/officeDocument/2006/relationships/control" Target="../activeX/activeX45.xml"/><Relationship Id="rId57" Type="http://schemas.openxmlformats.org/officeDocument/2006/relationships/control" Target="../activeX/activeX53.xml"/><Relationship Id="rId106" Type="http://schemas.openxmlformats.org/officeDocument/2006/relationships/control" Target="../activeX/activeX102.xml"/><Relationship Id="rId114" Type="http://schemas.openxmlformats.org/officeDocument/2006/relationships/control" Target="../activeX/activeX110.xml"/><Relationship Id="rId119" Type="http://schemas.openxmlformats.org/officeDocument/2006/relationships/control" Target="../activeX/activeX115.xml"/><Relationship Id="rId127" Type="http://schemas.openxmlformats.org/officeDocument/2006/relationships/control" Target="../activeX/activeX123.xml"/><Relationship Id="rId10" Type="http://schemas.openxmlformats.org/officeDocument/2006/relationships/control" Target="../activeX/activeX6.xml"/><Relationship Id="rId31" Type="http://schemas.openxmlformats.org/officeDocument/2006/relationships/control" Target="../activeX/activeX27.xml"/><Relationship Id="rId44" Type="http://schemas.openxmlformats.org/officeDocument/2006/relationships/control" Target="../activeX/activeX40.xml"/><Relationship Id="rId52" Type="http://schemas.openxmlformats.org/officeDocument/2006/relationships/control" Target="../activeX/activeX48.xml"/><Relationship Id="rId60" Type="http://schemas.openxmlformats.org/officeDocument/2006/relationships/control" Target="../activeX/activeX56.xml"/><Relationship Id="rId65" Type="http://schemas.openxmlformats.org/officeDocument/2006/relationships/control" Target="../activeX/activeX61.xml"/><Relationship Id="rId73" Type="http://schemas.openxmlformats.org/officeDocument/2006/relationships/control" Target="../activeX/activeX69.xml"/><Relationship Id="rId78" Type="http://schemas.openxmlformats.org/officeDocument/2006/relationships/control" Target="../activeX/activeX74.xml"/><Relationship Id="rId81" Type="http://schemas.openxmlformats.org/officeDocument/2006/relationships/control" Target="../activeX/activeX77.xml"/><Relationship Id="rId86" Type="http://schemas.openxmlformats.org/officeDocument/2006/relationships/control" Target="../activeX/activeX82.xml"/><Relationship Id="rId94" Type="http://schemas.openxmlformats.org/officeDocument/2006/relationships/control" Target="../activeX/activeX90.xml"/><Relationship Id="rId99" Type="http://schemas.openxmlformats.org/officeDocument/2006/relationships/control" Target="../activeX/activeX95.xml"/><Relationship Id="rId101" Type="http://schemas.openxmlformats.org/officeDocument/2006/relationships/control" Target="../activeX/activeX97.xml"/><Relationship Id="rId122" Type="http://schemas.openxmlformats.org/officeDocument/2006/relationships/control" Target="../activeX/activeX118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39" Type="http://schemas.openxmlformats.org/officeDocument/2006/relationships/control" Target="../activeX/activeX35.xml"/><Relationship Id="rId109" Type="http://schemas.openxmlformats.org/officeDocument/2006/relationships/control" Target="../activeX/activeX105.xml"/><Relationship Id="rId34" Type="http://schemas.openxmlformats.org/officeDocument/2006/relationships/control" Target="../activeX/activeX30.xml"/><Relationship Id="rId50" Type="http://schemas.openxmlformats.org/officeDocument/2006/relationships/control" Target="../activeX/activeX46.xml"/><Relationship Id="rId55" Type="http://schemas.openxmlformats.org/officeDocument/2006/relationships/control" Target="../activeX/activeX51.xml"/><Relationship Id="rId76" Type="http://schemas.openxmlformats.org/officeDocument/2006/relationships/control" Target="../activeX/activeX72.xml"/><Relationship Id="rId97" Type="http://schemas.openxmlformats.org/officeDocument/2006/relationships/control" Target="../activeX/activeX93.xml"/><Relationship Id="rId104" Type="http://schemas.openxmlformats.org/officeDocument/2006/relationships/control" Target="../activeX/activeX100.xml"/><Relationship Id="rId120" Type="http://schemas.openxmlformats.org/officeDocument/2006/relationships/control" Target="../activeX/activeX116.xml"/><Relationship Id="rId125" Type="http://schemas.openxmlformats.org/officeDocument/2006/relationships/control" Target="../activeX/activeX121.xml"/><Relationship Id="rId7" Type="http://schemas.openxmlformats.org/officeDocument/2006/relationships/control" Target="../activeX/activeX3.xml"/><Relationship Id="rId71" Type="http://schemas.openxmlformats.org/officeDocument/2006/relationships/control" Target="../activeX/activeX67.xml"/><Relationship Id="rId92" Type="http://schemas.openxmlformats.org/officeDocument/2006/relationships/control" Target="../activeX/activeX88.xml"/><Relationship Id="rId2" Type="http://schemas.openxmlformats.org/officeDocument/2006/relationships/drawing" Target="../drawings/drawing2.xml"/><Relationship Id="rId29" Type="http://schemas.openxmlformats.org/officeDocument/2006/relationships/control" Target="../activeX/activeX25.xml"/><Relationship Id="rId24" Type="http://schemas.openxmlformats.org/officeDocument/2006/relationships/control" Target="../activeX/activeX20.xml"/><Relationship Id="rId40" Type="http://schemas.openxmlformats.org/officeDocument/2006/relationships/control" Target="../activeX/activeX36.xml"/><Relationship Id="rId45" Type="http://schemas.openxmlformats.org/officeDocument/2006/relationships/control" Target="../activeX/activeX41.xml"/><Relationship Id="rId66" Type="http://schemas.openxmlformats.org/officeDocument/2006/relationships/control" Target="../activeX/activeX62.xml"/><Relationship Id="rId87" Type="http://schemas.openxmlformats.org/officeDocument/2006/relationships/control" Target="../activeX/activeX83.xml"/><Relationship Id="rId110" Type="http://schemas.openxmlformats.org/officeDocument/2006/relationships/control" Target="../activeX/activeX106.xml"/><Relationship Id="rId115" Type="http://schemas.openxmlformats.org/officeDocument/2006/relationships/control" Target="../activeX/activeX111.xml"/><Relationship Id="rId61" Type="http://schemas.openxmlformats.org/officeDocument/2006/relationships/control" Target="../activeX/activeX57.xml"/><Relationship Id="rId82" Type="http://schemas.openxmlformats.org/officeDocument/2006/relationships/control" Target="../activeX/activeX7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F59"/>
  <sheetViews>
    <sheetView zoomScaleNormal="75" workbookViewId="0">
      <selection activeCell="A4" sqref="A4"/>
    </sheetView>
  </sheetViews>
  <sheetFormatPr defaultRowHeight="12.75" x14ac:dyDescent="0.2"/>
  <cols>
    <col min="1" max="1" width="6.7109375" style="8" customWidth="1"/>
    <col min="2" max="2" width="15.7109375" style="8" customWidth="1"/>
    <col min="3" max="3" width="90.7109375" style="8" customWidth="1"/>
    <col min="4" max="14" width="2.7109375" style="8" hidden="1" customWidth="1"/>
    <col min="15" max="15" width="12.7109375" style="8" customWidth="1"/>
    <col min="16" max="17" width="7.7109375" style="8" customWidth="1"/>
    <col min="18" max="18" width="10.7109375" style="8" customWidth="1"/>
    <col min="19" max="19" width="6.7109375" style="8" customWidth="1"/>
    <col min="20" max="20" width="9.5703125" style="8" customWidth="1"/>
    <col min="21" max="21" width="8.85546875" style="8" customWidth="1"/>
    <col min="22" max="22" width="9.5703125" style="8" customWidth="1"/>
    <col min="23" max="23" width="8.5703125" style="8" customWidth="1"/>
    <col min="24" max="25" width="10.7109375" style="8" customWidth="1"/>
    <col min="26" max="26" width="10.5703125" style="8" customWidth="1"/>
    <col min="27" max="27" width="8.7109375" style="8" customWidth="1"/>
    <col min="28" max="28" width="9.7109375" style="8" customWidth="1"/>
    <col min="29" max="29" width="8.5703125" style="8" customWidth="1"/>
    <col min="30" max="16384" width="9.140625" style="8"/>
  </cols>
  <sheetData>
    <row r="1" spans="1:32" s="9" customFormat="1" ht="20.100000000000001" customHeight="1" x14ac:dyDescent="0.2">
      <c r="A1" s="252" t="s">
        <v>33</v>
      </c>
      <c r="B1" s="253"/>
      <c r="C1" s="38" t="str">
        <f>IF(ISBLANK(Cover!D3),"",Cover!D3)</f>
        <v>*</v>
      </c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22" t="s">
        <v>19</v>
      </c>
      <c r="P1" s="259" t="str">
        <f>IF(ISBLANK(Cover!O2),"",Cover!O2)</f>
        <v>*</v>
      </c>
      <c r="Q1" s="259"/>
      <c r="R1" s="260"/>
      <c r="T1" s="10"/>
      <c r="U1" s="11"/>
      <c r="V1" s="11"/>
      <c r="W1" s="11"/>
      <c r="X1" s="10"/>
      <c r="Y1" s="11"/>
      <c r="Z1" s="11"/>
      <c r="AA1" s="11"/>
      <c r="AB1" s="11"/>
      <c r="AC1" s="12"/>
      <c r="AD1" s="11"/>
      <c r="AE1" s="11"/>
      <c r="AF1" s="11"/>
    </row>
    <row r="2" spans="1:32" s="9" customFormat="1" ht="20.100000000000001" customHeight="1" thickBot="1" x14ac:dyDescent="0.25">
      <c r="A2" s="254" t="s">
        <v>35</v>
      </c>
      <c r="B2" s="255"/>
      <c r="C2" s="79" t="str">
        <f>IF(ISBLANK(Cover!D4),"",Cover!D4)</f>
        <v>*</v>
      </c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48" t="s">
        <v>38</v>
      </c>
      <c r="P2" s="59"/>
      <c r="Q2" s="32" t="s">
        <v>45</v>
      </c>
      <c r="R2" s="33">
        <f>IF(ISBLANK(Cover!Q7),"",Cover!Q7)</f>
        <v>3</v>
      </c>
      <c r="S2" s="11"/>
      <c r="T2" s="11"/>
      <c r="U2" s="11"/>
      <c r="V2" s="11"/>
      <c r="W2" s="11"/>
      <c r="X2" s="10"/>
      <c r="Y2" s="11"/>
      <c r="Z2" s="11"/>
      <c r="AA2" s="11"/>
      <c r="AB2" s="11"/>
      <c r="AC2" s="11"/>
      <c r="AD2" s="11"/>
      <c r="AE2" s="11"/>
      <c r="AF2" s="11"/>
    </row>
    <row r="3" spans="1:32" s="16" customFormat="1" ht="20.100000000000001" customHeight="1" x14ac:dyDescent="0.2">
      <c r="A3" s="256" t="s">
        <v>47</v>
      </c>
      <c r="B3" s="257"/>
      <c r="C3" s="257"/>
      <c r="D3" s="257"/>
      <c r="E3" s="257"/>
      <c r="F3" s="257"/>
      <c r="G3" s="257"/>
      <c r="H3" s="257"/>
      <c r="I3" s="257"/>
      <c r="J3" s="257"/>
      <c r="K3" s="257"/>
      <c r="L3" s="257"/>
      <c r="M3" s="257"/>
      <c r="N3" s="257"/>
      <c r="O3" s="257"/>
      <c r="P3" s="257"/>
      <c r="Q3" s="257"/>
      <c r="R3" s="258"/>
      <c r="S3" s="13"/>
      <c r="T3" s="14"/>
      <c r="U3" s="13"/>
      <c r="V3" s="14"/>
      <c r="W3" s="13"/>
      <c r="X3" s="14"/>
      <c r="Y3" s="13"/>
      <c r="Z3" s="14"/>
      <c r="AA3" s="13"/>
      <c r="AB3" s="14"/>
      <c r="AC3" s="13"/>
      <c r="AD3" s="13"/>
      <c r="AE3" s="13"/>
      <c r="AF3" s="13"/>
    </row>
    <row r="4" spans="1:32" s="18" customFormat="1" ht="20.100000000000001" customHeight="1" x14ac:dyDescent="0.2">
      <c r="A4" s="125"/>
      <c r="B4" s="250"/>
      <c r="C4" s="250"/>
      <c r="D4" s="250"/>
      <c r="E4" s="250"/>
      <c r="F4" s="250"/>
      <c r="G4" s="250"/>
      <c r="H4" s="250"/>
      <c r="I4" s="250"/>
      <c r="J4" s="250"/>
      <c r="K4" s="250"/>
      <c r="L4" s="250"/>
      <c r="M4" s="250"/>
      <c r="N4" s="250"/>
      <c r="O4" s="250"/>
      <c r="P4" s="250"/>
      <c r="Q4" s="250"/>
      <c r="R4" s="251"/>
      <c r="S4" s="17"/>
    </row>
    <row r="5" spans="1:32" s="18" customFormat="1" ht="20.100000000000001" customHeight="1" x14ac:dyDescent="0.2">
      <c r="A5" s="125"/>
      <c r="B5" s="250"/>
      <c r="C5" s="250"/>
      <c r="D5" s="250"/>
      <c r="E5" s="250"/>
      <c r="F5" s="250"/>
      <c r="G5" s="250"/>
      <c r="H5" s="250"/>
      <c r="I5" s="250"/>
      <c r="J5" s="250"/>
      <c r="K5" s="250"/>
      <c r="L5" s="250"/>
      <c r="M5" s="250"/>
      <c r="N5" s="250"/>
      <c r="O5" s="250"/>
      <c r="P5" s="250"/>
      <c r="Q5" s="250"/>
      <c r="R5" s="251"/>
      <c r="S5" s="17"/>
    </row>
    <row r="6" spans="1:32" s="18" customFormat="1" ht="20.100000000000001" customHeight="1" x14ac:dyDescent="0.2">
      <c r="A6" s="125"/>
      <c r="B6" s="250"/>
      <c r="C6" s="250"/>
      <c r="D6" s="250"/>
      <c r="E6" s="250"/>
      <c r="F6" s="250"/>
      <c r="G6" s="250"/>
      <c r="H6" s="250"/>
      <c r="I6" s="250"/>
      <c r="J6" s="250"/>
      <c r="K6" s="250"/>
      <c r="L6" s="250"/>
      <c r="M6" s="250"/>
      <c r="N6" s="250"/>
      <c r="O6" s="250"/>
      <c r="P6" s="250"/>
      <c r="Q6" s="250"/>
      <c r="R6" s="251"/>
      <c r="S6" s="17"/>
    </row>
    <row r="7" spans="1:32" s="18" customFormat="1" ht="20.100000000000001" customHeight="1" x14ac:dyDescent="0.2">
      <c r="A7" s="125"/>
      <c r="B7" s="250"/>
      <c r="C7" s="250"/>
      <c r="D7" s="250"/>
      <c r="E7" s="250"/>
      <c r="F7" s="250"/>
      <c r="G7" s="250"/>
      <c r="H7" s="250"/>
      <c r="I7" s="250"/>
      <c r="J7" s="250"/>
      <c r="K7" s="250"/>
      <c r="L7" s="250"/>
      <c r="M7" s="250"/>
      <c r="N7" s="250"/>
      <c r="O7" s="250"/>
      <c r="P7" s="250"/>
      <c r="Q7" s="250"/>
      <c r="R7" s="251"/>
      <c r="S7" s="17"/>
    </row>
    <row r="8" spans="1:32" s="18" customFormat="1" ht="20.100000000000001" customHeight="1" x14ac:dyDescent="0.2">
      <c r="A8" s="125"/>
      <c r="B8" s="250"/>
      <c r="C8" s="250"/>
      <c r="D8" s="250"/>
      <c r="E8" s="250"/>
      <c r="F8" s="250"/>
      <c r="G8" s="250"/>
      <c r="H8" s="250"/>
      <c r="I8" s="250"/>
      <c r="J8" s="250"/>
      <c r="K8" s="250"/>
      <c r="L8" s="250"/>
      <c r="M8" s="250"/>
      <c r="N8" s="250"/>
      <c r="O8" s="250"/>
      <c r="P8" s="250"/>
      <c r="Q8" s="250"/>
      <c r="R8" s="251"/>
      <c r="S8" s="17"/>
    </row>
    <row r="9" spans="1:32" s="18" customFormat="1" ht="20.100000000000001" customHeight="1" x14ac:dyDescent="0.2">
      <c r="A9" s="125"/>
      <c r="B9" s="250"/>
      <c r="C9" s="250"/>
      <c r="D9" s="250"/>
      <c r="E9" s="250"/>
      <c r="F9" s="250"/>
      <c r="G9" s="250"/>
      <c r="H9" s="250"/>
      <c r="I9" s="250"/>
      <c r="J9" s="250"/>
      <c r="K9" s="250"/>
      <c r="L9" s="250"/>
      <c r="M9" s="250"/>
      <c r="N9" s="250"/>
      <c r="O9" s="250"/>
      <c r="P9" s="250"/>
      <c r="Q9" s="250"/>
      <c r="R9" s="251"/>
      <c r="S9" s="17"/>
    </row>
    <row r="10" spans="1:32" s="18" customFormat="1" ht="20.100000000000001" customHeight="1" x14ac:dyDescent="0.2">
      <c r="A10" s="125"/>
      <c r="B10" s="250"/>
      <c r="C10" s="250"/>
      <c r="D10" s="250"/>
      <c r="E10" s="250"/>
      <c r="F10" s="250"/>
      <c r="G10" s="250"/>
      <c r="H10" s="250"/>
      <c r="I10" s="250"/>
      <c r="J10" s="250"/>
      <c r="K10" s="250"/>
      <c r="L10" s="250"/>
      <c r="M10" s="250"/>
      <c r="N10" s="250"/>
      <c r="O10" s="250"/>
      <c r="P10" s="250"/>
      <c r="Q10" s="250"/>
      <c r="R10" s="251"/>
      <c r="S10" s="17"/>
    </row>
    <row r="11" spans="1:32" s="18" customFormat="1" ht="20.100000000000001" customHeight="1" x14ac:dyDescent="0.2">
      <c r="A11" s="125"/>
      <c r="B11" s="250"/>
      <c r="C11" s="250"/>
      <c r="D11" s="250"/>
      <c r="E11" s="250"/>
      <c r="F11" s="250"/>
      <c r="G11" s="250"/>
      <c r="H11" s="250"/>
      <c r="I11" s="250"/>
      <c r="J11" s="250"/>
      <c r="K11" s="250"/>
      <c r="L11" s="250"/>
      <c r="M11" s="250"/>
      <c r="N11" s="250"/>
      <c r="O11" s="250"/>
      <c r="P11" s="250"/>
      <c r="Q11" s="250"/>
      <c r="R11" s="251"/>
      <c r="S11" s="17"/>
    </row>
    <row r="12" spans="1:32" s="18" customFormat="1" ht="20.100000000000001" customHeight="1" x14ac:dyDescent="0.2">
      <c r="A12" s="125"/>
      <c r="B12" s="250"/>
      <c r="C12" s="250"/>
      <c r="D12" s="250"/>
      <c r="E12" s="250"/>
      <c r="F12" s="250"/>
      <c r="G12" s="250"/>
      <c r="H12" s="250"/>
      <c r="I12" s="250"/>
      <c r="J12" s="250"/>
      <c r="K12" s="250"/>
      <c r="L12" s="250"/>
      <c r="M12" s="250"/>
      <c r="N12" s="250"/>
      <c r="O12" s="250"/>
      <c r="P12" s="250"/>
      <c r="Q12" s="250"/>
      <c r="R12" s="251"/>
      <c r="S12" s="17"/>
    </row>
    <row r="13" spans="1:32" s="18" customFormat="1" ht="20.100000000000001" customHeight="1" x14ac:dyDescent="0.2">
      <c r="A13" s="125"/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0"/>
      <c r="P13" s="250"/>
      <c r="Q13" s="250"/>
      <c r="R13" s="251"/>
      <c r="S13" s="17"/>
    </row>
    <row r="14" spans="1:32" s="18" customFormat="1" ht="20.100000000000001" customHeight="1" x14ac:dyDescent="0.2">
      <c r="A14" s="125"/>
      <c r="B14" s="250"/>
      <c r="C14" s="250"/>
      <c r="D14" s="250"/>
      <c r="E14" s="250"/>
      <c r="F14" s="250"/>
      <c r="G14" s="250"/>
      <c r="H14" s="250"/>
      <c r="I14" s="250"/>
      <c r="J14" s="250"/>
      <c r="K14" s="250"/>
      <c r="L14" s="250"/>
      <c r="M14" s="250"/>
      <c r="N14" s="250"/>
      <c r="O14" s="250"/>
      <c r="P14" s="250"/>
      <c r="Q14" s="250"/>
      <c r="R14" s="251"/>
      <c r="S14" s="17"/>
    </row>
    <row r="15" spans="1:32" s="18" customFormat="1" ht="20.100000000000001" customHeight="1" x14ac:dyDescent="0.2">
      <c r="A15" s="125"/>
      <c r="B15" s="250"/>
      <c r="C15" s="250"/>
      <c r="D15" s="250"/>
      <c r="E15" s="250"/>
      <c r="F15" s="250"/>
      <c r="G15" s="250"/>
      <c r="H15" s="250"/>
      <c r="I15" s="250"/>
      <c r="J15" s="250"/>
      <c r="K15" s="250"/>
      <c r="L15" s="250"/>
      <c r="M15" s="250"/>
      <c r="N15" s="250"/>
      <c r="O15" s="250"/>
      <c r="P15" s="250"/>
      <c r="Q15" s="250"/>
      <c r="R15" s="251"/>
      <c r="S15" s="17"/>
    </row>
    <row r="16" spans="1:32" s="18" customFormat="1" ht="20.100000000000001" customHeight="1" x14ac:dyDescent="0.2">
      <c r="A16" s="125"/>
      <c r="B16" s="250"/>
      <c r="C16" s="250"/>
      <c r="D16" s="250"/>
      <c r="E16" s="250"/>
      <c r="F16" s="250"/>
      <c r="G16" s="250"/>
      <c r="H16" s="250"/>
      <c r="I16" s="250"/>
      <c r="J16" s="250"/>
      <c r="K16" s="250"/>
      <c r="L16" s="250"/>
      <c r="M16" s="250"/>
      <c r="N16" s="250"/>
      <c r="O16" s="250"/>
      <c r="P16" s="250"/>
      <c r="Q16" s="250"/>
      <c r="R16" s="251"/>
      <c r="S16" s="17"/>
    </row>
    <row r="17" spans="1:19" s="18" customFormat="1" ht="20.100000000000001" customHeight="1" x14ac:dyDescent="0.2">
      <c r="A17" s="125"/>
      <c r="B17" s="250"/>
      <c r="C17" s="250"/>
      <c r="D17" s="250"/>
      <c r="E17" s="250"/>
      <c r="F17" s="250"/>
      <c r="G17" s="250"/>
      <c r="H17" s="250"/>
      <c r="I17" s="250"/>
      <c r="J17" s="250"/>
      <c r="K17" s="250"/>
      <c r="L17" s="250"/>
      <c r="M17" s="250"/>
      <c r="N17" s="250"/>
      <c r="O17" s="250"/>
      <c r="P17" s="250"/>
      <c r="Q17" s="250"/>
      <c r="R17" s="251"/>
      <c r="S17" s="17"/>
    </row>
    <row r="18" spans="1:19" s="18" customFormat="1" ht="20.100000000000001" customHeight="1" x14ac:dyDescent="0.2">
      <c r="A18" s="125"/>
      <c r="B18" s="250"/>
      <c r="C18" s="250"/>
      <c r="D18" s="250"/>
      <c r="E18" s="250"/>
      <c r="F18" s="250"/>
      <c r="G18" s="250"/>
      <c r="H18" s="250"/>
      <c r="I18" s="250"/>
      <c r="J18" s="250"/>
      <c r="K18" s="250"/>
      <c r="L18" s="250"/>
      <c r="M18" s="250"/>
      <c r="N18" s="250"/>
      <c r="O18" s="250"/>
      <c r="P18" s="250"/>
      <c r="Q18" s="250"/>
      <c r="R18" s="251"/>
      <c r="S18" s="17"/>
    </row>
    <row r="19" spans="1:19" s="18" customFormat="1" ht="20.100000000000001" customHeight="1" x14ac:dyDescent="0.2">
      <c r="A19" s="125"/>
      <c r="B19" s="250"/>
      <c r="C19" s="250"/>
      <c r="D19" s="250"/>
      <c r="E19" s="250"/>
      <c r="F19" s="250"/>
      <c r="G19" s="250"/>
      <c r="H19" s="250"/>
      <c r="I19" s="250"/>
      <c r="J19" s="250"/>
      <c r="K19" s="250"/>
      <c r="L19" s="250"/>
      <c r="M19" s="250"/>
      <c r="N19" s="250"/>
      <c r="O19" s="250"/>
      <c r="P19" s="250"/>
      <c r="Q19" s="250"/>
      <c r="R19" s="251"/>
      <c r="S19" s="17"/>
    </row>
    <row r="20" spans="1:19" s="18" customFormat="1" ht="20.100000000000001" customHeight="1" x14ac:dyDescent="0.2">
      <c r="A20" s="125"/>
      <c r="B20" s="250"/>
      <c r="C20" s="250"/>
      <c r="D20" s="250"/>
      <c r="E20" s="250"/>
      <c r="F20" s="250"/>
      <c r="G20" s="250"/>
      <c r="H20" s="250"/>
      <c r="I20" s="250"/>
      <c r="J20" s="250"/>
      <c r="K20" s="250"/>
      <c r="L20" s="250"/>
      <c r="M20" s="250"/>
      <c r="N20" s="250"/>
      <c r="O20" s="250"/>
      <c r="P20" s="250"/>
      <c r="Q20" s="250"/>
      <c r="R20" s="251"/>
      <c r="S20" s="17"/>
    </row>
    <row r="21" spans="1:19" s="18" customFormat="1" ht="20.100000000000001" customHeight="1" x14ac:dyDescent="0.2">
      <c r="A21" s="125"/>
      <c r="B21" s="250"/>
      <c r="C21" s="250"/>
      <c r="D21" s="250"/>
      <c r="E21" s="250"/>
      <c r="F21" s="250"/>
      <c r="G21" s="250"/>
      <c r="H21" s="250"/>
      <c r="I21" s="250"/>
      <c r="J21" s="250"/>
      <c r="K21" s="250"/>
      <c r="L21" s="250"/>
      <c r="M21" s="250"/>
      <c r="N21" s="250"/>
      <c r="O21" s="250"/>
      <c r="P21" s="250"/>
      <c r="Q21" s="250"/>
      <c r="R21" s="251"/>
      <c r="S21" s="17"/>
    </row>
    <row r="22" spans="1:19" s="18" customFormat="1" ht="20.100000000000001" customHeight="1" x14ac:dyDescent="0.2">
      <c r="A22" s="125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50"/>
      <c r="M22" s="250"/>
      <c r="N22" s="250"/>
      <c r="O22" s="250"/>
      <c r="P22" s="250"/>
      <c r="Q22" s="250"/>
      <c r="R22" s="251"/>
      <c r="S22" s="17"/>
    </row>
    <row r="23" spans="1:19" s="18" customFormat="1" ht="20.100000000000001" customHeight="1" x14ac:dyDescent="0.2">
      <c r="A23" s="125"/>
      <c r="B23" s="250"/>
      <c r="C23" s="250"/>
      <c r="D23" s="250"/>
      <c r="E23" s="250"/>
      <c r="F23" s="250"/>
      <c r="G23" s="250"/>
      <c r="H23" s="250"/>
      <c r="I23" s="250"/>
      <c r="J23" s="250"/>
      <c r="K23" s="250"/>
      <c r="L23" s="250"/>
      <c r="M23" s="250"/>
      <c r="N23" s="250"/>
      <c r="O23" s="250"/>
      <c r="P23" s="250"/>
      <c r="Q23" s="250"/>
      <c r="R23" s="251"/>
      <c r="S23" s="17"/>
    </row>
    <row r="24" spans="1:19" s="18" customFormat="1" ht="20.100000000000001" customHeight="1" x14ac:dyDescent="0.2">
      <c r="A24" s="125"/>
      <c r="B24" s="250"/>
      <c r="C24" s="250"/>
      <c r="D24" s="250"/>
      <c r="E24" s="250"/>
      <c r="F24" s="250"/>
      <c r="G24" s="250"/>
      <c r="H24" s="250"/>
      <c r="I24" s="250"/>
      <c r="J24" s="250"/>
      <c r="K24" s="250"/>
      <c r="L24" s="250"/>
      <c r="M24" s="250"/>
      <c r="N24" s="250"/>
      <c r="O24" s="250"/>
      <c r="P24" s="250"/>
      <c r="Q24" s="250"/>
      <c r="R24" s="251"/>
      <c r="S24" s="17"/>
    </row>
    <row r="25" spans="1:19" s="18" customFormat="1" ht="20.100000000000001" customHeight="1" x14ac:dyDescent="0.2">
      <c r="A25" s="125"/>
      <c r="B25" s="250"/>
      <c r="C25" s="250"/>
      <c r="D25" s="250"/>
      <c r="E25" s="250"/>
      <c r="F25" s="250"/>
      <c r="G25" s="250"/>
      <c r="H25" s="250"/>
      <c r="I25" s="250"/>
      <c r="J25" s="250"/>
      <c r="K25" s="250"/>
      <c r="L25" s="250"/>
      <c r="M25" s="250"/>
      <c r="N25" s="250"/>
      <c r="O25" s="250"/>
      <c r="P25" s="250"/>
      <c r="Q25" s="250"/>
      <c r="R25" s="251"/>
      <c r="S25" s="17"/>
    </row>
    <row r="26" spans="1:19" s="18" customFormat="1" ht="20.100000000000001" customHeight="1" x14ac:dyDescent="0.2">
      <c r="A26" s="125"/>
      <c r="B26" s="250"/>
      <c r="C26" s="250"/>
      <c r="D26" s="250"/>
      <c r="E26" s="250"/>
      <c r="F26" s="250"/>
      <c r="G26" s="250"/>
      <c r="H26" s="250"/>
      <c r="I26" s="250"/>
      <c r="J26" s="250"/>
      <c r="K26" s="250"/>
      <c r="L26" s="250"/>
      <c r="M26" s="250"/>
      <c r="N26" s="250"/>
      <c r="O26" s="250"/>
      <c r="P26" s="250"/>
      <c r="Q26" s="250"/>
      <c r="R26" s="251"/>
      <c r="S26" s="17"/>
    </row>
    <row r="27" spans="1:19" s="18" customFormat="1" ht="20.100000000000001" customHeight="1" x14ac:dyDescent="0.2">
      <c r="A27" s="125"/>
      <c r="B27" s="250"/>
      <c r="C27" s="250"/>
      <c r="D27" s="250"/>
      <c r="E27" s="250"/>
      <c r="F27" s="250"/>
      <c r="G27" s="250"/>
      <c r="H27" s="250"/>
      <c r="I27" s="250"/>
      <c r="J27" s="250"/>
      <c r="K27" s="250"/>
      <c r="L27" s="250"/>
      <c r="M27" s="250"/>
      <c r="N27" s="250"/>
      <c r="O27" s="250"/>
      <c r="P27" s="250"/>
      <c r="Q27" s="250"/>
      <c r="R27" s="251"/>
      <c r="S27" s="17"/>
    </row>
    <row r="28" spans="1:19" s="18" customFormat="1" ht="20.100000000000001" customHeight="1" x14ac:dyDescent="0.2">
      <c r="A28" s="125"/>
      <c r="B28" s="250"/>
      <c r="C28" s="250"/>
      <c r="D28" s="250"/>
      <c r="E28" s="250"/>
      <c r="F28" s="250"/>
      <c r="G28" s="250"/>
      <c r="H28" s="250"/>
      <c r="I28" s="250"/>
      <c r="J28" s="250"/>
      <c r="K28" s="250"/>
      <c r="L28" s="250"/>
      <c r="M28" s="250"/>
      <c r="N28" s="250"/>
      <c r="O28" s="250"/>
      <c r="P28" s="250"/>
      <c r="Q28" s="250"/>
      <c r="R28" s="251"/>
      <c r="S28" s="17"/>
    </row>
    <row r="29" spans="1:19" s="18" customFormat="1" ht="20.100000000000001" customHeight="1" x14ac:dyDescent="0.2">
      <c r="A29" s="125"/>
      <c r="B29" s="250"/>
      <c r="C29" s="250"/>
      <c r="D29" s="250"/>
      <c r="E29" s="250"/>
      <c r="F29" s="250"/>
      <c r="G29" s="250"/>
      <c r="H29" s="250"/>
      <c r="I29" s="250"/>
      <c r="J29" s="250"/>
      <c r="K29" s="250"/>
      <c r="L29" s="250"/>
      <c r="M29" s="250"/>
      <c r="N29" s="250"/>
      <c r="O29" s="250"/>
      <c r="P29" s="250"/>
      <c r="Q29" s="250"/>
      <c r="R29" s="251"/>
      <c r="S29" s="17"/>
    </row>
    <row r="30" spans="1:19" s="18" customFormat="1" ht="20.100000000000001" customHeight="1" x14ac:dyDescent="0.2">
      <c r="A30" s="125"/>
      <c r="B30" s="250"/>
      <c r="C30" s="250"/>
      <c r="D30" s="250"/>
      <c r="E30" s="250"/>
      <c r="F30" s="250"/>
      <c r="G30" s="250"/>
      <c r="H30" s="250"/>
      <c r="I30" s="250"/>
      <c r="J30" s="250"/>
      <c r="K30" s="250"/>
      <c r="L30" s="250"/>
      <c r="M30" s="250"/>
      <c r="N30" s="250"/>
      <c r="O30" s="250"/>
      <c r="P30" s="250"/>
      <c r="Q30" s="250"/>
      <c r="R30" s="251"/>
      <c r="S30" s="17"/>
    </row>
    <row r="31" spans="1:19" s="18" customFormat="1" ht="20.100000000000001" customHeight="1" x14ac:dyDescent="0.2">
      <c r="A31" s="125"/>
      <c r="B31" s="250"/>
      <c r="C31" s="250"/>
      <c r="D31" s="250"/>
      <c r="E31" s="250"/>
      <c r="F31" s="250"/>
      <c r="G31" s="250"/>
      <c r="H31" s="250"/>
      <c r="I31" s="250"/>
      <c r="J31" s="250"/>
      <c r="K31" s="250"/>
      <c r="L31" s="250"/>
      <c r="M31" s="250"/>
      <c r="N31" s="250"/>
      <c r="O31" s="250"/>
      <c r="P31" s="250"/>
      <c r="Q31" s="250"/>
      <c r="R31" s="251"/>
      <c r="S31" s="17"/>
    </row>
    <row r="32" spans="1:19" s="18" customFormat="1" ht="20.100000000000001" customHeight="1" x14ac:dyDescent="0.2">
      <c r="A32" s="125"/>
      <c r="B32" s="250"/>
      <c r="C32" s="250"/>
      <c r="D32" s="250"/>
      <c r="E32" s="250"/>
      <c r="F32" s="250"/>
      <c r="G32" s="250"/>
      <c r="H32" s="250"/>
      <c r="I32" s="250"/>
      <c r="J32" s="250"/>
      <c r="K32" s="250"/>
      <c r="L32" s="250"/>
      <c r="M32" s="250"/>
      <c r="N32" s="250"/>
      <c r="O32" s="250"/>
      <c r="P32" s="250"/>
      <c r="Q32" s="250"/>
      <c r="R32" s="251"/>
      <c r="S32" s="17"/>
    </row>
    <row r="33" spans="1:19" s="18" customFormat="1" ht="20.100000000000001" customHeight="1" x14ac:dyDescent="0.2">
      <c r="A33" s="125"/>
      <c r="B33" s="250"/>
      <c r="C33" s="250"/>
      <c r="D33" s="250"/>
      <c r="E33" s="250"/>
      <c r="F33" s="250"/>
      <c r="G33" s="250"/>
      <c r="H33" s="250"/>
      <c r="I33" s="250"/>
      <c r="J33" s="250"/>
      <c r="K33" s="250"/>
      <c r="L33" s="250"/>
      <c r="M33" s="250"/>
      <c r="N33" s="250"/>
      <c r="O33" s="250"/>
      <c r="P33" s="250"/>
      <c r="Q33" s="250"/>
      <c r="R33" s="251"/>
      <c r="S33" s="17"/>
    </row>
    <row r="34" spans="1:19" s="18" customFormat="1" ht="20.100000000000001" customHeight="1" x14ac:dyDescent="0.2">
      <c r="A34" s="125"/>
      <c r="B34" s="250"/>
      <c r="C34" s="250"/>
      <c r="D34" s="250"/>
      <c r="E34" s="250"/>
      <c r="F34" s="250"/>
      <c r="G34" s="250"/>
      <c r="H34" s="250"/>
      <c r="I34" s="250"/>
      <c r="J34" s="250"/>
      <c r="K34" s="250"/>
      <c r="L34" s="250"/>
      <c r="M34" s="250"/>
      <c r="N34" s="250"/>
      <c r="O34" s="250"/>
      <c r="P34" s="250"/>
      <c r="Q34" s="250"/>
      <c r="R34" s="251"/>
      <c r="S34" s="17"/>
    </row>
    <row r="35" spans="1:19" s="18" customFormat="1" ht="20.100000000000001" customHeight="1" x14ac:dyDescent="0.2">
      <c r="A35" s="125"/>
      <c r="B35" s="250"/>
      <c r="C35" s="250"/>
      <c r="D35" s="250"/>
      <c r="E35" s="250"/>
      <c r="F35" s="250"/>
      <c r="G35" s="250"/>
      <c r="H35" s="250"/>
      <c r="I35" s="250"/>
      <c r="J35" s="250"/>
      <c r="K35" s="250"/>
      <c r="L35" s="250"/>
      <c r="M35" s="250"/>
      <c r="N35" s="250"/>
      <c r="O35" s="250"/>
      <c r="P35" s="250"/>
      <c r="Q35" s="250"/>
      <c r="R35" s="251"/>
      <c r="S35" s="17"/>
    </row>
    <row r="36" spans="1:19" s="18" customFormat="1" ht="20.100000000000001" customHeight="1" x14ac:dyDescent="0.2">
      <c r="A36" s="125"/>
      <c r="B36" s="250"/>
      <c r="C36" s="250"/>
      <c r="D36" s="250"/>
      <c r="E36" s="250"/>
      <c r="F36" s="250"/>
      <c r="G36" s="250"/>
      <c r="H36" s="250"/>
      <c r="I36" s="250"/>
      <c r="J36" s="250"/>
      <c r="K36" s="250"/>
      <c r="L36" s="250"/>
      <c r="M36" s="250"/>
      <c r="N36" s="250"/>
      <c r="O36" s="250"/>
      <c r="P36" s="250"/>
      <c r="Q36" s="250"/>
      <c r="R36" s="251"/>
      <c r="S36" s="17"/>
    </row>
    <row r="37" spans="1:19" s="18" customFormat="1" ht="20.100000000000001" customHeight="1" x14ac:dyDescent="0.2">
      <c r="A37" s="125"/>
      <c r="B37" s="250"/>
      <c r="C37" s="250"/>
      <c r="D37" s="250"/>
      <c r="E37" s="250"/>
      <c r="F37" s="250"/>
      <c r="G37" s="250"/>
      <c r="H37" s="250"/>
      <c r="I37" s="250"/>
      <c r="J37" s="250"/>
      <c r="K37" s="250"/>
      <c r="L37" s="250"/>
      <c r="M37" s="250"/>
      <c r="N37" s="250"/>
      <c r="O37" s="250"/>
      <c r="P37" s="250"/>
      <c r="Q37" s="250"/>
      <c r="R37" s="251"/>
      <c r="S37" s="17"/>
    </row>
    <row r="38" spans="1:19" s="18" customFormat="1" ht="20.100000000000001" customHeight="1" x14ac:dyDescent="0.2">
      <c r="A38" s="125"/>
      <c r="B38" s="250"/>
      <c r="C38" s="250"/>
      <c r="D38" s="250"/>
      <c r="E38" s="250"/>
      <c r="F38" s="250"/>
      <c r="G38" s="250"/>
      <c r="H38" s="250"/>
      <c r="I38" s="250"/>
      <c r="J38" s="250"/>
      <c r="K38" s="250"/>
      <c r="L38" s="250"/>
      <c r="M38" s="250"/>
      <c r="N38" s="250"/>
      <c r="O38" s="250"/>
      <c r="P38" s="250"/>
      <c r="Q38" s="250"/>
      <c r="R38" s="251"/>
      <c r="S38" s="17"/>
    </row>
    <row r="39" spans="1:19" s="18" customFormat="1" ht="20.100000000000001" customHeight="1" x14ac:dyDescent="0.2">
      <c r="A39" s="125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50"/>
      <c r="M39" s="250"/>
      <c r="N39" s="250"/>
      <c r="O39" s="250"/>
      <c r="P39" s="250"/>
      <c r="Q39" s="250"/>
      <c r="R39" s="251"/>
      <c r="S39" s="17"/>
    </row>
    <row r="40" spans="1:19" s="18" customFormat="1" ht="20.100000000000001" customHeight="1" x14ac:dyDescent="0.2">
      <c r="A40" s="125"/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0"/>
      <c r="P40" s="250"/>
      <c r="Q40" s="250"/>
      <c r="R40" s="251"/>
      <c r="S40" s="17"/>
    </row>
    <row r="41" spans="1:19" s="18" customFormat="1" ht="20.100000000000001" customHeight="1" x14ac:dyDescent="0.2">
      <c r="A41" s="125"/>
      <c r="B41" s="250"/>
      <c r="C41" s="250"/>
      <c r="D41" s="250"/>
      <c r="E41" s="250"/>
      <c r="F41" s="250"/>
      <c r="G41" s="250"/>
      <c r="H41" s="250"/>
      <c r="I41" s="250"/>
      <c r="J41" s="250"/>
      <c r="K41" s="250"/>
      <c r="L41" s="250"/>
      <c r="M41" s="250"/>
      <c r="N41" s="250"/>
      <c r="O41" s="250"/>
      <c r="P41" s="250"/>
      <c r="Q41" s="250"/>
      <c r="R41" s="251"/>
      <c r="S41" s="17"/>
    </row>
    <row r="42" spans="1:19" s="18" customFormat="1" ht="20.100000000000001" customHeight="1" x14ac:dyDescent="0.2">
      <c r="A42" s="125"/>
      <c r="B42" s="250"/>
      <c r="C42" s="250"/>
      <c r="D42" s="250"/>
      <c r="E42" s="250"/>
      <c r="F42" s="250"/>
      <c r="G42" s="250"/>
      <c r="H42" s="250"/>
      <c r="I42" s="250"/>
      <c r="J42" s="250"/>
      <c r="K42" s="250"/>
      <c r="L42" s="250"/>
      <c r="M42" s="250"/>
      <c r="N42" s="250"/>
      <c r="O42" s="250"/>
      <c r="P42" s="250"/>
      <c r="Q42" s="250"/>
      <c r="R42" s="251"/>
      <c r="S42" s="17"/>
    </row>
    <row r="43" spans="1:19" s="18" customFormat="1" ht="20.100000000000001" customHeight="1" x14ac:dyDescent="0.2">
      <c r="A43" s="125"/>
      <c r="B43" s="250"/>
      <c r="C43" s="250"/>
      <c r="D43" s="250"/>
      <c r="E43" s="250"/>
      <c r="F43" s="250"/>
      <c r="G43" s="250"/>
      <c r="H43" s="250"/>
      <c r="I43" s="250"/>
      <c r="J43" s="250"/>
      <c r="K43" s="250"/>
      <c r="L43" s="250"/>
      <c r="M43" s="250"/>
      <c r="N43" s="250"/>
      <c r="O43" s="250"/>
      <c r="P43" s="250"/>
      <c r="Q43" s="250"/>
      <c r="R43" s="251"/>
      <c r="S43" s="17"/>
    </row>
    <row r="44" spans="1:19" s="18" customFormat="1" ht="20.100000000000001" customHeight="1" x14ac:dyDescent="0.2">
      <c r="A44" s="125"/>
      <c r="B44" s="250"/>
      <c r="C44" s="250"/>
      <c r="D44" s="250"/>
      <c r="E44" s="250"/>
      <c r="F44" s="250"/>
      <c r="G44" s="250"/>
      <c r="H44" s="250"/>
      <c r="I44" s="250"/>
      <c r="J44" s="250"/>
      <c r="K44" s="250"/>
      <c r="L44" s="250"/>
      <c r="M44" s="250"/>
      <c r="N44" s="250"/>
      <c r="O44" s="250"/>
      <c r="P44" s="250"/>
      <c r="Q44" s="250"/>
      <c r="R44" s="251"/>
      <c r="S44" s="17"/>
    </row>
    <row r="45" spans="1:19" s="18" customFormat="1" ht="20.100000000000001" customHeight="1" x14ac:dyDescent="0.2">
      <c r="A45" s="125"/>
      <c r="B45" s="250"/>
      <c r="C45" s="250"/>
      <c r="D45" s="250"/>
      <c r="E45" s="250"/>
      <c r="F45" s="250"/>
      <c r="G45" s="250"/>
      <c r="H45" s="250"/>
      <c r="I45" s="250"/>
      <c r="J45" s="250"/>
      <c r="K45" s="250"/>
      <c r="L45" s="250"/>
      <c r="M45" s="250"/>
      <c r="N45" s="250"/>
      <c r="O45" s="250"/>
      <c r="P45" s="250"/>
      <c r="Q45" s="250"/>
      <c r="R45" s="251"/>
      <c r="S45" s="17"/>
    </row>
    <row r="46" spans="1:19" s="18" customFormat="1" ht="20.100000000000001" customHeight="1" x14ac:dyDescent="0.2">
      <c r="A46" s="125"/>
      <c r="B46" s="250"/>
      <c r="C46" s="250"/>
      <c r="D46" s="250"/>
      <c r="E46" s="250"/>
      <c r="F46" s="250"/>
      <c r="G46" s="250"/>
      <c r="H46" s="250"/>
      <c r="I46" s="250"/>
      <c r="J46" s="250"/>
      <c r="K46" s="250"/>
      <c r="L46" s="250"/>
      <c r="M46" s="250"/>
      <c r="N46" s="250"/>
      <c r="O46" s="250"/>
      <c r="P46" s="250"/>
      <c r="Q46" s="250"/>
      <c r="R46" s="251"/>
      <c r="S46" s="17"/>
    </row>
    <row r="47" spans="1:19" s="18" customFormat="1" ht="20.100000000000001" customHeight="1" x14ac:dyDescent="0.2">
      <c r="A47" s="125"/>
      <c r="B47" s="250"/>
      <c r="C47" s="250"/>
      <c r="D47" s="250"/>
      <c r="E47" s="250"/>
      <c r="F47" s="250"/>
      <c r="G47" s="250"/>
      <c r="H47" s="250"/>
      <c r="I47" s="250"/>
      <c r="J47" s="250"/>
      <c r="K47" s="250"/>
      <c r="L47" s="250"/>
      <c r="M47" s="250"/>
      <c r="N47" s="250"/>
      <c r="O47" s="250"/>
      <c r="P47" s="250"/>
      <c r="Q47" s="250"/>
      <c r="R47" s="251"/>
      <c r="S47" s="17"/>
    </row>
    <row r="48" spans="1:19" s="18" customFormat="1" ht="20.100000000000001" customHeight="1" x14ac:dyDescent="0.2">
      <c r="A48" s="125"/>
      <c r="B48" s="250"/>
      <c r="C48" s="250"/>
      <c r="D48" s="250"/>
      <c r="E48" s="250"/>
      <c r="F48" s="250"/>
      <c r="G48" s="250"/>
      <c r="H48" s="250"/>
      <c r="I48" s="250"/>
      <c r="J48" s="250"/>
      <c r="K48" s="250"/>
      <c r="L48" s="250"/>
      <c r="M48" s="250"/>
      <c r="N48" s="250"/>
      <c r="O48" s="250"/>
      <c r="P48" s="250"/>
      <c r="Q48" s="250"/>
      <c r="R48" s="251"/>
      <c r="S48" s="17"/>
    </row>
    <row r="49" spans="1:19" s="18" customFormat="1" ht="20.100000000000001" customHeight="1" x14ac:dyDescent="0.2">
      <c r="A49" s="125"/>
      <c r="B49" s="250"/>
      <c r="C49" s="250"/>
      <c r="D49" s="250"/>
      <c r="E49" s="250"/>
      <c r="F49" s="250"/>
      <c r="G49" s="250"/>
      <c r="H49" s="250"/>
      <c r="I49" s="250"/>
      <c r="J49" s="250"/>
      <c r="K49" s="250"/>
      <c r="L49" s="250"/>
      <c r="M49" s="250"/>
      <c r="N49" s="250"/>
      <c r="O49" s="250"/>
      <c r="P49" s="250"/>
      <c r="Q49" s="250"/>
      <c r="R49" s="251"/>
      <c r="S49" s="17"/>
    </row>
    <row r="50" spans="1:19" s="18" customFormat="1" ht="20.100000000000001" customHeight="1" x14ac:dyDescent="0.2">
      <c r="A50" s="125"/>
      <c r="B50" s="250"/>
      <c r="C50" s="250"/>
      <c r="D50" s="250"/>
      <c r="E50" s="250"/>
      <c r="F50" s="250"/>
      <c r="G50" s="250"/>
      <c r="H50" s="250"/>
      <c r="I50" s="250"/>
      <c r="J50" s="250"/>
      <c r="K50" s="250"/>
      <c r="L50" s="250"/>
      <c r="M50" s="250"/>
      <c r="N50" s="250"/>
      <c r="O50" s="250"/>
      <c r="P50" s="250"/>
      <c r="Q50" s="250"/>
      <c r="R50" s="251"/>
      <c r="S50" s="17"/>
    </row>
    <row r="51" spans="1:19" s="18" customFormat="1" ht="20.100000000000001" customHeight="1" x14ac:dyDescent="0.2">
      <c r="A51" s="125"/>
      <c r="B51" s="250"/>
      <c r="C51" s="250"/>
      <c r="D51" s="250"/>
      <c r="E51" s="250"/>
      <c r="F51" s="250"/>
      <c r="G51" s="250"/>
      <c r="H51" s="250"/>
      <c r="I51" s="250"/>
      <c r="J51" s="250"/>
      <c r="K51" s="250"/>
      <c r="L51" s="250"/>
      <c r="M51" s="250"/>
      <c r="N51" s="250"/>
      <c r="O51" s="250"/>
      <c r="P51" s="250"/>
      <c r="Q51" s="250"/>
      <c r="R51" s="251"/>
      <c r="S51" s="17"/>
    </row>
    <row r="52" spans="1:19" s="18" customFormat="1" ht="20.100000000000001" customHeight="1" x14ac:dyDescent="0.2">
      <c r="A52" s="125"/>
      <c r="B52" s="250"/>
      <c r="C52" s="250"/>
      <c r="D52" s="250"/>
      <c r="E52" s="250"/>
      <c r="F52" s="250"/>
      <c r="G52" s="250"/>
      <c r="H52" s="250"/>
      <c r="I52" s="250"/>
      <c r="J52" s="250"/>
      <c r="K52" s="250"/>
      <c r="L52" s="250"/>
      <c r="M52" s="250"/>
      <c r="N52" s="250"/>
      <c r="O52" s="250"/>
      <c r="P52" s="250"/>
      <c r="Q52" s="250"/>
      <c r="R52" s="251"/>
      <c r="S52" s="17"/>
    </row>
    <row r="53" spans="1:19" s="18" customFormat="1" ht="20.100000000000001" customHeight="1" thickBot="1" x14ac:dyDescent="0.25">
      <c r="A53" s="125"/>
      <c r="B53" s="250"/>
      <c r="C53" s="250"/>
      <c r="D53" s="250"/>
      <c r="E53" s="250"/>
      <c r="F53" s="250"/>
      <c r="G53" s="250"/>
      <c r="H53" s="250"/>
      <c r="I53" s="250"/>
      <c r="J53" s="250"/>
      <c r="K53" s="250"/>
      <c r="L53" s="250"/>
      <c r="M53" s="250"/>
      <c r="N53" s="250"/>
      <c r="O53" s="250"/>
      <c r="P53" s="250"/>
      <c r="Q53" s="250"/>
      <c r="R53" s="251"/>
      <c r="S53" s="17"/>
    </row>
    <row r="54" spans="1:19" s="18" customFormat="1" ht="17.45" customHeight="1" x14ac:dyDescent="0.2">
      <c r="A54" s="78"/>
      <c r="B54" s="78"/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78"/>
      <c r="N54" s="78"/>
      <c r="O54" s="78"/>
      <c r="P54" s="78"/>
      <c r="Q54" s="78"/>
      <c r="R54" s="78"/>
      <c r="S54" s="17"/>
    </row>
    <row r="55" spans="1:19" s="18" customFormat="1" ht="17.45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</row>
    <row r="56" spans="1:19" s="18" customFormat="1" ht="15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</row>
    <row r="57" spans="1:19" s="18" customFormat="1" ht="15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</row>
    <row r="58" spans="1:19" s="18" customFormat="1" ht="15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</row>
    <row r="59" spans="1:19" s="18" customFormat="1" ht="15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</row>
  </sheetData>
  <sheetProtection password="FEA9" sheet="1" objects="1" scenarios="1"/>
  <mergeCells count="54">
    <mergeCell ref="B52:R52"/>
    <mergeCell ref="B53:R53"/>
    <mergeCell ref="B48:R48"/>
    <mergeCell ref="B49:R49"/>
    <mergeCell ref="B50:R50"/>
    <mergeCell ref="B51:R51"/>
    <mergeCell ref="B47:R47"/>
    <mergeCell ref="B36:R36"/>
    <mergeCell ref="B37:R37"/>
    <mergeCell ref="B38:R38"/>
    <mergeCell ref="B39:R39"/>
    <mergeCell ref="B40:R40"/>
    <mergeCell ref="B41:R41"/>
    <mergeCell ref="B42:R42"/>
    <mergeCell ref="B43:R43"/>
    <mergeCell ref="B44:R44"/>
    <mergeCell ref="B45:R45"/>
    <mergeCell ref="B46:R46"/>
    <mergeCell ref="B29:R29"/>
    <mergeCell ref="B20:R20"/>
    <mergeCell ref="B21:R21"/>
    <mergeCell ref="B22:R22"/>
    <mergeCell ref="B23:R23"/>
    <mergeCell ref="B26:R26"/>
    <mergeCell ref="B27:R27"/>
    <mergeCell ref="B28:R28"/>
    <mergeCell ref="B8:R8"/>
    <mergeCell ref="B9:R9"/>
    <mergeCell ref="B10:R10"/>
    <mergeCell ref="B11:R11"/>
    <mergeCell ref="B12:R12"/>
    <mergeCell ref="B13:R13"/>
    <mergeCell ref="B24:R24"/>
    <mergeCell ref="B25:R25"/>
    <mergeCell ref="B16:R16"/>
    <mergeCell ref="B17:R17"/>
    <mergeCell ref="B18:R18"/>
    <mergeCell ref="B19:R19"/>
    <mergeCell ref="B14:R14"/>
    <mergeCell ref="B15:R15"/>
    <mergeCell ref="B34:R34"/>
    <mergeCell ref="B35:R35"/>
    <mergeCell ref="B30:R30"/>
    <mergeCell ref="B31:R31"/>
    <mergeCell ref="B32:R32"/>
    <mergeCell ref="B33:R33"/>
    <mergeCell ref="B6:R6"/>
    <mergeCell ref="B7:R7"/>
    <mergeCell ref="A1:B1"/>
    <mergeCell ref="A2:B2"/>
    <mergeCell ref="B4:R4"/>
    <mergeCell ref="B5:R5"/>
    <mergeCell ref="A3:R3"/>
    <mergeCell ref="P1:R1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>&amp;C&amp;"Arial,Bold"&amp;14NMBS ESTIMATE COVER SHEET (CONT.)</oddHeader>
    <oddFooter>&amp;L&amp;9Form Revised: 2/12/2008
File: 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C55"/>
  <sheetViews>
    <sheetView zoomScale="75" zoomScaleNormal="75" workbookViewId="0">
      <selection activeCell="A5" sqref="A5"/>
    </sheetView>
  </sheetViews>
  <sheetFormatPr defaultRowHeight="12.75" x14ac:dyDescent="0.2"/>
  <cols>
    <col min="1" max="1" width="9.7109375" style="8" customWidth="1"/>
    <col min="2" max="2" width="8.7109375" style="8" customWidth="1"/>
    <col min="3" max="3" width="22.7109375" style="8" customWidth="1"/>
    <col min="4" max="4" width="6.7109375" style="8" customWidth="1"/>
    <col min="5" max="5" width="7.7109375" style="8" customWidth="1"/>
    <col min="6" max="6" width="6.28515625" style="8" customWidth="1"/>
    <col min="7" max="7" width="5.7109375" style="8" customWidth="1"/>
    <col min="8" max="8" width="7.7109375" style="8" customWidth="1"/>
    <col min="9" max="9" width="6.28515625" style="8" customWidth="1"/>
    <col min="10" max="10" width="5.7109375" style="8" customWidth="1"/>
    <col min="11" max="15" width="7.7109375" style="8" customWidth="1"/>
    <col min="16" max="18" width="6.7109375" style="8" customWidth="1"/>
    <col min="19" max="19" width="10.7109375" style="8" customWidth="1"/>
    <col min="20" max="20" width="6.7109375" style="8" customWidth="1"/>
    <col min="21" max="21" width="7.7109375" style="8" customWidth="1"/>
    <col min="22" max="22" width="10.7109375" style="8" customWidth="1"/>
    <col min="23" max="23" width="6.7109375" style="8" customWidth="1"/>
    <col min="24" max="24" width="7.7109375" style="8" customWidth="1"/>
    <col min="25" max="25" width="7.5703125" style="8" bestFit="1" customWidth="1"/>
    <col min="26" max="27" width="7.7109375" style="8" customWidth="1"/>
    <col min="28" max="28" width="6.7109375" style="8" customWidth="1"/>
    <col min="29" max="29" width="7.7109375" style="8" customWidth="1"/>
    <col min="30" max="16384" width="9.140625" style="8"/>
  </cols>
  <sheetData>
    <row r="1" spans="1:29" s="9" customFormat="1" ht="20.100000000000001" customHeight="1" x14ac:dyDescent="0.2">
      <c r="A1" s="252" t="s">
        <v>26</v>
      </c>
      <c r="B1" s="253"/>
      <c r="C1" s="275" t="str">
        <f>IF(ISBLANK(Cover!D3),"",Cover!D3)</f>
        <v>*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75"/>
      <c r="O1" s="275"/>
      <c r="P1" s="275"/>
      <c r="Q1" s="275"/>
      <c r="R1" s="275"/>
      <c r="S1" s="275"/>
      <c r="T1" s="275"/>
      <c r="U1" s="275"/>
      <c r="V1" s="275"/>
      <c r="W1" s="275"/>
      <c r="X1" s="275"/>
      <c r="Y1" s="275"/>
      <c r="Z1" s="22" t="s">
        <v>28</v>
      </c>
      <c r="AA1" s="293" t="str">
        <f>IF(ISBLANK(Cover!O2),"",Cover!O2)</f>
        <v>*</v>
      </c>
      <c r="AB1" s="293"/>
      <c r="AC1" s="294"/>
    </row>
    <row r="2" spans="1:29" s="9" customFormat="1" ht="20.100000000000001" customHeight="1" thickBot="1" x14ac:dyDescent="0.25">
      <c r="A2" s="254" t="s">
        <v>27</v>
      </c>
      <c r="B2" s="255"/>
      <c r="C2" s="286" t="str">
        <f>IF(ISBLANK(Cover!D4),"",Cover!D4)</f>
        <v>*</v>
      </c>
      <c r="D2" s="286"/>
      <c r="E2" s="286"/>
      <c r="F2" s="286"/>
      <c r="G2" s="286"/>
      <c r="H2" s="286"/>
      <c r="I2" s="286"/>
      <c r="J2" s="286"/>
      <c r="K2" s="286"/>
      <c r="L2" s="286"/>
      <c r="M2" s="286"/>
      <c r="N2" s="286"/>
      <c r="O2" s="286"/>
      <c r="P2" s="286"/>
      <c r="Q2" s="286"/>
      <c r="R2" s="286"/>
      <c r="S2" s="286"/>
      <c r="T2" s="286"/>
      <c r="U2" s="286"/>
      <c r="V2" s="286"/>
      <c r="W2" s="286"/>
      <c r="X2" s="286"/>
      <c r="Y2" s="286"/>
      <c r="Z2" s="21" t="s">
        <v>38</v>
      </c>
      <c r="AA2" s="59"/>
      <c r="AB2" s="32" t="s">
        <v>45</v>
      </c>
      <c r="AC2" s="165">
        <f>IF(ISBLANK(Cover!Q7),"",Cover!Q7)</f>
        <v>3</v>
      </c>
    </row>
    <row r="3" spans="1:29" s="9" customFormat="1" ht="20.100000000000001" customHeight="1" x14ac:dyDescent="0.2">
      <c r="A3" s="284" t="s">
        <v>46</v>
      </c>
      <c r="B3" s="284" t="s">
        <v>0</v>
      </c>
      <c r="C3" s="284" t="s">
        <v>1</v>
      </c>
      <c r="D3" s="287" t="s">
        <v>83</v>
      </c>
      <c r="E3" s="288"/>
      <c r="F3" s="276" t="s">
        <v>2</v>
      </c>
      <c r="G3" s="277"/>
      <c r="H3" s="277"/>
      <c r="I3" s="276" t="s">
        <v>5</v>
      </c>
      <c r="J3" s="277"/>
      <c r="K3" s="277"/>
      <c r="L3" s="276" t="s">
        <v>8</v>
      </c>
      <c r="M3" s="278"/>
      <c r="N3" s="23" t="s">
        <v>6</v>
      </c>
      <c r="O3" s="23" t="s">
        <v>22</v>
      </c>
      <c r="P3" s="283" t="s">
        <v>81</v>
      </c>
      <c r="Q3" s="277"/>
      <c r="R3" s="278"/>
      <c r="S3" s="276" t="s">
        <v>77</v>
      </c>
      <c r="T3" s="277"/>
      <c r="U3" s="277"/>
      <c r="V3" s="276" t="s">
        <v>78</v>
      </c>
      <c r="W3" s="277"/>
      <c r="X3" s="278"/>
      <c r="Y3" s="291" t="s">
        <v>82</v>
      </c>
      <c r="Z3" s="295" t="s">
        <v>11</v>
      </c>
      <c r="AA3" s="296"/>
      <c r="AB3" s="296"/>
      <c r="AC3" s="297"/>
    </row>
    <row r="4" spans="1:29" s="9" customFormat="1" ht="20.100000000000001" customHeight="1" thickBot="1" x14ac:dyDescent="0.25">
      <c r="A4" s="285"/>
      <c r="B4" s="285"/>
      <c r="C4" s="285"/>
      <c r="D4" s="289"/>
      <c r="E4" s="290"/>
      <c r="F4" s="61" t="s">
        <v>3</v>
      </c>
      <c r="G4" s="281" t="s">
        <v>4</v>
      </c>
      <c r="H4" s="282"/>
      <c r="I4" s="61" t="s">
        <v>3</v>
      </c>
      <c r="J4" s="281" t="s">
        <v>4</v>
      </c>
      <c r="K4" s="282"/>
      <c r="L4" s="61" t="s">
        <v>9</v>
      </c>
      <c r="M4" s="62" t="s">
        <v>10</v>
      </c>
      <c r="N4" s="60" t="s">
        <v>7</v>
      </c>
      <c r="O4" s="169" t="s">
        <v>23</v>
      </c>
      <c r="P4" s="158" t="s">
        <v>16</v>
      </c>
      <c r="Q4" s="175" t="s">
        <v>75</v>
      </c>
      <c r="R4" s="155" t="s">
        <v>76</v>
      </c>
      <c r="S4" s="61" t="s">
        <v>80</v>
      </c>
      <c r="T4" s="281" t="s">
        <v>79</v>
      </c>
      <c r="U4" s="282"/>
      <c r="V4" s="61" t="s">
        <v>80</v>
      </c>
      <c r="W4" s="281" t="s">
        <v>79</v>
      </c>
      <c r="X4" s="282"/>
      <c r="Y4" s="292"/>
      <c r="Z4" s="298"/>
      <c r="AA4" s="299"/>
      <c r="AB4" s="299"/>
      <c r="AC4" s="300"/>
    </row>
    <row r="5" spans="1:29" s="9" customFormat="1" ht="20.100000000000001" customHeight="1" x14ac:dyDescent="0.2">
      <c r="A5" s="80"/>
      <c r="B5" s="81"/>
      <c r="C5" s="80"/>
      <c r="D5" s="82"/>
      <c r="E5" s="83"/>
      <c r="F5" s="168"/>
      <c r="G5" s="85"/>
      <c r="H5" s="86"/>
      <c r="I5" s="84"/>
      <c r="J5" s="85"/>
      <c r="K5" s="86"/>
      <c r="L5" s="87"/>
      <c r="M5" s="88"/>
      <c r="N5" s="89"/>
      <c r="O5" s="171"/>
      <c r="P5" s="177"/>
      <c r="Q5" s="176" t="s">
        <v>84</v>
      </c>
      <c r="R5" s="156"/>
      <c r="S5" s="166"/>
      <c r="T5" s="159"/>
      <c r="U5" s="160"/>
      <c r="V5" s="166"/>
      <c r="W5" s="159"/>
      <c r="X5" s="160"/>
      <c r="Y5" s="162"/>
      <c r="Z5" s="269"/>
      <c r="AA5" s="270"/>
      <c r="AB5" s="270"/>
      <c r="AC5" s="271"/>
    </row>
    <row r="6" spans="1:29" s="9" customFormat="1" ht="20.100000000000001" customHeight="1" x14ac:dyDescent="0.2">
      <c r="A6" s="63"/>
      <c r="B6" s="64"/>
      <c r="C6" s="63"/>
      <c r="D6" s="65"/>
      <c r="E6" s="66"/>
      <c r="F6" s="67"/>
      <c r="G6" s="41"/>
      <c r="H6" s="68"/>
      <c r="I6" s="67"/>
      <c r="J6" s="41"/>
      <c r="K6" s="68"/>
      <c r="L6" s="69"/>
      <c r="M6" s="70"/>
      <c r="N6" s="71"/>
      <c r="O6" s="172"/>
      <c r="P6" s="178"/>
      <c r="Q6" s="170"/>
      <c r="R6" s="157"/>
      <c r="S6" s="167"/>
      <c r="T6" s="41"/>
      <c r="U6" s="68"/>
      <c r="V6" s="167"/>
      <c r="W6" s="41"/>
      <c r="X6" s="68"/>
      <c r="Y6" s="161"/>
      <c r="Z6" s="272"/>
      <c r="AA6" s="273"/>
      <c r="AB6" s="273"/>
      <c r="AC6" s="274"/>
    </row>
    <row r="7" spans="1:29" s="18" customFormat="1" ht="20.100000000000001" customHeight="1" x14ac:dyDescent="0.2">
      <c r="A7" s="63"/>
      <c r="B7" s="64"/>
      <c r="C7" s="63"/>
      <c r="D7" s="65"/>
      <c r="E7" s="66"/>
      <c r="F7" s="67"/>
      <c r="G7" s="41"/>
      <c r="H7" s="68"/>
      <c r="I7" s="67"/>
      <c r="J7" s="41"/>
      <c r="K7" s="68"/>
      <c r="L7" s="69"/>
      <c r="M7" s="70"/>
      <c r="N7" s="71"/>
      <c r="O7" s="172"/>
      <c r="P7" s="178"/>
      <c r="Q7" s="170"/>
      <c r="R7" s="157"/>
      <c r="S7" s="167"/>
      <c r="T7" s="41"/>
      <c r="U7" s="68"/>
      <c r="V7" s="167"/>
      <c r="W7" s="41"/>
      <c r="X7" s="68"/>
      <c r="Y7" s="161"/>
      <c r="Z7" s="272"/>
      <c r="AA7" s="273"/>
      <c r="AB7" s="273"/>
      <c r="AC7" s="274"/>
    </row>
    <row r="8" spans="1:29" s="18" customFormat="1" ht="20.100000000000001" customHeight="1" x14ac:dyDescent="0.2">
      <c r="A8" s="63"/>
      <c r="B8" s="64"/>
      <c r="C8" s="63"/>
      <c r="D8" s="65"/>
      <c r="E8" s="66"/>
      <c r="F8" s="67"/>
      <c r="G8" s="41"/>
      <c r="H8" s="68"/>
      <c r="I8" s="67"/>
      <c r="J8" s="41"/>
      <c r="K8" s="68"/>
      <c r="L8" s="69"/>
      <c r="M8" s="70"/>
      <c r="N8" s="71"/>
      <c r="O8" s="172"/>
      <c r="P8" s="178"/>
      <c r="Q8" s="170"/>
      <c r="R8" s="157"/>
      <c r="S8" s="167"/>
      <c r="T8" s="41"/>
      <c r="U8" s="68"/>
      <c r="V8" s="167"/>
      <c r="W8" s="41"/>
      <c r="X8" s="68"/>
      <c r="Y8" s="161"/>
      <c r="Z8" s="272"/>
      <c r="AA8" s="273"/>
      <c r="AB8" s="273"/>
      <c r="AC8" s="274"/>
    </row>
    <row r="9" spans="1:29" s="18" customFormat="1" ht="20.100000000000001" customHeight="1" x14ac:dyDescent="0.2">
      <c r="A9" s="63"/>
      <c r="B9" s="64"/>
      <c r="C9" s="63"/>
      <c r="D9" s="65"/>
      <c r="E9" s="66"/>
      <c r="F9" s="67"/>
      <c r="G9" s="41"/>
      <c r="H9" s="68"/>
      <c r="I9" s="67"/>
      <c r="J9" s="41"/>
      <c r="K9" s="68"/>
      <c r="L9" s="69"/>
      <c r="M9" s="70"/>
      <c r="N9" s="71"/>
      <c r="O9" s="172"/>
      <c r="P9" s="178"/>
      <c r="Q9" s="170"/>
      <c r="R9" s="157"/>
      <c r="S9" s="167"/>
      <c r="T9" s="41"/>
      <c r="U9" s="68"/>
      <c r="V9" s="167"/>
      <c r="W9" s="41"/>
      <c r="X9" s="68"/>
      <c r="Y9" s="161"/>
      <c r="Z9" s="272"/>
      <c r="AA9" s="273"/>
      <c r="AB9" s="273"/>
      <c r="AC9" s="274"/>
    </row>
    <row r="10" spans="1:29" s="18" customFormat="1" ht="19.5" customHeight="1" x14ac:dyDescent="0.2">
      <c r="A10" s="63"/>
      <c r="B10" s="64"/>
      <c r="C10" s="63"/>
      <c r="D10" s="65"/>
      <c r="E10" s="66"/>
      <c r="F10" s="67"/>
      <c r="G10" s="41"/>
      <c r="H10" s="68"/>
      <c r="I10" s="67"/>
      <c r="J10" s="41"/>
      <c r="K10" s="68"/>
      <c r="L10" s="69"/>
      <c r="M10" s="70"/>
      <c r="N10" s="71"/>
      <c r="O10" s="172"/>
      <c r="P10" s="178"/>
      <c r="Q10" s="170"/>
      <c r="R10" s="157"/>
      <c r="S10" s="167"/>
      <c r="T10" s="41"/>
      <c r="U10" s="68"/>
      <c r="V10" s="167"/>
      <c r="W10" s="41"/>
      <c r="X10" s="68"/>
      <c r="Y10" s="161"/>
      <c r="Z10" s="272"/>
      <c r="AA10" s="273"/>
      <c r="AB10" s="273"/>
      <c r="AC10" s="274"/>
    </row>
    <row r="11" spans="1:29" s="18" customFormat="1" ht="20.100000000000001" customHeight="1" x14ac:dyDescent="0.2">
      <c r="A11" s="63"/>
      <c r="B11" s="64"/>
      <c r="C11" s="63"/>
      <c r="D11" s="65"/>
      <c r="E11" s="66"/>
      <c r="F11" s="67"/>
      <c r="G11" s="41"/>
      <c r="H11" s="68"/>
      <c r="I11" s="67"/>
      <c r="J11" s="41"/>
      <c r="K11" s="68"/>
      <c r="L11" s="69"/>
      <c r="M11" s="70"/>
      <c r="N11" s="71"/>
      <c r="O11" s="172"/>
      <c r="P11" s="178"/>
      <c r="Q11" s="170"/>
      <c r="R11" s="157"/>
      <c r="S11" s="167"/>
      <c r="T11" s="41"/>
      <c r="U11" s="68"/>
      <c r="V11" s="167"/>
      <c r="W11" s="41"/>
      <c r="X11" s="68"/>
      <c r="Y11" s="161"/>
      <c r="Z11" s="272"/>
      <c r="AA11" s="273"/>
      <c r="AB11" s="273"/>
      <c r="AC11" s="274"/>
    </row>
    <row r="12" spans="1:29" s="18" customFormat="1" ht="20.100000000000001" customHeight="1" x14ac:dyDescent="0.2">
      <c r="A12" s="63"/>
      <c r="B12" s="64"/>
      <c r="C12" s="63"/>
      <c r="D12" s="65"/>
      <c r="E12" s="66"/>
      <c r="F12" s="67"/>
      <c r="G12" s="41"/>
      <c r="H12" s="68"/>
      <c r="I12" s="67"/>
      <c r="J12" s="41"/>
      <c r="K12" s="68"/>
      <c r="L12" s="69"/>
      <c r="M12" s="70"/>
      <c r="N12" s="71"/>
      <c r="O12" s="172"/>
      <c r="P12" s="178"/>
      <c r="Q12" s="170"/>
      <c r="R12" s="157"/>
      <c r="S12" s="167"/>
      <c r="T12" s="41"/>
      <c r="U12" s="68"/>
      <c r="V12" s="167"/>
      <c r="W12" s="41"/>
      <c r="X12" s="68"/>
      <c r="Y12" s="161"/>
      <c r="Z12" s="272"/>
      <c r="AA12" s="273"/>
      <c r="AB12" s="273"/>
      <c r="AC12" s="274"/>
    </row>
    <row r="13" spans="1:29" s="18" customFormat="1" ht="20.100000000000001" customHeight="1" x14ac:dyDescent="0.2">
      <c r="A13" s="63"/>
      <c r="B13" s="64"/>
      <c r="C13" s="63"/>
      <c r="D13" s="65"/>
      <c r="E13" s="66"/>
      <c r="F13" s="67"/>
      <c r="G13" s="41"/>
      <c r="H13" s="68"/>
      <c r="I13" s="67"/>
      <c r="J13" s="41"/>
      <c r="K13" s="68"/>
      <c r="L13" s="69"/>
      <c r="M13" s="70"/>
      <c r="N13" s="71"/>
      <c r="O13" s="173"/>
      <c r="P13" s="178"/>
      <c r="Q13" s="170"/>
      <c r="R13" s="157"/>
      <c r="S13" s="167"/>
      <c r="T13" s="41"/>
      <c r="U13" s="68"/>
      <c r="V13" s="167"/>
      <c r="W13" s="41"/>
      <c r="X13" s="68"/>
      <c r="Y13" s="161"/>
      <c r="Z13" s="272"/>
      <c r="AA13" s="273"/>
      <c r="AB13" s="273"/>
      <c r="AC13" s="274"/>
    </row>
    <row r="14" spans="1:29" s="18" customFormat="1" ht="20.100000000000001" customHeight="1" x14ac:dyDescent="0.2">
      <c r="A14" s="63"/>
      <c r="B14" s="64"/>
      <c r="C14" s="63"/>
      <c r="D14" s="65"/>
      <c r="E14" s="66"/>
      <c r="F14" s="67"/>
      <c r="G14" s="41"/>
      <c r="H14" s="68"/>
      <c r="I14" s="67"/>
      <c r="J14" s="41"/>
      <c r="K14" s="68"/>
      <c r="L14" s="69"/>
      <c r="M14" s="70"/>
      <c r="N14" s="71"/>
      <c r="O14" s="172"/>
      <c r="P14" s="178"/>
      <c r="Q14" s="170"/>
      <c r="R14" s="157"/>
      <c r="S14" s="167"/>
      <c r="T14" s="41"/>
      <c r="U14" s="68"/>
      <c r="V14" s="167"/>
      <c r="W14" s="41"/>
      <c r="X14" s="68"/>
      <c r="Y14" s="161"/>
      <c r="Z14" s="272"/>
      <c r="AA14" s="273"/>
      <c r="AB14" s="273"/>
      <c r="AC14" s="274"/>
    </row>
    <row r="15" spans="1:29" s="18" customFormat="1" ht="20.100000000000001" customHeight="1" x14ac:dyDescent="0.2">
      <c r="A15" s="63"/>
      <c r="B15" s="64"/>
      <c r="C15" s="63"/>
      <c r="D15" s="65"/>
      <c r="E15" s="66"/>
      <c r="F15" s="67"/>
      <c r="G15" s="41"/>
      <c r="H15" s="68"/>
      <c r="I15" s="67"/>
      <c r="J15" s="41"/>
      <c r="K15" s="68"/>
      <c r="L15" s="69"/>
      <c r="M15" s="70"/>
      <c r="N15" s="71"/>
      <c r="O15" s="173"/>
      <c r="P15" s="178"/>
      <c r="Q15" s="170"/>
      <c r="R15" s="157"/>
      <c r="S15" s="167"/>
      <c r="T15" s="41"/>
      <c r="U15" s="68"/>
      <c r="V15" s="167"/>
      <c r="W15" s="41"/>
      <c r="X15" s="68"/>
      <c r="Y15" s="161"/>
      <c r="Z15" s="272"/>
      <c r="AA15" s="273"/>
      <c r="AB15" s="273"/>
      <c r="AC15" s="274"/>
    </row>
    <row r="16" spans="1:29" s="18" customFormat="1" ht="20.100000000000001" customHeight="1" x14ac:dyDescent="0.2">
      <c r="A16" s="63"/>
      <c r="B16" s="64"/>
      <c r="C16" s="63"/>
      <c r="D16" s="65"/>
      <c r="E16" s="66"/>
      <c r="F16" s="67"/>
      <c r="G16" s="41"/>
      <c r="H16" s="68"/>
      <c r="I16" s="67"/>
      <c r="J16" s="41"/>
      <c r="K16" s="68"/>
      <c r="L16" s="69"/>
      <c r="M16" s="70"/>
      <c r="N16" s="71"/>
      <c r="O16" s="173"/>
      <c r="P16" s="178"/>
      <c r="Q16" s="170"/>
      <c r="R16" s="157"/>
      <c r="S16" s="167"/>
      <c r="T16" s="41"/>
      <c r="U16" s="68"/>
      <c r="V16" s="167"/>
      <c r="W16" s="41"/>
      <c r="X16" s="68"/>
      <c r="Y16" s="161"/>
      <c r="Z16" s="272"/>
      <c r="AA16" s="273"/>
      <c r="AB16" s="273"/>
      <c r="AC16" s="274"/>
    </row>
    <row r="17" spans="1:29" s="18" customFormat="1" ht="20.100000000000001" customHeight="1" x14ac:dyDescent="0.2">
      <c r="A17" s="63"/>
      <c r="B17" s="64"/>
      <c r="C17" s="63"/>
      <c r="D17" s="65"/>
      <c r="E17" s="66"/>
      <c r="F17" s="67"/>
      <c r="G17" s="41"/>
      <c r="H17" s="68"/>
      <c r="I17" s="67"/>
      <c r="J17" s="41"/>
      <c r="K17" s="68"/>
      <c r="L17" s="69"/>
      <c r="M17" s="70"/>
      <c r="N17" s="71"/>
      <c r="O17" s="172"/>
      <c r="P17" s="178"/>
      <c r="Q17" s="170"/>
      <c r="R17" s="157"/>
      <c r="S17" s="167"/>
      <c r="T17" s="41"/>
      <c r="U17" s="68"/>
      <c r="V17" s="167"/>
      <c r="W17" s="41"/>
      <c r="X17" s="68"/>
      <c r="Y17" s="161"/>
      <c r="Z17" s="272"/>
      <c r="AA17" s="273"/>
      <c r="AB17" s="273"/>
      <c r="AC17" s="274"/>
    </row>
    <row r="18" spans="1:29" s="18" customFormat="1" ht="20.100000000000001" customHeight="1" x14ac:dyDescent="0.2">
      <c r="A18" s="63"/>
      <c r="B18" s="64"/>
      <c r="C18" s="63"/>
      <c r="D18" s="65"/>
      <c r="E18" s="66"/>
      <c r="F18" s="67"/>
      <c r="G18" s="41"/>
      <c r="H18" s="68"/>
      <c r="I18" s="67"/>
      <c r="J18" s="41"/>
      <c r="K18" s="68"/>
      <c r="L18" s="69"/>
      <c r="M18" s="70"/>
      <c r="N18" s="71"/>
      <c r="O18" s="173"/>
      <c r="P18" s="178"/>
      <c r="Q18" s="170"/>
      <c r="R18" s="157"/>
      <c r="S18" s="167"/>
      <c r="T18" s="41"/>
      <c r="U18" s="68"/>
      <c r="V18" s="167"/>
      <c r="W18" s="41"/>
      <c r="X18" s="68"/>
      <c r="Y18" s="161"/>
      <c r="Z18" s="272"/>
      <c r="AA18" s="273"/>
      <c r="AB18" s="273"/>
      <c r="AC18" s="274"/>
    </row>
    <row r="19" spans="1:29" s="18" customFormat="1" ht="20.100000000000001" customHeight="1" x14ac:dyDescent="0.2">
      <c r="A19" s="63"/>
      <c r="B19" s="64"/>
      <c r="C19" s="63"/>
      <c r="D19" s="65"/>
      <c r="E19" s="66"/>
      <c r="F19" s="67"/>
      <c r="G19" s="41"/>
      <c r="H19" s="68"/>
      <c r="I19" s="67"/>
      <c r="J19" s="41"/>
      <c r="K19" s="68"/>
      <c r="L19" s="69"/>
      <c r="M19" s="70"/>
      <c r="N19" s="71"/>
      <c r="O19" s="173"/>
      <c r="P19" s="178"/>
      <c r="Q19" s="170"/>
      <c r="R19" s="157"/>
      <c r="S19" s="167"/>
      <c r="T19" s="41"/>
      <c r="U19" s="68"/>
      <c r="V19" s="167"/>
      <c r="W19" s="41"/>
      <c r="X19" s="68"/>
      <c r="Y19" s="161"/>
      <c r="Z19" s="272"/>
      <c r="AA19" s="273"/>
      <c r="AB19" s="273"/>
      <c r="AC19" s="274"/>
    </row>
    <row r="20" spans="1:29" s="18" customFormat="1" ht="20.100000000000001" customHeight="1" x14ac:dyDescent="0.2">
      <c r="A20" s="63"/>
      <c r="B20" s="64"/>
      <c r="C20" s="63"/>
      <c r="D20" s="65"/>
      <c r="E20" s="66"/>
      <c r="F20" s="67"/>
      <c r="G20" s="41"/>
      <c r="H20" s="68"/>
      <c r="I20" s="67"/>
      <c r="J20" s="41"/>
      <c r="K20" s="68"/>
      <c r="L20" s="69"/>
      <c r="M20" s="70"/>
      <c r="N20" s="71"/>
      <c r="O20" s="173"/>
      <c r="P20" s="178"/>
      <c r="Q20" s="170"/>
      <c r="R20" s="157"/>
      <c r="S20" s="167"/>
      <c r="T20" s="41"/>
      <c r="U20" s="68"/>
      <c r="V20" s="167"/>
      <c r="W20" s="41"/>
      <c r="X20" s="68"/>
      <c r="Y20" s="161"/>
      <c r="Z20" s="272"/>
      <c r="AA20" s="273"/>
      <c r="AB20" s="273"/>
      <c r="AC20" s="274"/>
    </row>
    <row r="21" spans="1:29" s="18" customFormat="1" ht="20.100000000000001" customHeight="1" x14ac:dyDescent="0.2">
      <c r="A21" s="63"/>
      <c r="B21" s="64"/>
      <c r="C21" s="63"/>
      <c r="D21" s="65"/>
      <c r="E21" s="66"/>
      <c r="F21" s="67"/>
      <c r="G21" s="41"/>
      <c r="H21" s="68"/>
      <c r="I21" s="67"/>
      <c r="J21" s="41"/>
      <c r="K21" s="68"/>
      <c r="L21" s="69"/>
      <c r="M21" s="70"/>
      <c r="N21" s="71"/>
      <c r="O21" s="173"/>
      <c r="P21" s="178"/>
      <c r="Q21" s="170"/>
      <c r="R21" s="157"/>
      <c r="S21" s="167"/>
      <c r="T21" s="41"/>
      <c r="U21" s="68"/>
      <c r="V21" s="167"/>
      <c r="W21" s="41"/>
      <c r="X21" s="68"/>
      <c r="Y21" s="161"/>
      <c r="Z21" s="272"/>
      <c r="AA21" s="273"/>
      <c r="AB21" s="273"/>
      <c r="AC21" s="274"/>
    </row>
    <row r="22" spans="1:29" s="18" customFormat="1" ht="20.100000000000001" customHeight="1" x14ac:dyDescent="0.2">
      <c r="A22" s="63"/>
      <c r="B22" s="64"/>
      <c r="C22" s="63"/>
      <c r="D22" s="65"/>
      <c r="E22" s="66"/>
      <c r="F22" s="67"/>
      <c r="G22" s="41"/>
      <c r="H22" s="68"/>
      <c r="I22" s="67"/>
      <c r="J22" s="41"/>
      <c r="K22" s="68"/>
      <c r="L22" s="69"/>
      <c r="M22" s="70"/>
      <c r="N22" s="71"/>
      <c r="O22" s="173"/>
      <c r="P22" s="178"/>
      <c r="Q22" s="170"/>
      <c r="R22" s="157"/>
      <c r="S22" s="167"/>
      <c r="T22" s="41"/>
      <c r="U22" s="68"/>
      <c r="V22" s="167"/>
      <c r="W22" s="41"/>
      <c r="X22" s="68"/>
      <c r="Y22" s="161"/>
      <c r="Z22" s="272"/>
      <c r="AA22" s="273"/>
      <c r="AB22" s="273"/>
      <c r="AC22" s="274"/>
    </row>
    <row r="23" spans="1:29" s="18" customFormat="1" ht="20.100000000000001" customHeight="1" x14ac:dyDescent="0.2">
      <c r="A23" s="63"/>
      <c r="B23" s="64"/>
      <c r="C23" s="63"/>
      <c r="D23" s="65"/>
      <c r="E23" s="66"/>
      <c r="F23" s="67"/>
      <c r="G23" s="41"/>
      <c r="H23" s="68"/>
      <c r="I23" s="67"/>
      <c r="J23" s="41"/>
      <c r="K23" s="68"/>
      <c r="L23" s="69"/>
      <c r="M23" s="70"/>
      <c r="N23" s="71"/>
      <c r="O23" s="173"/>
      <c r="P23" s="178"/>
      <c r="Q23" s="170"/>
      <c r="R23" s="157"/>
      <c r="S23" s="167"/>
      <c r="T23" s="41"/>
      <c r="U23" s="68"/>
      <c r="V23" s="167"/>
      <c r="W23" s="41"/>
      <c r="X23" s="68"/>
      <c r="Y23" s="161"/>
      <c r="Z23" s="272"/>
      <c r="AA23" s="273"/>
      <c r="AB23" s="273"/>
      <c r="AC23" s="274"/>
    </row>
    <row r="24" spans="1:29" s="18" customFormat="1" ht="20.100000000000001" customHeight="1" x14ac:dyDescent="0.2">
      <c r="A24" s="63"/>
      <c r="B24" s="64"/>
      <c r="C24" s="63"/>
      <c r="D24" s="65"/>
      <c r="E24" s="66"/>
      <c r="F24" s="67"/>
      <c r="G24" s="41"/>
      <c r="H24" s="68"/>
      <c r="I24" s="67"/>
      <c r="J24" s="41"/>
      <c r="K24" s="68"/>
      <c r="L24" s="69"/>
      <c r="M24" s="70"/>
      <c r="N24" s="71"/>
      <c r="O24" s="173"/>
      <c r="P24" s="178"/>
      <c r="Q24" s="170"/>
      <c r="R24" s="157"/>
      <c r="S24" s="167"/>
      <c r="T24" s="41"/>
      <c r="U24" s="68"/>
      <c r="V24" s="167"/>
      <c r="W24" s="41"/>
      <c r="X24" s="68"/>
      <c r="Y24" s="161"/>
      <c r="Z24" s="272"/>
      <c r="AA24" s="273"/>
      <c r="AB24" s="273"/>
      <c r="AC24" s="274"/>
    </row>
    <row r="25" spans="1:29" s="18" customFormat="1" ht="20.100000000000001" customHeight="1" x14ac:dyDescent="0.2">
      <c r="A25" s="63"/>
      <c r="B25" s="64"/>
      <c r="C25" s="63"/>
      <c r="D25" s="65"/>
      <c r="E25" s="66"/>
      <c r="F25" s="67"/>
      <c r="G25" s="41"/>
      <c r="H25" s="68"/>
      <c r="I25" s="67"/>
      <c r="J25" s="41"/>
      <c r="K25" s="68"/>
      <c r="L25" s="69"/>
      <c r="M25" s="70"/>
      <c r="N25" s="71"/>
      <c r="O25" s="173"/>
      <c r="P25" s="178"/>
      <c r="Q25" s="170"/>
      <c r="R25" s="157"/>
      <c r="S25" s="167"/>
      <c r="T25" s="41"/>
      <c r="U25" s="68"/>
      <c r="V25" s="167"/>
      <c r="W25" s="41"/>
      <c r="X25" s="68"/>
      <c r="Y25" s="161"/>
      <c r="Z25" s="272"/>
      <c r="AA25" s="273"/>
      <c r="AB25" s="273"/>
      <c r="AC25" s="274"/>
    </row>
    <row r="26" spans="1:29" s="18" customFormat="1" ht="20.100000000000001" customHeight="1" x14ac:dyDescent="0.2">
      <c r="A26" s="63"/>
      <c r="B26" s="64"/>
      <c r="C26" s="63"/>
      <c r="D26" s="65"/>
      <c r="E26" s="66"/>
      <c r="F26" s="67"/>
      <c r="G26" s="41"/>
      <c r="H26" s="68"/>
      <c r="I26" s="67"/>
      <c r="J26" s="41"/>
      <c r="K26" s="68"/>
      <c r="L26" s="69"/>
      <c r="M26" s="70"/>
      <c r="N26" s="71"/>
      <c r="O26" s="173"/>
      <c r="P26" s="178"/>
      <c r="Q26" s="170"/>
      <c r="R26" s="157"/>
      <c r="S26" s="167"/>
      <c r="T26" s="41"/>
      <c r="U26" s="68"/>
      <c r="V26" s="167"/>
      <c r="W26" s="41"/>
      <c r="X26" s="68"/>
      <c r="Y26" s="161"/>
      <c r="Z26" s="272"/>
      <c r="AA26" s="273"/>
      <c r="AB26" s="273"/>
      <c r="AC26" s="274"/>
    </row>
    <row r="27" spans="1:29" s="18" customFormat="1" ht="20.100000000000001" customHeight="1" x14ac:dyDescent="0.2">
      <c r="A27" s="63"/>
      <c r="B27" s="64"/>
      <c r="C27" s="63"/>
      <c r="D27" s="65"/>
      <c r="E27" s="66"/>
      <c r="F27" s="67"/>
      <c r="G27" s="41"/>
      <c r="H27" s="68"/>
      <c r="I27" s="67"/>
      <c r="J27" s="41"/>
      <c r="K27" s="68"/>
      <c r="L27" s="69"/>
      <c r="M27" s="70"/>
      <c r="N27" s="71"/>
      <c r="O27" s="173"/>
      <c r="P27" s="178"/>
      <c r="Q27" s="170"/>
      <c r="R27" s="157"/>
      <c r="S27" s="167"/>
      <c r="T27" s="41"/>
      <c r="U27" s="68"/>
      <c r="V27" s="167"/>
      <c r="W27" s="41"/>
      <c r="X27" s="68"/>
      <c r="Y27" s="161"/>
      <c r="Z27" s="272"/>
      <c r="AA27" s="273"/>
      <c r="AB27" s="273"/>
      <c r="AC27" s="274"/>
    </row>
    <row r="28" spans="1:29" s="18" customFormat="1" ht="20.100000000000001" customHeight="1" x14ac:dyDescent="0.2">
      <c r="A28" s="63"/>
      <c r="B28" s="64"/>
      <c r="C28" s="63"/>
      <c r="D28" s="65"/>
      <c r="E28" s="66"/>
      <c r="F28" s="67"/>
      <c r="G28" s="41"/>
      <c r="H28" s="68"/>
      <c r="I28" s="67"/>
      <c r="J28" s="41"/>
      <c r="K28" s="68"/>
      <c r="L28" s="69"/>
      <c r="M28" s="70"/>
      <c r="N28" s="71"/>
      <c r="O28" s="173"/>
      <c r="P28" s="178"/>
      <c r="Q28" s="170"/>
      <c r="R28" s="157"/>
      <c r="S28" s="167"/>
      <c r="T28" s="41"/>
      <c r="U28" s="68"/>
      <c r="V28" s="167"/>
      <c r="W28" s="41"/>
      <c r="X28" s="68"/>
      <c r="Y28" s="161"/>
      <c r="Z28" s="272"/>
      <c r="AA28" s="273"/>
      <c r="AB28" s="273"/>
      <c r="AC28" s="274"/>
    </row>
    <row r="29" spans="1:29" s="18" customFormat="1" ht="20.100000000000001" customHeight="1" x14ac:dyDescent="0.2">
      <c r="A29" s="63"/>
      <c r="B29" s="64"/>
      <c r="C29" s="63"/>
      <c r="D29" s="65"/>
      <c r="E29" s="66"/>
      <c r="F29" s="67"/>
      <c r="G29" s="41"/>
      <c r="H29" s="68"/>
      <c r="I29" s="67"/>
      <c r="J29" s="41"/>
      <c r="K29" s="68"/>
      <c r="L29" s="69"/>
      <c r="M29" s="70"/>
      <c r="N29" s="71"/>
      <c r="O29" s="173"/>
      <c r="P29" s="178"/>
      <c r="Q29" s="170"/>
      <c r="R29" s="157"/>
      <c r="S29" s="167"/>
      <c r="T29" s="41"/>
      <c r="U29" s="68"/>
      <c r="V29" s="167"/>
      <c r="W29" s="41"/>
      <c r="X29" s="68"/>
      <c r="Y29" s="161"/>
      <c r="Z29" s="272"/>
      <c r="AA29" s="273"/>
      <c r="AB29" s="273"/>
      <c r="AC29" s="274"/>
    </row>
    <row r="30" spans="1:29" s="18" customFormat="1" ht="20.100000000000001" customHeight="1" x14ac:dyDescent="0.2">
      <c r="A30" s="63"/>
      <c r="B30" s="64"/>
      <c r="C30" s="63"/>
      <c r="D30" s="65"/>
      <c r="E30" s="66"/>
      <c r="F30" s="67"/>
      <c r="G30" s="41"/>
      <c r="H30" s="68"/>
      <c r="I30" s="67"/>
      <c r="J30" s="41"/>
      <c r="K30" s="68"/>
      <c r="L30" s="69"/>
      <c r="M30" s="70"/>
      <c r="N30" s="71"/>
      <c r="O30" s="173"/>
      <c r="P30" s="178"/>
      <c r="Q30" s="170"/>
      <c r="R30" s="157"/>
      <c r="S30" s="167"/>
      <c r="T30" s="41"/>
      <c r="U30" s="68"/>
      <c r="V30" s="167"/>
      <c r="W30" s="41"/>
      <c r="X30" s="68"/>
      <c r="Y30" s="161"/>
      <c r="Z30" s="272"/>
      <c r="AA30" s="273"/>
      <c r="AB30" s="273"/>
      <c r="AC30" s="274"/>
    </row>
    <row r="31" spans="1:29" s="18" customFormat="1" ht="20.100000000000001" customHeight="1" x14ac:dyDescent="0.2">
      <c r="A31" s="63"/>
      <c r="B31" s="64"/>
      <c r="C31" s="63"/>
      <c r="D31" s="65"/>
      <c r="E31" s="66"/>
      <c r="F31" s="67"/>
      <c r="G31" s="41"/>
      <c r="H31" s="68"/>
      <c r="I31" s="67"/>
      <c r="J31" s="41"/>
      <c r="K31" s="68"/>
      <c r="L31" s="69"/>
      <c r="M31" s="70"/>
      <c r="N31" s="71"/>
      <c r="O31" s="173"/>
      <c r="P31" s="178"/>
      <c r="Q31" s="170"/>
      <c r="R31" s="157"/>
      <c r="S31" s="167"/>
      <c r="T31" s="41"/>
      <c r="U31" s="68"/>
      <c r="V31" s="167"/>
      <c r="W31" s="41"/>
      <c r="X31" s="68"/>
      <c r="Y31" s="161"/>
      <c r="Z31" s="272"/>
      <c r="AA31" s="273"/>
      <c r="AB31" s="273"/>
      <c r="AC31" s="274"/>
    </row>
    <row r="32" spans="1:29" s="18" customFormat="1" ht="20.100000000000001" customHeight="1" x14ac:dyDescent="0.2">
      <c r="A32" s="63"/>
      <c r="B32" s="64"/>
      <c r="C32" s="63"/>
      <c r="D32" s="65"/>
      <c r="E32" s="66"/>
      <c r="F32" s="67"/>
      <c r="G32" s="41"/>
      <c r="H32" s="68"/>
      <c r="I32" s="67"/>
      <c r="J32" s="41"/>
      <c r="K32" s="68"/>
      <c r="L32" s="69"/>
      <c r="M32" s="70"/>
      <c r="N32" s="71"/>
      <c r="O32" s="173"/>
      <c r="P32" s="178"/>
      <c r="Q32" s="170"/>
      <c r="R32" s="157"/>
      <c r="S32" s="167"/>
      <c r="T32" s="41"/>
      <c r="U32" s="68"/>
      <c r="V32" s="167"/>
      <c r="W32" s="41"/>
      <c r="X32" s="68"/>
      <c r="Y32" s="161"/>
      <c r="Z32" s="272"/>
      <c r="AA32" s="273"/>
      <c r="AB32" s="273"/>
      <c r="AC32" s="274"/>
    </row>
    <row r="33" spans="1:29" s="18" customFormat="1" ht="20.100000000000001" customHeight="1" x14ac:dyDescent="0.2">
      <c r="A33" s="63"/>
      <c r="B33" s="64"/>
      <c r="C33" s="63"/>
      <c r="D33" s="65"/>
      <c r="E33" s="66"/>
      <c r="F33" s="67"/>
      <c r="G33" s="41"/>
      <c r="H33" s="68"/>
      <c r="I33" s="67"/>
      <c r="J33" s="41"/>
      <c r="K33" s="68"/>
      <c r="L33" s="69"/>
      <c r="M33" s="70"/>
      <c r="N33" s="71"/>
      <c r="O33" s="173"/>
      <c r="P33" s="178"/>
      <c r="Q33" s="170"/>
      <c r="R33" s="157"/>
      <c r="S33" s="167"/>
      <c r="T33" s="41"/>
      <c r="U33" s="68"/>
      <c r="V33" s="167"/>
      <c r="W33" s="41"/>
      <c r="X33" s="68"/>
      <c r="Y33" s="161"/>
      <c r="Z33" s="272"/>
      <c r="AA33" s="273"/>
      <c r="AB33" s="273"/>
      <c r="AC33" s="274"/>
    </row>
    <row r="34" spans="1:29" s="18" customFormat="1" ht="20.100000000000001" customHeight="1" x14ac:dyDescent="0.2">
      <c r="A34" s="63"/>
      <c r="B34" s="64"/>
      <c r="C34" s="63"/>
      <c r="D34" s="65"/>
      <c r="E34" s="66"/>
      <c r="F34" s="67"/>
      <c r="G34" s="41"/>
      <c r="H34" s="68"/>
      <c r="I34" s="67"/>
      <c r="J34" s="41"/>
      <c r="K34" s="68"/>
      <c r="L34" s="69"/>
      <c r="M34" s="70"/>
      <c r="N34" s="71"/>
      <c r="O34" s="173"/>
      <c r="P34" s="178"/>
      <c r="Q34" s="170"/>
      <c r="R34" s="157"/>
      <c r="S34" s="167"/>
      <c r="T34" s="41"/>
      <c r="U34" s="68"/>
      <c r="V34" s="167"/>
      <c r="W34" s="41"/>
      <c r="X34" s="68"/>
      <c r="Y34" s="161"/>
      <c r="Z34" s="272"/>
      <c r="AA34" s="273"/>
      <c r="AB34" s="273"/>
      <c r="AC34" s="274"/>
    </row>
    <row r="35" spans="1:29" s="18" customFormat="1" ht="20.100000000000001" customHeight="1" x14ac:dyDescent="0.2">
      <c r="A35" s="63"/>
      <c r="B35" s="64"/>
      <c r="C35" s="63"/>
      <c r="D35" s="65"/>
      <c r="E35" s="66"/>
      <c r="F35" s="67"/>
      <c r="G35" s="41"/>
      <c r="H35" s="68"/>
      <c r="I35" s="67"/>
      <c r="J35" s="41"/>
      <c r="K35" s="68"/>
      <c r="L35" s="69"/>
      <c r="M35" s="70"/>
      <c r="N35" s="71"/>
      <c r="O35" s="173"/>
      <c r="P35" s="178"/>
      <c r="Q35" s="170"/>
      <c r="R35" s="157"/>
      <c r="S35" s="167"/>
      <c r="T35" s="41"/>
      <c r="U35" s="68"/>
      <c r="V35" s="167"/>
      <c r="W35" s="41"/>
      <c r="X35" s="68"/>
      <c r="Y35" s="161"/>
      <c r="Z35" s="272"/>
      <c r="AA35" s="273"/>
      <c r="AB35" s="273"/>
      <c r="AC35" s="274"/>
    </row>
    <row r="36" spans="1:29" s="18" customFormat="1" ht="20.100000000000001" customHeight="1" x14ac:dyDescent="0.2">
      <c r="A36" s="63"/>
      <c r="B36" s="64"/>
      <c r="C36" s="63"/>
      <c r="D36" s="65"/>
      <c r="E36" s="66"/>
      <c r="F36" s="67"/>
      <c r="G36" s="41"/>
      <c r="H36" s="68"/>
      <c r="I36" s="67"/>
      <c r="J36" s="41"/>
      <c r="K36" s="68"/>
      <c r="L36" s="69"/>
      <c r="M36" s="70"/>
      <c r="N36" s="71"/>
      <c r="O36" s="173"/>
      <c r="P36" s="178"/>
      <c r="Q36" s="170"/>
      <c r="R36" s="157"/>
      <c r="S36" s="167"/>
      <c r="T36" s="41"/>
      <c r="U36" s="68"/>
      <c r="V36" s="167"/>
      <c r="W36" s="41"/>
      <c r="X36" s="68"/>
      <c r="Y36" s="161"/>
      <c r="Z36" s="272"/>
      <c r="AA36" s="273"/>
      <c r="AB36" s="273"/>
      <c r="AC36" s="274"/>
    </row>
    <row r="37" spans="1:29" s="18" customFormat="1" ht="20.100000000000001" customHeight="1" x14ac:dyDescent="0.2">
      <c r="A37" s="63"/>
      <c r="B37" s="64"/>
      <c r="C37" s="63"/>
      <c r="D37" s="65"/>
      <c r="E37" s="66"/>
      <c r="F37" s="67"/>
      <c r="G37" s="41"/>
      <c r="H37" s="68"/>
      <c r="I37" s="67"/>
      <c r="J37" s="41"/>
      <c r="K37" s="68"/>
      <c r="L37" s="69"/>
      <c r="M37" s="70"/>
      <c r="N37" s="71"/>
      <c r="O37" s="173"/>
      <c r="P37" s="178"/>
      <c r="Q37" s="170"/>
      <c r="R37" s="157"/>
      <c r="S37" s="167"/>
      <c r="T37" s="41"/>
      <c r="U37" s="68"/>
      <c r="V37" s="167"/>
      <c r="W37" s="41"/>
      <c r="X37" s="68"/>
      <c r="Y37" s="161"/>
      <c r="Z37" s="272"/>
      <c r="AA37" s="273"/>
      <c r="AB37" s="273"/>
      <c r="AC37" s="274"/>
    </row>
    <row r="38" spans="1:29" s="18" customFormat="1" ht="20.100000000000001" customHeight="1" x14ac:dyDescent="0.2">
      <c r="A38" s="63"/>
      <c r="B38" s="64"/>
      <c r="C38" s="63"/>
      <c r="D38" s="65"/>
      <c r="E38" s="66"/>
      <c r="F38" s="67"/>
      <c r="G38" s="41"/>
      <c r="H38" s="68"/>
      <c r="I38" s="67"/>
      <c r="J38" s="41"/>
      <c r="K38" s="68"/>
      <c r="L38" s="69"/>
      <c r="M38" s="70"/>
      <c r="N38" s="71"/>
      <c r="O38" s="173"/>
      <c r="P38" s="178"/>
      <c r="Q38" s="170"/>
      <c r="R38" s="157"/>
      <c r="S38" s="167"/>
      <c r="T38" s="41"/>
      <c r="U38" s="68"/>
      <c r="V38" s="167"/>
      <c r="W38" s="41"/>
      <c r="X38" s="68"/>
      <c r="Y38" s="161"/>
      <c r="Z38" s="272"/>
      <c r="AA38" s="273"/>
      <c r="AB38" s="273"/>
      <c r="AC38" s="274"/>
    </row>
    <row r="39" spans="1:29" s="18" customFormat="1" ht="20.100000000000001" customHeight="1" x14ac:dyDescent="0.2">
      <c r="A39" s="63"/>
      <c r="B39" s="64"/>
      <c r="C39" s="63"/>
      <c r="D39" s="65"/>
      <c r="E39" s="66"/>
      <c r="F39" s="67"/>
      <c r="G39" s="41"/>
      <c r="H39" s="68"/>
      <c r="I39" s="67"/>
      <c r="J39" s="41"/>
      <c r="K39" s="68"/>
      <c r="L39" s="69"/>
      <c r="M39" s="70"/>
      <c r="N39" s="71"/>
      <c r="O39" s="173"/>
      <c r="P39" s="178"/>
      <c r="Q39" s="170"/>
      <c r="R39" s="157"/>
      <c r="S39" s="167"/>
      <c r="T39" s="41"/>
      <c r="U39" s="68"/>
      <c r="V39" s="167"/>
      <c r="W39" s="41"/>
      <c r="X39" s="68"/>
      <c r="Y39" s="161"/>
      <c r="Z39" s="272"/>
      <c r="AA39" s="273"/>
      <c r="AB39" s="273"/>
      <c r="AC39" s="274"/>
    </row>
    <row r="40" spans="1:29" s="18" customFormat="1" ht="20.100000000000001" customHeight="1" x14ac:dyDescent="0.2">
      <c r="A40" s="63"/>
      <c r="B40" s="64"/>
      <c r="C40" s="63"/>
      <c r="D40" s="65"/>
      <c r="E40" s="66"/>
      <c r="F40" s="67"/>
      <c r="G40" s="41"/>
      <c r="H40" s="68"/>
      <c r="I40" s="67"/>
      <c r="J40" s="41"/>
      <c r="K40" s="68"/>
      <c r="L40" s="69"/>
      <c r="M40" s="70"/>
      <c r="N40" s="71"/>
      <c r="O40" s="173"/>
      <c r="P40" s="178"/>
      <c r="Q40" s="170"/>
      <c r="R40" s="157"/>
      <c r="S40" s="167"/>
      <c r="T40" s="41"/>
      <c r="U40" s="68"/>
      <c r="V40" s="167"/>
      <c r="W40" s="41"/>
      <c r="X40" s="68"/>
      <c r="Y40" s="161"/>
      <c r="Z40" s="272"/>
      <c r="AA40" s="273"/>
      <c r="AB40" s="273"/>
      <c r="AC40" s="274"/>
    </row>
    <row r="41" spans="1:29" s="18" customFormat="1" ht="20.100000000000001" customHeight="1" thickBot="1" x14ac:dyDescent="0.25">
      <c r="A41" s="73"/>
      <c r="B41" s="72"/>
      <c r="C41" s="73"/>
      <c r="D41" s="90"/>
      <c r="E41" s="91"/>
      <c r="F41" s="92"/>
      <c r="G41" s="93"/>
      <c r="H41" s="94"/>
      <c r="I41" s="92"/>
      <c r="J41" s="93"/>
      <c r="K41" s="94"/>
      <c r="L41" s="95"/>
      <c r="M41" s="96"/>
      <c r="N41" s="97"/>
      <c r="O41" s="174"/>
      <c r="P41" s="179"/>
      <c r="Q41" s="170"/>
      <c r="R41" s="157"/>
      <c r="S41" s="167"/>
      <c r="T41" s="41"/>
      <c r="U41" s="68"/>
      <c r="V41" s="167"/>
      <c r="W41" s="41"/>
      <c r="X41" s="68"/>
      <c r="Y41" s="161"/>
      <c r="Z41" s="272"/>
      <c r="AA41" s="273"/>
      <c r="AB41" s="273"/>
      <c r="AC41" s="274"/>
    </row>
    <row r="42" spans="1:29" s="18" customFormat="1" ht="20.100000000000001" customHeight="1" thickBot="1" x14ac:dyDescent="0.25">
      <c r="A42" s="74" t="s">
        <v>49</v>
      </c>
      <c r="B42" s="267">
        <f>SUM(B5:B41)</f>
        <v>0</v>
      </c>
      <c r="C42" s="268"/>
      <c r="D42" s="264"/>
      <c r="E42" s="265"/>
      <c r="F42" s="265"/>
      <c r="G42" s="265"/>
      <c r="H42" s="265"/>
      <c r="I42" s="265"/>
      <c r="J42" s="265"/>
      <c r="K42" s="265"/>
      <c r="L42" s="265"/>
      <c r="M42" s="265"/>
      <c r="N42" s="265"/>
      <c r="O42" s="265"/>
      <c r="P42" s="265"/>
      <c r="Q42" s="265"/>
      <c r="R42" s="265"/>
      <c r="S42" s="265"/>
      <c r="T42" s="265"/>
      <c r="U42" s="265"/>
      <c r="V42" s="265"/>
      <c r="W42" s="265"/>
      <c r="X42" s="265"/>
      <c r="Y42" s="265"/>
      <c r="Z42" s="265"/>
      <c r="AA42" s="265"/>
      <c r="AB42" s="265"/>
      <c r="AC42" s="266"/>
    </row>
    <row r="43" spans="1:29" s="18" customFormat="1" ht="20.100000000000001" customHeight="1" x14ac:dyDescent="0.2">
      <c r="A43" s="164" t="s">
        <v>25</v>
      </c>
      <c r="B43" s="279"/>
      <c r="C43" s="279"/>
      <c r="D43" s="279"/>
      <c r="E43" s="279"/>
      <c r="F43" s="279"/>
      <c r="G43" s="279"/>
      <c r="H43" s="279"/>
      <c r="I43" s="279"/>
      <c r="J43" s="279"/>
      <c r="K43" s="279"/>
      <c r="L43" s="279"/>
      <c r="M43" s="279"/>
      <c r="N43" s="279"/>
      <c r="O43" s="279"/>
      <c r="P43" s="279"/>
      <c r="Q43" s="279"/>
      <c r="R43" s="279"/>
      <c r="S43" s="279"/>
      <c r="T43" s="279"/>
      <c r="U43" s="279"/>
      <c r="V43" s="279"/>
      <c r="W43" s="279"/>
      <c r="X43" s="279"/>
      <c r="Y43" s="279"/>
      <c r="Z43" s="279"/>
      <c r="AA43" s="279"/>
      <c r="AB43" s="279"/>
      <c r="AC43" s="280"/>
    </row>
    <row r="44" spans="1:29" s="18" customFormat="1" ht="20.100000000000001" customHeight="1" x14ac:dyDescent="0.2">
      <c r="A44" s="272"/>
      <c r="B44" s="273"/>
      <c r="C44" s="273"/>
      <c r="D44" s="273"/>
      <c r="E44" s="273"/>
      <c r="F44" s="273"/>
      <c r="G44" s="273"/>
      <c r="H44" s="273"/>
      <c r="I44" s="273"/>
      <c r="J44" s="273"/>
      <c r="K44" s="273"/>
      <c r="L44" s="273"/>
      <c r="M44" s="273"/>
      <c r="N44" s="273"/>
      <c r="O44" s="273"/>
      <c r="P44" s="273"/>
      <c r="Q44" s="273"/>
      <c r="R44" s="273"/>
      <c r="S44" s="273"/>
      <c r="T44" s="273"/>
      <c r="U44" s="273"/>
      <c r="V44" s="273"/>
      <c r="W44" s="273"/>
      <c r="X44" s="273"/>
      <c r="Y44" s="273"/>
      <c r="Z44" s="273"/>
      <c r="AA44" s="273"/>
      <c r="AB44" s="273"/>
      <c r="AC44" s="274"/>
    </row>
    <row r="45" spans="1:29" s="18" customFormat="1" ht="20.100000000000001" customHeight="1" thickBot="1" x14ac:dyDescent="0.25">
      <c r="A45" s="261"/>
      <c r="B45" s="262"/>
      <c r="C45" s="262"/>
      <c r="D45" s="262"/>
      <c r="E45" s="262"/>
      <c r="F45" s="262"/>
      <c r="G45" s="262"/>
      <c r="H45" s="262"/>
      <c r="I45" s="262"/>
      <c r="J45" s="262"/>
      <c r="K45" s="262"/>
      <c r="L45" s="262"/>
      <c r="M45" s="262"/>
      <c r="N45" s="262"/>
      <c r="O45" s="262"/>
      <c r="P45" s="262"/>
      <c r="Q45" s="262"/>
      <c r="R45" s="262"/>
      <c r="S45" s="262"/>
      <c r="T45" s="262"/>
      <c r="U45" s="262"/>
      <c r="V45" s="262"/>
      <c r="W45" s="262"/>
      <c r="X45" s="262"/>
      <c r="Y45" s="262"/>
      <c r="Z45" s="262"/>
      <c r="AA45" s="262"/>
      <c r="AB45" s="262"/>
      <c r="AC45" s="263"/>
    </row>
    <row r="46" spans="1:29" s="18" customFormat="1" ht="17.45" customHeight="1" x14ac:dyDescent="0.2">
      <c r="A46" s="163"/>
      <c r="B46" s="163"/>
      <c r="C46" s="163"/>
      <c r="D46" s="163"/>
      <c r="E46" s="163"/>
      <c r="F46" s="163"/>
      <c r="G46" s="163"/>
      <c r="H46" s="163"/>
      <c r="I46" s="163"/>
      <c r="J46" s="163"/>
      <c r="K46" s="163"/>
      <c r="L46" s="163"/>
      <c r="M46" s="163"/>
      <c r="N46" s="163"/>
      <c r="O46" s="163"/>
      <c r="Z46" s="163"/>
      <c r="AA46" s="163"/>
      <c r="AB46" s="163"/>
    </row>
    <row r="47" spans="1:29" s="18" customFormat="1" ht="17.45" customHeight="1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Z47" s="17"/>
      <c r="AA47" s="17"/>
      <c r="AB47" s="17"/>
    </row>
    <row r="48" spans="1:29" s="18" customFormat="1" ht="17.45" customHeight="1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Z48" s="17"/>
      <c r="AA48" s="17"/>
      <c r="AB48" s="17"/>
    </row>
    <row r="49" spans="1:28" s="18" customFormat="1" ht="17.45" customHeight="1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Z49" s="17"/>
      <c r="AA49" s="17"/>
      <c r="AB49" s="17"/>
    </row>
    <row r="50" spans="1:28" s="18" customFormat="1" ht="17.45" customHeight="1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Z50" s="17"/>
      <c r="AA50" s="17"/>
      <c r="AB50" s="17"/>
    </row>
    <row r="51" spans="1:28" s="18" customFormat="1" ht="17.45" customHeight="1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Z51" s="17"/>
      <c r="AA51" s="17"/>
      <c r="AB51" s="17"/>
    </row>
    <row r="52" spans="1:28" s="18" customFormat="1" ht="15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Z52" s="17"/>
      <c r="AA52" s="17"/>
      <c r="AB52" s="17"/>
    </row>
    <row r="53" spans="1:28" s="18" customFormat="1" ht="15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Z53" s="17"/>
      <c r="AA53" s="17"/>
      <c r="AB53" s="17"/>
    </row>
    <row r="54" spans="1:28" s="18" customFormat="1" ht="15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Z54" s="17"/>
      <c r="AA54" s="17"/>
      <c r="AB54" s="17"/>
    </row>
    <row r="55" spans="1:28" s="18" customFormat="1" ht="15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Z55" s="17"/>
      <c r="AA55" s="17"/>
      <c r="AB55" s="17"/>
    </row>
  </sheetData>
  <sheetProtection password="FEA9" sheet="1" objects="1" scenarios="1"/>
  <dataConsolidate/>
  <mergeCells count="63">
    <mergeCell ref="Z33:AC33"/>
    <mergeCell ref="Z34:AC34"/>
    <mergeCell ref="Z35:AC35"/>
    <mergeCell ref="Z36:AC36"/>
    <mergeCell ref="Z41:AC41"/>
    <mergeCell ref="Z37:AC37"/>
    <mergeCell ref="Z38:AC38"/>
    <mergeCell ref="Z39:AC39"/>
    <mergeCell ref="Z40:AC40"/>
    <mergeCell ref="Z32:AC32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29:AC29"/>
    <mergeCell ref="Z30:AC30"/>
    <mergeCell ref="Z31:AC31"/>
    <mergeCell ref="AA1:AC1"/>
    <mergeCell ref="Z6:AC6"/>
    <mergeCell ref="Z3:AC4"/>
    <mergeCell ref="Z10:AC10"/>
    <mergeCell ref="Z13:AC13"/>
    <mergeCell ref="F3:H3"/>
    <mergeCell ref="D3:E4"/>
    <mergeCell ref="S3:U3"/>
    <mergeCell ref="T4:U4"/>
    <mergeCell ref="Y3:Y4"/>
    <mergeCell ref="C1:Y1"/>
    <mergeCell ref="V3:X3"/>
    <mergeCell ref="B43:AC43"/>
    <mergeCell ref="A44:AC44"/>
    <mergeCell ref="L3:M3"/>
    <mergeCell ref="G4:H4"/>
    <mergeCell ref="P3:R3"/>
    <mergeCell ref="A1:B1"/>
    <mergeCell ref="A2:B2"/>
    <mergeCell ref="A3:A4"/>
    <mergeCell ref="B3:B4"/>
    <mergeCell ref="C2:Y2"/>
    <mergeCell ref="C3:C4"/>
    <mergeCell ref="J4:K4"/>
    <mergeCell ref="I3:K3"/>
    <mergeCell ref="W4:X4"/>
    <mergeCell ref="A45:AC45"/>
    <mergeCell ref="D42:AC42"/>
    <mergeCell ref="B42:C42"/>
    <mergeCell ref="Z5:AC5"/>
    <mergeCell ref="Z7:AC7"/>
    <mergeCell ref="Z8:AC8"/>
    <mergeCell ref="Z9:AC9"/>
    <mergeCell ref="Z11:AC11"/>
    <mergeCell ref="Z12:AC12"/>
    <mergeCell ref="Z20:AC20"/>
    <mergeCell ref="Z14:AC14"/>
    <mergeCell ref="Z15:AC15"/>
    <mergeCell ref="Z16:AC16"/>
    <mergeCell ref="Z17:AC17"/>
    <mergeCell ref="Z18:AC18"/>
    <mergeCell ref="Z19:AC19"/>
  </mergeCells>
  <phoneticPr fontId="0" type="noConversion"/>
  <dataValidations count="5"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Q6:Q41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6:R41">
      <formula1>"TC,BC,BE,LE,RE"</formula1>
    </dataValidation>
    <dataValidation type="list" allowBlank="1" showInputMessage="1" showErrorMessage="1" errorTitle="Bad Input" error="Input for this cell must be one of the listed categories and all uppercase!" sqref="Q5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5">
      <formula1>"TC,BC,BE,LE,RE"</formula1>
    </dataValidation>
  </dataValidations>
  <printOptions horizontalCentered="1" verticalCentered="1"/>
  <pageMargins left="0.25" right="0.25" top="0.6" bottom="0.5" header="0.4" footer="0.25"/>
  <pageSetup scale="56" orientation="landscape" r:id="rId1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M50"/>
  <sheetViews>
    <sheetView workbookViewId="0">
      <selection activeCell="A4" sqref="A4"/>
    </sheetView>
  </sheetViews>
  <sheetFormatPr defaultRowHeight="15" x14ac:dyDescent="0.2"/>
  <cols>
    <col min="1" max="2" width="10.7109375" style="45" customWidth="1"/>
    <col min="3" max="3" width="8.7109375" style="45" customWidth="1"/>
    <col min="4" max="5" width="10.28515625" style="45" customWidth="1"/>
    <col min="6" max="6" width="18.7109375" style="46" customWidth="1"/>
    <col min="7" max="7" width="3.28515625" style="46" customWidth="1"/>
    <col min="8" max="9" width="10.7109375" style="45" customWidth="1"/>
    <col min="10" max="10" width="8.7109375" style="45" customWidth="1"/>
    <col min="11" max="12" width="10.28515625" style="45" customWidth="1"/>
    <col min="13" max="13" width="18.7109375" style="45" customWidth="1"/>
    <col min="14" max="16384" width="9.140625" style="45"/>
  </cols>
  <sheetData>
    <row r="1" spans="1:13" ht="20.100000000000001" customHeight="1" x14ac:dyDescent="0.2">
      <c r="A1" s="318" t="s">
        <v>29</v>
      </c>
      <c r="B1" s="319"/>
      <c r="C1" s="315" t="str">
        <f>IF(ISBLANK(Cover!D3),"",Cover!D3)</f>
        <v>*</v>
      </c>
      <c r="D1" s="315"/>
      <c r="E1" s="315"/>
      <c r="F1" s="315"/>
      <c r="G1" s="315"/>
      <c r="H1" s="315"/>
      <c r="I1" s="315"/>
      <c r="J1" s="47" t="s">
        <v>19</v>
      </c>
      <c r="K1" s="306" t="str">
        <f>IF(ISBLANK(Cover!O2),"",Cover!O2)</f>
        <v>*</v>
      </c>
      <c r="L1" s="306"/>
      <c r="M1" s="307"/>
    </row>
    <row r="2" spans="1:13" ht="20.100000000000001" customHeight="1" thickBot="1" x14ac:dyDescent="0.25">
      <c r="A2" s="320" t="s">
        <v>30</v>
      </c>
      <c r="B2" s="321"/>
      <c r="C2" s="314" t="str">
        <f>IF(ISBLANK(Cover!D4),"",Cover!D4)</f>
        <v>*</v>
      </c>
      <c r="D2" s="314"/>
      <c r="E2" s="314"/>
      <c r="F2" s="314"/>
      <c r="G2" s="314"/>
      <c r="H2" s="314"/>
      <c r="I2" s="314"/>
      <c r="J2" s="48" t="s">
        <v>38</v>
      </c>
      <c r="K2" s="59"/>
      <c r="L2" s="32" t="s">
        <v>45</v>
      </c>
      <c r="M2" s="33">
        <f>IF(ISBLANK(Cover!Q7),"",Cover!Q7)</f>
        <v>3</v>
      </c>
    </row>
    <row r="3" spans="1:13" ht="20.100000000000001" customHeight="1" thickBot="1" x14ac:dyDescent="0.3">
      <c r="A3" s="49" t="s">
        <v>15</v>
      </c>
      <c r="B3" s="49" t="s">
        <v>12</v>
      </c>
      <c r="C3" s="49" t="s">
        <v>21</v>
      </c>
      <c r="D3" s="49" t="s">
        <v>13</v>
      </c>
      <c r="E3" s="50" t="s">
        <v>4</v>
      </c>
      <c r="F3" s="49" t="s">
        <v>14</v>
      </c>
      <c r="G3" s="311"/>
      <c r="H3" s="49" t="s">
        <v>15</v>
      </c>
      <c r="I3" s="49" t="s">
        <v>12</v>
      </c>
      <c r="J3" s="49" t="s">
        <v>21</v>
      </c>
      <c r="K3" s="49" t="s">
        <v>13</v>
      </c>
      <c r="L3" s="50" t="s">
        <v>4</v>
      </c>
      <c r="M3" s="49" t="s">
        <v>14</v>
      </c>
    </row>
    <row r="4" spans="1:13" ht="20.100000000000001" customHeight="1" x14ac:dyDescent="0.2">
      <c r="A4" s="98"/>
      <c r="B4" s="99"/>
      <c r="C4" s="100"/>
      <c r="D4" s="101"/>
      <c r="E4" s="102"/>
      <c r="F4" s="103" t="str">
        <f>IF(ISBLANK(D4),"",D4*E4)</f>
        <v/>
      </c>
      <c r="G4" s="312"/>
      <c r="H4" s="98"/>
      <c r="I4" s="99"/>
      <c r="J4" s="100"/>
      <c r="K4" s="101"/>
      <c r="L4" s="102"/>
      <c r="M4" s="103" t="str">
        <f>IF(ISBLANK(K4),"",K4*L4)</f>
        <v/>
      </c>
    </row>
    <row r="5" spans="1:13" ht="20.100000000000001" customHeight="1" x14ac:dyDescent="0.2">
      <c r="A5" s="25"/>
      <c r="B5" s="51"/>
      <c r="C5" s="52"/>
      <c r="D5" s="43"/>
      <c r="E5" s="53"/>
      <c r="F5" s="54" t="str">
        <f t="shared" ref="F5:F24" si="0">IF(ISBLANK(D5),"",D5*E5)</f>
        <v/>
      </c>
      <c r="G5" s="312"/>
      <c r="H5" s="25"/>
      <c r="I5" s="51"/>
      <c r="J5" s="52"/>
      <c r="K5" s="43"/>
      <c r="L5" s="53"/>
      <c r="M5" s="54" t="str">
        <f t="shared" ref="M5:M24" si="1">IF(ISBLANK(K5),"",K5*L5)</f>
        <v/>
      </c>
    </row>
    <row r="6" spans="1:13" ht="20.100000000000001" customHeight="1" x14ac:dyDescent="0.2">
      <c r="A6" s="25"/>
      <c r="B6" s="51"/>
      <c r="C6" s="52"/>
      <c r="D6" s="43"/>
      <c r="E6" s="53"/>
      <c r="F6" s="54" t="str">
        <f t="shared" si="0"/>
        <v/>
      </c>
      <c r="G6" s="312"/>
      <c r="H6" s="25"/>
      <c r="I6" s="51"/>
      <c r="J6" s="52"/>
      <c r="K6" s="43"/>
      <c r="L6" s="53"/>
      <c r="M6" s="54" t="str">
        <f t="shared" si="1"/>
        <v/>
      </c>
    </row>
    <row r="7" spans="1:13" ht="20.100000000000001" customHeight="1" x14ac:dyDescent="0.2">
      <c r="A7" s="25"/>
      <c r="B7" s="51"/>
      <c r="C7" s="52"/>
      <c r="D7" s="43"/>
      <c r="E7" s="53"/>
      <c r="F7" s="54" t="str">
        <f t="shared" si="0"/>
        <v/>
      </c>
      <c r="G7" s="312"/>
      <c r="H7" s="25"/>
      <c r="I7" s="51"/>
      <c r="J7" s="52"/>
      <c r="K7" s="43"/>
      <c r="L7" s="53"/>
      <c r="M7" s="54" t="str">
        <f t="shared" si="1"/>
        <v/>
      </c>
    </row>
    <row r="8" spans="1:13" ht="20.100000000000001" customHeight="1" x14ac:dyDescent="0.2">
      <c r="A8" s="25"/>
      <c r="B8" s="51"/>
      <c r="C8" s="52"/>
      <c r="D8" s="43"/>
      <c r="E8" s="53"/>
      <c r="F8" s="54" t="str">
        <f t="shared" si="0"/>
        <v/>
      </c>
      <c r="G8" s="312"/>
      <c r="H8" s="25"/>
      <c r="I8" s="51"/>
      <c r="J8" s="52"/>
      <c r="K8" s="43"/>
      <c r="L8" s="53"/>
      <c r="M8" s="54" t="str">
        <f t="shared" si="1"/>
        <v/>
      </c>
    </row>
    <row r="9" spans="1:13" ht="20.100000000000001" customHeight="1" x14ac:dyDescent="0.2">
      <c r="A9" s="25"/>
      <c r="B9" s="51"/>
      <c r="C9" s="52"/>
      <c r="D9" s="43"/>
      <c r="E9" s="53"/>
      <c r="F9" s="54" t="str">
        <f t="shared" si="0"/>
        <v/>
      </c>
      <c r="G9" s="312"/>
      <c r="H9" s="25"/>
      <c r="I9" s="51"/>
      <c r="J9" s="52"/>
      <c r="K9" s="43"/>
      <c r="L9" s="53"/>
      <c r="M9" s="54" t="str">
        <f t="shared" si="1"/>
        <v/>
      </c>
    </row>
    <row r="10" spans="1:13" ht="20.100000000000001" customHeight="1" x14ac:dyDescent="0.2">
      <c r="A10" s="25"/>
      <c r="B10" s="51"/>
      <c r="C10" s="52"/>
      <c r="D10" s="43"/>
      <c r="E10" s="53"/>
      <c r="F10" s="54" t="str">
        <f t="shared" si="0"/>
        <v/>
      </c>
      <c r="G10" s="312"/>
      <c r="H10" s="25"/>
      <c r="I10" s="51"/>
      <c r="J10" s="52"/>
      <c r="K10" s="43"/>
      <c r="L10" s="53"/>
      <c r="M10" s="54" t="str">
        <f t="shared" si="1"/>
        <v/>
      </c>
    </row>
    <row r="11" spans="1:13" ht="20.100000000000001" customHeight="1" x14ac:dyDescent="0.2">
      <c r="A11" s="25"/>
      <c r="B11" s="51"/>
      <c r="C11" s="52"/>
      <c r="D11" s="43"/>
      <c r="E11" s="53"/>
      <c r="F11" s="54" t="str">
        <f t="shared" si="0"/>
        <v/>
      </c>
      <c r="G11" s="312"/>
      <c r="H11" s="25"/>
      <c r="I11" s="51"/>
      <c r="J11" s="52"/>
      <c r="K11" s="43"/>
      <c r="L11" s="53"/>
      <c r="M11" s="54" t="str">
        <f t="shared" si="1"/>
        <v/>
      </c>
    </row>
    <row r="12" spans="1:13" ht="20.100000000000001" customHeight="1" x14ac:dyDescent="0.2">
      <c r="A12" s="25"/>
      <c r="B12" s="51"/>
      <c r="C12" s="52"/>
      <c r="D12" s="43"/>
      <c r="E12" s="53"/>
      <c r="F12" s="54" t="str">
        <f t="shared" si="0"/>
        <v/>
      </c>
      <c r="G12" s="312"/>
      <c r="H12" s="25"/>
      <c r="I12" s="51"/>
      <c r="J12" s="52"/>
      <c r="K12" s="43"/>
      <c r="L12" s="53"/>
      <c r="M12" s="54" t="str">
        <f t="shared" si="1"/>
        <v/>
      </c>
    </row>
    <row r="13" spans="1:13" ht="20.100000000000001" customHeight="1" x14ac:dyDescent="0.2">
      <c r="A13" s="25"/>
      <c r="B13" s="51"/>
      <c r="C13" s="52"/>
      <c r="D13" s="43"/>
      <c r="E13" s="53"/>
      <c r="F13" s="54" t="str">
        <f t="shared" si="0"/>
        <v/>
      </c>
      <c r="G13" s="312"/>
      <c r="H13" s="25"/>
      <c r="I13" s="51"/>
      <c r="J13" s="52"/>
      <c r="K13" s="43"/>
      <c r="L13" s="53"/>
      <c r="M13" s="54" t="str">
        <f t="shared" si="1"/>
        <v/>
      </c>
    </row>
    <row r="14" spans="1:13" ht="20.100000000000001" customHeight="1" x14ac:dyDescent="0.2">
      <c r="A14" s="25"/>
      <c r="B14" s="51"/>
      <c r="C14" s="52"/>
      <c r="D14" s="43"/>
      <c r="E14" s="53"/>
      <c r="F14" s="54" t="str">
        <f t="shared" si="0"/>
        <v/>
      </c>
      <c r="G14" s="312"/>
      <c r="H14" s="25"/>
      <c r="I14" s="51"/>
      <c r="J14" s="52"/>
      <c r="K14" s="43"/>
      <c r="L14" s="53"/>
      <c r="M14" s="54" t="str">
        <f t="shared" si="1"/>
        <v/>
      </c>
    </row>
    <row r="15" spans="1:13" ht="20.100000000000001" customHeight="1" x14ac:dyDescent="0.2">
      <c r="A15" s="25"/>
      <c r="B15" s="51"/>
      <c r="C15" s="52"/>
      <c r="D15" s="43"/>
      <c r="E15" s="53"/>
      <c r="F15" s="54" t="str">
        <f t="shared" si="0"/>
        <v/>
      </c>
      <c r="G15" s="312"/>
      <c r="H15" s="25"/>
      <c r="I15" s="51"/>
      <c r="J15" s="52"/>
      <c r="K15" s="43"/>
      <c r="L15" s="53"/>
      <c r="M15" s="54" t="str">
        <f t="shared" si="1"/>
        <v/>
      </c>
    </row>
    <row r="16" spans="1:13" ht="20.100000000000001" customHeight="1" x14ac:dyDescent="0.2">
      <c r="A16" s="25"/>
      <c r="B16" s="51"/>
      <c r="C16" s="52"/>
      <c r="D16" s="43"/>
      <c r="E16" s="53"/>
      <c r="F16" s="54" t="str">
        <f t="shared" si="0"/>
        <v/>
      </c>
      <c r="G16" s="312"/>
      <c r="H16" s="25"/>
      <c r="I16" s="51"/>
      <c r="J16" s="52"/>
      <c r="K16" s="43"/>
      <c r="L16" s="53"/>
      <c r="M16" s="54" t="str">
        <f t="shared" si="1"/>
        <v/>
      </c>
    </row>
    <row r="17" spans="1:13" ht="20.100000000000001" customHeight="1" x14ac:dyDescent="0.2">
      <c r="A17" s="25"/>
      <c r="B17" s="51"/>
      <c r="C17" s="52"/>
      <c r="D17" s="43"/>
      <c r="E17" s="53"/>
      <c r="F17" s="54" t="str">
        <f t="shared" si="0"/>
        <v/>
      </c>
      <c r="G17" s="312"/>
      <c r="H17" s="25"/>
      <c r="I17" s="51"/>
      <c r="J17" s="52"/>
      <c r="K17" s="43"/>
      <c r="L17" s="53"/>
      <c r="M17" s="54" t="str">
        <f t="shared" si="1"/>
        <v/>
      </c>
    </row>
    <row r="18" spans="1:13" ht="20.100000000000001" customHeight="1" x14ac:dyDescent="0.2">
      <c r="A18" s="25"/>
      <c r="B18" s="51"/>
      <c r="C18" s="52"/>
      <c r="D18" s="43"/>
      <c r="E18" s="53"/>
      <c r="F18" s="54" t="str">
        <f t="shared" si="0"/>
        <v/>
      </c>
      <c r="G18" s="312"/>
      <c r="H18" s="25"/>
      <c r="I18" s="51"/>
      <c r="J18" s="52"/>
      <c r="K18" s="43"/>
      <c r="L18" s="53"/>
      <c r="M18" s="54" t="str">
        <f t="shared" si="1"/>
        <v/>
      </c>
    </row>
    <row r="19" spans="1:13" ht="20.100000000000001" customHeight="1" x14ac:dyDescent="0.2">
      <c r="A19" s="25"/>
      <c r="B19" s="51"/>
      <c r="C19" s="52"/>
      <c r="D19" s="43"/>
      <c r="E19" s="53"/>
      <c r="F19" s="54" t="str">
        <f t="shared" si="0"/>
        <v/>
      </c>
      <c r="G19" s="312"/>
      <c r="H19" s="25"/>
      <c r="I19" s="51"/>
      <c r="J19" s="52"/>
      <c r="K19" s="43"/>
      <c r="L19" s="53"/>
      <c r="M19" s="54" t="str">
        <f t="shared" si="1"/>
        <v/>
      </c>
    </row>
    <row r="20" spans="1:13" ht="20.100000000000001" customHeight="1" x14ac:dyDescent="0.2">
      <c r="A20" s="25"/>
      <c r="B20" s="51"/>
      <c r="C20" s="52"/>
      <c r="D20" s="43"/>
      <c r="E20" s="53"/>
      <c r="F20" s="54" t="str">
        <f t="shared" si="0"/>
        <v/>
      </c>
      <c r="G20" s="312"/>
      <c r="H20" s="25"/>
      <c r="I20" s="51"/>
      <c r="J20" s="52"/>
      <c r="K20" s="43"/>
      <c r="L20" s="53"/>
      <c r="M20" s="54" t="str">
        <f t="shared" si="1"/>
        <v/>
      </c>
    </row>
    <row r="21" spans="1:13" ht="20.100000000000001" customHeight="1" x14ac:dyDescent="0.2">
      <c r="A21" s="25"/>
      <c r="B21" s="51"/>
      <c r="C21" s="52"/>
      <c r="D21" s="43"/>
      <c r="E21" s="53"/>
      <c r="F21" s="54" t="str">
        <f t="shared" si="0"/>
        <v/>
      </c>
      <c r="G21" s="312"/>
      <c r="H21" s="25"/>
      <c r="I21" s="51"/>
      <c r="J21" s="52"/>
      <c r="K21" s="43"/>
      <c r="L21" s="53"/>
      <c r="M21" s="54" t="str">
        <f t="shared" si="1"/>
        <v/>
      </c>
    </row>
    <row r="22" spans="1:13" ht="20.100000000000001" customHeight="1" x14ac:dyDescent="0.2">
      <c r="A22" s="25"/>
      <c r="B22" s="51"/>
      <c r="C22" s="52"/>
      <c r="D22" s="43"/>
      <c r="E22" s="53"/>
      <c r="F22" s="54" t="str">
        <f t="shared" si="0"/>
        <v/>
      </c>
      <c r="G22" s="312"/>
      <c r="H22" s="25"/>
      <c r="I22" s="51"/>
      <c r="J22" s="52"/>
      <c r="K22" s="43"/>
      <c r="L22" s="53"/>
      <c r="M22" s="54" t="str">
        <f t="shared" si="1"/>
        <v/>
      </c>
    </row>
    <row r="23" spans="1:13" ht="20.100000000000001" customHeight="1" x14ac:dyDescent="0.2">
      <c r="A23" s="25"/>
      <c r="B23" s="51"/>
      <c r="C23" s="52"/>
      <c r="D23" s="43"/>
      <c r="E23" s="53"/>
      <c r="F23" s="54" t="str">
        <f t="shared" si="0"/>
        <v/>
      </c>
      <c r="G23" s="312"/>
      <c r="H23" s="25"/>
      <c r="I23" s="51"/>
      <c r="J23" s="52"/>
      <c r="K23" s="43"/>
      <c r="L23" s="53"/>
      <c r="M23" s="54" t="str">
        <f t="shared" si="1"/>
        <v/>
      </c>
    </row>
    <row r="24" spans="1:13" ht="20.100000000000001" customHeight="1" thickBot="1" x14ac:dyDescent="0.25">
      <c r="A24" s="104"/>
      <c r="B24" s="105"/>
      <c r="C24" s="106"/>
      <c r="D24" s="107"/>
      <c r="E24" s="108"/>
      <c r="F24" s="109" t="str">
        <f t="shared" si="0"/>
        <v/>
      </c>
      <c r="G24" s="312"/>
      <c r="H24" s="104"/>
      <c r="I24" s="105"/>
      <c r="J24" s="106"/>
      <c r="K24" s="107"/>
      <c r="L24" s="108"/>
      <c r="M24" s="109" t="str">
        <f t="shared" si="1"/>
        <v/>
      </c>
    </row>
    <row r="25" spans="1:13" ht="20.100000000000001" customHeight="1" thickBot="1" x14ac:dyDescent="0.25">
      <c r="A25" s="303"/>
      <c r="B25" s="304"/>
      <c r="C25" s="305"/>
      <c r="D25" s="301" t="s">
        <v>49</v>
      </c>
      <c r="E25" s="302"/>
      <c r="F25" s="1">
        <f>ROUNDUP(SUM(F4:F24)*1.02,-1)</f>
        <v>0</v>
      </c>
      <c r="G25" s="312"/>
      <c r="H25" s="303"/>
      <c r="I25" s="304"/>
      <c r="J25" s="305"/>
      <c r="K25" s="301" t="s">
        <v>49</v>
      </c>
      <c r="L25" s="302"/>
      <c r="M25" s="1">
        <f>ROUNDUP(SUM(M4:M24)*1.02,-1)</f>
        <v>0</v>
      </c>
    </row>
    <row r="26" spans="1:13" ht="20.100000000000001" customHeight="1" x14ac:dyDescent="0.2">
      <c r="A26" s="98"/>
      <c r="B26" s="99"/>
      <c r="C26" s="100"/>
      <c r="D26" s="101"/>
      <c r="E26" s="102"/>
      <c r="F26" s="103" t="str">
        <f t="shared" ref="F26:F46" si="2">IF(ISBLANK(D26),"",D26*E26)</f>
        <v/>
      </c>
      <c r="G26" s="312"/>
      <c r="H26" s="98"/>
      <c r="I26" s="99"/>
      <c r="J26" s="100"/>
      <c r="K26" s="101"/>
      <c r="L26" s="102"/>
      <c r="M26" s="103" t="str">
        <f t="shared" ref="M26:M46" si="3">IF(ISBLANK(K26),"",K26*L26)</f>
        <v/>
      </c>
    </row>
    <row r="27" spans="1:13" ht="20.100000000000001" customHeight="1" x14ac:dyDescent="0.2">
      <c r="A27" s="25"/>
      <c r="B27" s="51"/>
      <c r="C27" s="52"/>
      <c r="D27" s="43"/>
      <c r="E27" s="53"/>
      <c r="F27" s="54" t="str">
        <f t="shared" si="2"/>
        <v/>
      </c>
      <c r="G27" s="312"/>
      <c r="H27" s="25"/>
      <c r="I27" s="51"/>
      <c r="J27" s="52"/>
      <c r="K27" s="43"/>
      <c r="L27" s="53"/>
      <c r="M27" s="54" t="str">
        <f t="shared" si="3"/>
        <v/>
      </c>
    </row>
    <row r="28" spans="1:13" ht="20.100000000000001" customHeight="1" x14ac:dyDescent="0.2">
      <c r="A28" s="25"/>
      <c r="B28" s="51"/>
      <c r="C28" s="52"/>
      <c r="D28" s="43"/>
      <c r="E28" s="53"/>
      <c r="F28" s="54" t="str">
        <f t="shared" si="2"/>
        <v/>
      </c>
      <c r="G28" s="312"/>
      <c r="H28" s="25"/>
      <c r="I28" s="51"/>
      <c r="J28" s="52"/>
      <c r="K28" s="43"/>
      <c r="L28" s="53"/>
      <c r="M28" s="54" t="str">
        <f t="shared" si="3"/>
        <v/>
      </c>
    </row>
    <row r="29" spans="1:13" ht="20.100000000000001" customHeight="1" x14ac:dyDescent="0.2">
      <c r="A29" s="25"/>
      <c r="B29" s="51"/>
      <c r="C29" s="52"/>
      <c r="D29" s="43"/>
      <c r="E29" s="53"/>
      <c r="F29" s="54" t="str">
        <f t="shared" si="2"/>
        <v/>
      </c>
      <c r="G29" s="312"/>
      <c r="H29" s="25"/>
      <c r="I29" s="51"/>
      <c r="J29" s="52"/>
      <c r="K29" s="43"/>
      <c r="L29" s="53"/>
      <c r="M29" s="54" t="str">
        <f t="shared" si="3"/>
        <v/>
      </c>
    </row>
    <row r="30" spans="1:13" ht="20.100000000000001" customHeight="1" x14ac:dyDescent="0.2">
      <c r="A30" s="25"/>
      <c r="B30" s="51"/>
      <c r="C30" s="52"/>
      <c r="D30" s="43"/>
      <c r="E30" s="53"/>
      <c r="F30" s="54" t="str">
        <f t="shared" si="2"/>
        <v/>
      </c>
      <c r="G30" s="312"/>
      <c r="H30" s="25"/>
      <c r="I30" s="51"/>
      <c r="J30" s="52"/>
      <c r="K30" s="43"/>
      <c r="L30" s="53"/>
      <c r="M30" s="54" t="str">
        <f t="shared" si="3"/>
        <v/>
      </c>
    </row>
    <row r="31" spans="1:13" ht="20.100000000000001" customHeight="1" x14ac:dyDescent="0.2">
      <c r="A31" s="25"/>
      <c r="B31" s="51"/>
      <c r="C31" s="52"/>
      <c r="D31" s="43"/>
      <c r="E31" s="53"/>
      <c r="F31" s="54" t="str">
        <f t="shared" si="2"/>
        <v/>
      </c>
      <c r="G31" s="312"/>
      <c r="H31" s="25"/>
      <c r="I31" s="51"/>
      <c r="J31" s="52"/>
      <c r="K31" s="43"/>
      <c r="L31" s="53"/>
      <c r="M31" s="54" t="str">
        <f t="shared" si="3"/>
        <v/>
      </c>
    </row>
    <row r="32" spans="1:13" ht="20.100000000000001" customHeight="1" x14ac:dyDescent="0.2">
      <c r="A32" s="25"/>
      <c r="B32" s="51"/>
      <c r="C32" s="52"/>
      <c r="D32" s="43"/>
      <c r="E32" s="53"/>
      <c r="F32" s="54" t="str">
        <f t="shared" si="2"/>
        <v/>
      </c>
      <c r="G32" s="312"/>
      <c r="H32" s="25"/>
      <c r="I32" s="51"/>
      <c r="J32" s="52"/>
      <c r="K32" s="43"/>
      <c r="L32" s="53"/>
      <c r="M32" s="54" t="str">
        <f t="shared" si="3"/>
        <v/>
      </c>
    </row>
    <row r="33" spans="1:13" ht="20.100000000000001" customHeight="1" x14ac:dyDescent="0.2">
      <c r="A33" s="25"/>
      <c r="B33" s="51"/>
      <c r="C33" s="52"/>
      <c r="D33" s="43"/>
      <c r="E33" s="53"/>
      <c r="F33" s="54" t="str">
        <f t="shared" si="2"/>
        <v/>
      </c>
      <c r="G33" s="312"/>
      <c r="H33" s="25"/>
      <c r="I33" s="51"/>
      <c r="J33" s="52"/>
      <c r="K33" s="43"/>
      <c r="L33" s="53"/>
      <c r="M33" s="54" t="str">
        <f t="shared" si="3"/>
        <v/>
      </c>
    </row>
    <row r="34" spans="1:13" ht="20.100000000000001" customHeight="1" x14ac:dyDescent="0.2">
      <c r="A34" s="25"/>
      <c r="B34" s="51"/>
      <c r="C34" s="52"/>
      <c r="D34" s="43"/>
      <c r="E34" s="53"/>
      <c r="F34" s="54" t="str">
        <f t="shared" si="2"/>
        <v/>
      </c>
      <c r="G34" s="312"/>
      <c r="H34" s="25"/>
      <c r="I34" s="51"/>
      <c r="J34" s="52"/>
      <c r="K34" s="43"/>
      <c r="L34" s="53"/>
      <c r="M34" s="54" t="str">
        <f t="shared" si="3"/>
        <v/>
      </c>
    </row>
    <row r="35" spans="1:13" ht="20.100000000000001" customHeight="1" x14ac:dyDescent="0.2">
      <c r="A35" s="25"/>
      <c r="B35" s="51"/>
      <c r="C35" s="52"/>
      <c r="D35" s="43"/>
      <c r="E35" s="53"/>
      <c r="F35" s="54" t="str">
        <f t="shared" si="2"/>
        <v/>
      </c>
      <c r="G35" s="312"/>
      <c r="H35" s="25"/>
      <c r="I35" s="51"/>
      <c r="J35" s="52"/>
      <c r="K35" s="43"/>
      <c r="L35" s="53"/>
      <c r="M35" s="54" t="str">
        <f t="shared" si="3"/>
        <v/>
      </c>
    </row>
    <row r="36" spans="1:13" ht="20.100000000000001" customHeight="1" x14ac:dyDescent="0.2">
      <c r="A36" s="25"/>
      <c r="B36" s="51"/>
      <c r="C36" s="52"/>
      <c r="D36" s="43"/>
      <c r="E36" s="53"/>
      <c r="F36" s="54" t="str">
        <f t="shared" si="2"/>
        <v/>
      </c>
      <c r="G36" s="312"/>
      <c r="H36" s="25"/>
      <c r="I36" s="51"/>
      <c r="J36" s="52"/>
      <c r="K36" s="43"/>
      <c r="L36" s="53"/>
      <c r="M36" s="54" t="str">
        <f t="shared" si="3"/>
        <v/>
      </c>
    </row>
    <row r="37" spans="1:13" ht="20.100000000000001" customHeight="1" x14ac:dyDescent="0.2">
      <c r="A37" s="25"/>
      <c r="B37" s="51"/>
      <c r="C37" s="52"/>
      <c r="D37" s="43"/>
      <c r="E37" s="53"/>
      <c r="F37" s="54" t="str">
        <f t="shared" si="2"/>
        <v/>
      </c>
      <c r="G37" s="312"/>
      <c r="H37" s="25"/>
      <c r="I37" s="51"/>
      <c r="J37" s="52"/>
      <c r="K37" s="43"/>
      <c r="L37" s="53"/>
      <c r="M37" s="54" t="str">
        <f t="shared" si="3"/>
        <v/>
      </c>
    </row>
    <row r="38" spans="1:13" ht="20.100000000000001" customHeight="1" x14ac:dyDescent="0.2">
      <c r="A38" s="25"/>
      <c r="B38" s="51"/>
      <c r="C38" s="52"/>
      <c r="D38" s="43"/>
      <c r="E38" s="53"/>
      <c r="F38" s="54" t="str">
        <f t="shared" si="2"/>
        <v/>
      </c>
      <c r="G38" s="312"/>
      <c r="H38" s="25"/>
      <c r="I38" s="51"/>
      <c r="J38" s="52"/>
      <c r="K38" s="43"/>
      <c r="L38" s="53"/>
      <c r="M38" s="54" t="str">
        <f t="shared" si="3"/>
        <v/>
      </c>
    </row>
    <row r="39" spans="1:13" ht="20.100000000000001" customHeight="1" x14ac:dyDescent="0.2">
      <c r="A39" s="25"/>
      <c r="B39" s="51"/>
      <c r="C39" s="52"/>
      <c r="D39" s="43"/>
      <c r="E39" s="53"/>
      <c r="F39" s="54" t="str">
        <f t="shared" si="2"/>
        <v/>
      </c>
      <c r="G39" s="312"/>
      <c r="H39" s="25"/>
      <c r="I39" s="51"/>
      <c r="J39" s="52"/>
      <c r="K39" s="43"/>
      <c r="L39" s="53"/>
      <c r="M39" s="54" t="str">
        <f t="shared" si="3"/>
        <v/>
      </c>
    </row>
    <row r="40" spans="1:13" ht="20.100000000000001" customHeight="1" x14ac:dyDescent="0.2">
      <c r="A40" s="25"/>
      <c r="B40" s="51"/>
      <c r="C40" s="52"/>
      <c r="D40" s="43"/>
      <c r="E40" s="53"/>
      <c r="F40" s="54" t="str">
        <f t="shared" si="2"/>
        <v/>
      </c>
      <c r="G40" s="312"/>
      <c r="H40" s="25"/>
      <c r="I40" s="51"/>
      <c r="J40" s="52"/>
      <c r="K40" s="43"/>
      <c r="L40" s="53"/>
      <c r="M40" s="54" t="str">
        <f t="shared" si="3"/>
        <v/>
      </c>
    </row>
    <row r="41" spans="1:13" ht="20.100000000000001" customHeight="1" x14ac:dyDescent="0.2">
      <c r="A41" s="25"/>
      <c r="B41" s="51"/>
      <c r="C41" s="52"/>
      <c r="D41" s="43"/>
      <c r="E41" s="53"/>
      <c r="F41" s="54" t="str">
        <f t="shared" si="2"/>
        <v/>
      </c>
      <c r="G41" s="312"/>
      <c r="H41" s="25"/>
      <c r="I41" s="51"/>
      <c r="J41" s="52"/>
      <c r="K41" s="43"/>
      <c r="L41" s="53"/>
      <c r="M41" s="54" t="str">
        <f t="shared" si="3"/>
        <v/>
      </c>
    </row>
    <row r="42" spans="1:13" ht="20.100000000000001" customHeight="1" x14ac:dyDescent="0.2">
      <c r="A42" s="25"/>
      <c r="B42" s="51"/>
      <c r="C42" s="52"/>
      <c r="D42" s="43"/>
      <c r="E42" s="53"/>
      <c r="F42" s="54" t="str">
        <f t="shared" si="2"/>
        <v/>
      </c>
      <c r="G42" s="312"/>
      <c r="H42" s="25"/>
      <c r="I42" s="51"/>
      <c r="J42" s="52"/>
      <c r="K42" s="43"/>
      <c r="L42" s="53"/>
      <c r="M42" s="54" t="str">
        <f t="shared" si="3"/>
        <v/>
      </c>
    </row>
    <row r="43" spans="1:13" ht="20.100000000000001" customHeight="1" x14ac:dyDescent="0.2">
      <c r="A43" s="25"/>
      <c r="B43" s="51"/>
      <c r="C43" s="52"/>
      <c r="D43" s="43"/>
      <c r="E43" s="53"/>
      <c r="F43" s="54" t="str">
        <f t="shared" si="2"/>
        <v/>
      </c>
      <c r="G43" s="312"/>
      <c r="H43" s="25"/>
      <c r="I43" s="51"/>
      <c r="J43" s="52"/>
      <c r="K43" s="43"/>
      <c r="L43" s="53"/>
      <c r="M43" s="54" t="str">
        <f t="shared" si="3"/>
        <v/>
      </c>
    </row>
    <row r="44" spans="1:13" ht="20.100000000000001" customHeight="1" x14ac:dyDescent="0.2">
      <c r="A44" s="25"/>
      <c r="B44" s="51"/>
      <c r="C44" s="52"/>
      <c r="D44" s="43"/>
      <c r="E44" s="53"/>
      <c r="F44" s="54" t="str">
        <f t="shared" si="2"/>
        <v/>
      </c>
      <c r="G44" s="312"/>
      <c r="H44" s="25"/>
      <c r="I44" s="51"/>
      <c r="J44" s="52"/>
      <c r="K44" s="43"/>
      <c r="L44" s="53"/>
      <c r="M44" s="54" t="str">
        <f t="shared" si="3"/>
        <v/>
      </c>
    </row>
    <row r="45" spans="1:13" ht="20.100000000000001" customHeight="1" x14ac:dyDescent="0.2">
      <c r="A45" s="25"/>
      <c r="B45" s="51"/>
      <c r="C45" s="52"/>
      <c r="D45" s="43"/>
      <c r="E45" s="53"/>
      <c r="F45" s="54" t="str">
        <f t="shared" si="2"/>
        <v/>
      </c>
      <c r="G45" s="312"/>
      <c r="H45" s="25"/>
      <c r="I45" s="51"/>
      <c r="J45" s="52"/>
      <c r="K45" s="43"/>
      <c r="L45" s="53"/>
      <c r="M45" s="54" t="str">
        <f t="shared" si="3"/>
        <v/>
      </c>
    </row>
    <row r="46" spans="1:13" ht="20.100000000000001" customHeight="1" thickBot="1" x14ac:dyDescent="0.25">
      <c r="A46" s="104"/>
      <c r="B46" s="105"/>
      <c r="C46" s="106"/>
      <c r="D46" s="107"/>
      <c r="E46" s="108"/>
      <c r="F46" s="109" t="str">
        <f t="shared" si="2"/>
        <v/>
      </c>
      <c r="G46" s="312"/>
      <c r="H46" s="104"/>
      <c r="I46" s="105"/>
      <c r="J46" s="106"/>
      <c r="K46" s="107"/>
      <c r="L46" s="108"/>
      <c r="M46" s="109" t="str">
        <f t="shared" si="3"/>
        <v/>
      </c>
    </row>
    <row r="47" spans="1:13" ht="20.100000000000001" customHeight="1" thickBot="1" x14ac:dyDescent="0.25">
      <c r="A47" s="303"/>
      <c r="B47" s="304"/>
      <c r="C47" s="305"/>
      <c r="D47" s="301" t="s">
        <v>49</v>
      </c>
      <c r="E47" s="302"/>
      <c r="F47" s="1">
        <f>ROUNDUP(SUM(F26:F46)*1.02,-1)</f>
        <v>0</v>
      </c>
      <c r="G47" s="312"/>
      <c r="H47" s="303"/>
      <c r="I47" s="304"/>
      <c r="J47" s="305"/>
      <c r="K47" s="301" t="s">
        <v>49</v>
      </c>
      <c r="L47" s="302"/>
      <c r="M47" s="1">
        <f>ROUNDUP(SUM(M26:M46)*1.02,-1)</f>
        <v>0</v>
      </c>
    </row>
    <row r="48" spans="1:13" ht="9.9499999999999993" customHeight="1" thickBot="1" x14ac:dyDescent="0.25">
      <c r="A48" s="308"/>
      <c r="B48" s="309"/>
      <c r="C48" s="309"/>
      <c r="D48" s="309"/>
      <c r="E48" s="309"/>
      <c r="F48" s="310"/>
      <c r="G48" s="312"/>
      <c r="H48" s="308"/>
      <c r="I48" s="309"/>
      <c r="J48" s="309"/>
      <c r="K48" s="309"/>
      <c r="L48" s="309"/>
      <c r="M48" s="310"/>
    </row>
    <row r="49" spans="1:13" ht="20.100000000000001" customHeight="1" thickBot="1" x14ac:dyDescent="0.3">
      <c r="A49" s="316" t="s">
        <v>31</v>
      </c>
      <c r="B49" s="49" t="s">
        <v>12</v>
      </c>
      <c r="C49" s="2"/>
      <c r="D49" s="49" t="s">
        <v>48</v>
      </c>
      <c r="E49" s="50" t="s">
        <v>4</v>
      </c>
      <c r="F49" s="49" t="s">
        <v>14</v>
      </c>
      <c r="G49" s="312"/>
      <c r="H49" s="316" t="s">
        <v>32</v>
      </c>
      <c r="I49" s="49" t="s">
        <v>12</v>
      </c>
      <c r="J49" s="2"/>
      <c r="K49" s="49" t="s">
        <v>48</v>
      </c>
      <c r="L49" s="50" t="s">
        <v>4</v>
      </c>
      <c r="M49" s="49" t="s">
        <v>14</v>
      </c>
    </row>
    <row r="50" spans="1:13" ht="20.100000000000001" customHeight="1" thickBot="1" x14ac:dyDescent="0.25">
      <c r="A50" s="317"/>
      <c r="B50" s="55"/>
      <c r="C50" s="3"/>
      <c r="D50" s="56"/>
      <c r="E50" s="57"/>
      <c r="F50" s="58" t="str">
        <f>IF(ISBLANK(D50),"",ROUNDUP((D50*E50)*0.5*1.02,-1))</f>
        <v/>
      </c>
      <c r="G50" s="313"/>
      <c r="H50" s="317"/>
      <c r="I50" s="55"/>
      <c r="J50" s="3"/>
      <c r="K50" s="56"/>
      <c r="L50" s="57"/>
      <c r="M50" s="58" t="str">
        <f>IF(ISBLANK(K50),"",ROUNDUP((K50*L50)*0.5*1.02,-1))</f>
        <v/>
      </c>
    </row>
  </sheetData>
  <sheetProtection password="FEA9" sheet="1" objects="1" scenarios="1"/>
  <mergeCells count="18">
    <mergeCell ref="K1:M1"/>
    <mergeCell ref="A48:F48"/>
    <mergeCell ref="H48:M48"/>
    <mergeCell ref="G3:G50"/>
    <mergeCell ref="C2:I2"/>
    <mergeCell ref="C1:I1"/>
    <mergeCell ref="A49:A50"/>
    <mergeCell ref="H49:H50"/>
    <mergeCell ref="A1:B1"/>
    <mergeCell ref="A2:B2"/>
    <mergeCell ref="H47:J47"/>
    <mergeCell ref="K47:L47"/>
    <mergeCell ref="H25:J25"/>
    <mergeCell ref="K25:L25"/>
    <mergeCell ref="A25:C25"/>
    <mergeCell ref="A47:C47"/>
    <mergeCell ref="D47:E47"/>
    <mergeCell ref="D25:E25"/>
  </mergeCells>
  <phoneticPr fontId="0" type="noConversion"/>
  <printOptions horizontalCentered="1"/>
  <pageMargins left="0.25" right="0.25" top="0.75" bottom="0.5" header="0.5" footer="0.25"/>
  <pageSetup scale="70" orientation="portrait" horizontalDpi="300" verticalDpi="300" r:id="rId1"/>
  <headerFooter alignWithMargins="0">
    <oddHeader xml:space="preserve">&amp;C&amp;"Arial,Bold"&amp;16NMBS BRIDGING WORKSHEET&amp;R
</oddHeader>
    <oddFooter>&amp;L&amp;9Form Revised: 2/12/2008
File: &amp;F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X54"/>
  <sheetViews>
    <sheetView workbookViewId="0">
      <selection activeCell="A4" sqref="A4"/>
    </sheetView>
  </sheetViews>
  <sheetFormatPr defaultRowHeight="15" x14ac:dyDescent="0.2"/>
  <cols>
    <col min="1" max="3" width="10.7109375" style="8" customWidth="1"/>
    <col min="4" max="4" width="5.7109375" style="8" customWidth="1"/>
    <col min="5" max="5" width="8.7109375" style="8" customWidth="1"/>
    <col min="6" max="6" width="5.7109375" style="8" customWidth="1"/>
    <col min="7" max="7" width="8.7109375" style="8" customWidth="1"/>
    <col min="8" max="8" width="14.7109375" style="18" customWidth="1"/>
    <col min="9" max="9" width="3.28515625" style="18" customWidth="1"/>
    <col min="10" max="10" width="10.7109375" style="8" customWidth="1"/>
    <col min="11" max="12" width="9.7109375" style="8" customWidth="1"/>
    <col min="13" max="13" width="5.7109375" style="8" customWidth="1"/>
    <col min="14" max="14" width="8.7109375" style="8" customWidth="1"/>
    <col min="15" max="15" width="5.7109375" style="8" customWidth="1"/>
    <col min="16" max="16" width="8.7109375" style="8" customWidth="1"/>
    <col min="17" max="17" width="14.7109375" style="8" customWidth="1"/>
    <col min="18" max="18" width="4.42578125" style="8" customWidth="1"/>
    <col min="19" max="19" width="6.7109375" style="16" customWidth="1"/>
    <col min="20" max="20" width="8.28515625" style="16" customWidth="1"/>
    <col min="21" max="21" width="6.7109375" style="8" customWidth="1"/>
    <col min="22" max="22" width="6.7109375" style="16" customWidth="1"/>
    <col min="23" max="23" width="8.28515625" style="16" customWidth="1"/>
    <col min="24" max="24" width="6.7109375" style="8" customWidth="1"/>
    <col min="25" max="16384" width="9.140625" style="8"/>
  </cols>
  <sheetData>
    <row r="1" spans="1:24" ht="20.100000000000001" customHeight="1" thickBot="1" x14ac:dyDescent="0.25">
      <c r="A1" s="252" t="s">
        <v>29</v>
      </c>
      <c r="B1" s="253"/>
      <c r="C1" s="275" t="str">
        <f>IF(ISBLANK(Cover!D3),"",Cover!D3)</f>
        <v>*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2" t="s">
        <v>19</v>
      </c>
      <c r="O1" s="293" t="str">
        <f>IF(ISBLANK(Cover!O2),"",Cover!O2)</f>
        <v>*</v>
      </c>
      <c r="P1" s="293"/>
      <c r="Q1" s="294"/>
      <c r="S1" s="328"/>
      <c r="T1" s="329"/>
      <c r="U1" s="329"/>
      <c r="V1" s="329"/>
      <c r="W1" s="329"/>
      <c r="X1" s="329"/>
    </row>
    <row r="2" spans="1:24" ht="20.100000000000001" customHeight="1" thickBot="1" x14ac:dyDescent="0.25">
      <c r="A2" s="254" t="s">
        <v>30</v>
      </c>
      <c r="B2" s="255"/>
      <c r="C2" s="343" t="str">
        <f>IF(ISBLANK(Cover!D4),"",Cover!D4)</f>
        <v>*</v>
      </c>
      <c r="D2" s="343"/>
      <c r="E2" s="343"/>
      <c r="F2" s="343"/>
      <c r="G2" s="343"/>
      <c r="H2" s="343"/>
      <c r="I2" s="343"/>
      <c r="J2" s="343"/>
      <c r="K2" s="343"/>
      <c r="L2" s="343"/>
      <c r="M2" s="343"/>
      <c r="N2" s="21" t="s">
        <v>38</v>
      </c>
      <c r="O2" s="59"/>
      <c r="P2" s="32" t="s">
        <v>45</v>
      </c>
      <c r="Q2" s="33">
        <f>IF(ISBLANK(Cover!Q7),"",Cover!Q7)</f>
        <v>3</v>
      </c>
      <c r="S2" s="330" t="s">
        <v>90</v>
      </c>
      <c r="T2" s="331"/>
      <c r="U2" s="331"/>
      <c r="V2" s="331"/>
      <c r="W2" s="331"/>
      <c r="X2" s="332"/>
    </row>
    <row r="3" spans="1:24" ht="20.100000000000001" customHeight="1" thickBot="1" x14ac:dyDescent="0.3">
      <c r="A3" s="34" t="s">
        <v>15</v>
      </c>
      <c r="B3" s="324" t="s">
        <v>16</v>
      </c>
      <c r="C3" s="325"/>
      <c r="D3" s="34"/>
      <c r="E3" s="324" t="s">
        <v>17</v>
      </c>
      <c r="F3" s="325"/>
      <c r="G3" s="34" t="s">
        <v>4</v>
      </c>
      <c r="H3" s="34" t="s">
        <v>18</v>
      </c>
      <c r="I3" s="338"/>
      <c r="J3" s="34" t="s">
        <v>15</v>
      </c>
      <c r="K3" s="324" t="s">
        <v>16</v>
      </c>
      <c r="L3" s="325"/>
      <c r="M3" s="34"/>
      <c r="N3" s="324" t="s">
        <v>17</v>
      </c>
      <c r="O3" s="325"/>
      <c r="P3" s="34" t="s">
        <v>4</v>
      </c>
      <c r="Q3" s="34" t="s">
        <v>18</v>
      </c>
      <c r="S3" s="204" t="s">
        <v>87</v>
      </c>
      <c r="T3" s="205" t="s">
        <v>88</v>
      </c>
      <c r="U3" s="206" t="s">
        <v>89</v>
      </c>
      <c r="V3" s="207" t="s">
        <v>87</v>
      </c>
      <c r="W3" s="205" t="s">
        <v>88</v>
      </c>
      <c r="X3" s="208" t="s">
        <v>89</v>
      </c>
    </row>
    <row r="4" spans="1:24" ht="20.100000000000001" customHeight="1" x14ac:dyDescent="0.2">
      <c r="A4" s="111"/>
      <c r="B4" s="326"/>
      <c r="C4" s="327"/>
      <c r="D4" s="112"/>
      <c r="E4" s="85"/>
      <c r="F4" s="113"/>
      <c r="G4" s="114"/>
      <c r="H4" s="115" t="str">
        <f>IF(ISBLANK(E4),"",IF(D4="X",((E4+(F4/12))*G4)/100*0.5,((E4+(F4/12))*G4)/100))</f>
        <v/>
      </c>
      <c r="I4" s="339"/>
      <c r="J4" s="111"/>
      <c r="K4" s="326"/>
      <c r="L4" s="327"/>
      <c r="M4" s="112"/>
      <c r="N4" s="85"/>
      <c r="O4" s="113"/>
      <c r="P4" s="114"/>
      <c r="Q4" s="115" t="str">
        <f>IF(ISBLANK(N4),"",IF(M4="X",((N4+(O4/12))*P4)/100*0.5,((N4+(O4/12))*P4)/100))</f>
        <v/>
      </c>
      <c r="S4" s="181"/>
      <c r="T4" s="202"/>
      <c r="U4" s="182"/>
      <c r="V4" s="183"/>
      <c r="W4" s="202"/>
      <c r="X4" s="184"/>
    </row>
    <row r="5" spans="1:24" ht="20.100000000000001" customHeight="1" x14ac:dyDescent="0.2">
      <c r="A5" s="39"/>
      <c r="B5" s="322"/>
      <c r="C5" s="323"/>
      <c r="D5" s="40"/>
      <c r="E5" s="41"/>
      <c r="F5" s="42"/>
      <c r="G5" s="110"/>
      <c r="H5" s="44" t="str">
        <f t="shared" ref="H5:H27" si="0">IF(ISBLANK(E5),"",IF(D5="X",((E5+(F5/12))*G5)/100*0.5,((E5+(F5/12))*G5)/100))</f>
        <v/>
      </c>
      <c r="I5" s="339"/>
      <c r="J5" s="39"/>
      <c r="K5" s="322"/>
      <c r="L5" s="323"/>
      <c r="M5" s="40"/>
      <c r="N5" s="41"/>
      <c r="O5" s="42"/>
      <c r="P5" s="110"/>
      <c r="Q5" s="44" t="str">
        <f t="shared" ref="Q5:Q27" si="1">IF(ISBLANK(N5),"",IF(M5="X",((N5+(O5/12))*P5)/100*0.5,((N5+(O5/12))*P5)/100))</f>
        <v/>
      </c>
      <c r="S5" s="185">
        <v>1</v>
      </c>
      <c r="T5" s="180">
        <v>2</v>
      </c>
      <c r="U5" s="186">
        <f>T5/100+1</f>
        <v>1.02</v>
      </c>
      <c r="V5" s="187">
        <v>2</v>
      </c>
      <c r="W5" s="180">
        <v>2</v>
      </c>
      <c r="X5" s="188">
        <f>W5/100+1</f>
        <v>1.02</v>
      </c>
    </row>
    <row r="6" spans="1:24" ht="20.100000000000001" customHeight="1" x14ac:dyDescent="0.2">
      <c r="A6" s="39"/>
      <c r="B6" s="322"/>
      <c r="C6" s="323"/>
      <c r="D6" s="40"/>
      <c r="E6" s="41"/>
      <c r="F6" s="42"/>
      <c r="G6" s="110"/>
      <c r="H6" s="44" t="str">
        <f t="shared" si="0"/>
        <v/>
      </c>
      <c r="I6" s="339"/>
      <c r="J6" s="39"/>
      <c r="K6" s="322"/>
      <c r="L6" s="323"/>
      <c r="M6" s="40"/>
      <c r="N6" s="41"/>
      <c r="O6" s="42"/>
      <c r="P6" s="110"/>
      <c r="Q6" s="44" t="str">
        <f t="shared" si="1"/>
        <v/>
      </c>
      <c r="S6" s="189"/>
      <c r="T6" s="190"/>
      <c r="U6" s="190"/>
      <c r="V6" s="191"/>
      <c r="W6" s="190"/>
      <c r="X6" s="192"/>
    </row>
    <row r="7" spans="1:24" ht="20.100000000000001" customHeight="1" x14ac:dyDescent="0.2">
      <c r="A7" s="39"/>
      <c r="B7" s="322"/>
      <c r="C7" s="323"/>
      <c r="D7" s="40"/>
      <c r="E7" s="41"/>
      <c r="F7" s="42"/>
      <c r="G7" s="110"/>
      <c r="H7" s="44" t="str">
        <f t="shared" si="0"/>
        <v/>
      </c>
      <c r="I7" s="339"/>
      <c r="J7" s="39"/>
      <c r="K7" s="322"/>
      <c r="L7" s="323"/>
      <c r="M7" s="40"/>
      <c r="N7" s="41"/>
      <c r="O7" s="42"/>
      <c r="P7" s="110"/>
      <c r="Q7" s="44" t="str">
        <f t="shared" si="1"/>
        <v/>
      </c>
      <c r="S7" s="193"/>
      <c r="T7" s="194"/>
      <c r="U7" s="195"/>
      <c r="V7" s="196"/>
      <c r="W7" s="194"/>
      <c r="X7" s="197"/>
    </row>
    <row r="8" spans="1:24" ht="20.100000000000001" customHeight="1" x14ac:dyDescent="0.2">
      <c r="A8" s="39"/>
      <c r="B8" s="322"/>
      <c r="C8" s="323"/>
      <c r="D8" s="40"/>
      <c r="E8" s="41"/>
      <c r="F8" s="42"/>
      <c r="G8" s="110"/>
      <c r="H8" s="44" t="str">
        <f t="shared" si="0"/>
        <v/>
      </c>
      <c r="I8" s="339"/>
      <c r="J8" s="39"/>
      <c r="K8" s="322"/>
      <c r="L8" s="323"/>
      <c r="M8" s="40"/>
      <c r="N8" s="41"/>
      <c r="O8" s="42"/>
      <c r="P8" s="110"/>
      <c r="Q8" s="44" t="str">
        <f t="shared" si="1"/>
        <v/>
      </c>
      <c r="S8" s="185">
        <v>3</v>
      </c>
      <c r="T8" s="180">
        <v>2</v>
      </c>
      <c r="U8" s="186">
        <f>T8/100+1</f>
        <v>1.02</v>
      </c>
      <c r="V8" s="187">
        <v>4</v>
      </c>
      <c r="W8" s="180">
        <v>2</v>
      </c>
      <c r="X8" s="188">
        <f>W8/100+1</f>
        <v>1.02</v>
      </c>
    </row>
    <row r="9" spans="1:24" ht="20.100000000000001" customHeight="1" thickBot="1" x14ac:dyDescent="0.25">
      <c r="A9" s="39"/>
      <c r="B9" s="322"/>
      <c r="C9" s="323"/>
      <c r="D9" s="40"/>
      <c r="E9" s="41"/>
      <c r="F9" s="42"/>
      <c r="G9" s="110"/>
      <c r="H9" s="44" t="str">
        <f t="shared" si="0"/>
        <v/>
      </c>
      <c r="I9" s="339"/>
      <c r="J9" s="39"/>
      <c r="K9" s="322"/>
      <c r="L9" s="323"/>
      <c r="M9" s="40"/>
      <c r="N9" s="41"/>
      <c r="O9" s="42"/>
      <c r="P9" s="110"/>
      <c r="Q9" s="44" t="str">
        <f t="shared" si="1"/>
        <v/>
      </c>
      <c r="S9" s="198"/>
      <c r="T9" s="203"/>
      <c r="U9" s="199"/>
      <c r="V9" s="200"/>
      <c r="W9" s="203"/>
      <c r="X9" s="201"/>
    </row>
    <row r="10" spans="1:24" ht="20.100000000000001" customHeight="1" x14ac:dyDescent="0.2">
      <c r="A10" s="39"/>
      <c r="B10" s="322"/>
      <c r="C10" s="323"/>
      <c r="D10" s="40"/>
      <c r="E10" s="41"/>
      <c r="F10" s="42"/>
      <c r="G10" s="110"/>
      <c r="H10" s="44" t="str">
        <f t="shared" si="0"/>
        <v/>
      </c>
      <c r="I10" s="339"/>
      <c r="J10" s="39"/>
      <c r="K10" s="322"/>
      <c r="L10" s="323"/>
      <c r="M10" s="40"/>
      <c r="N10" s="41"/>
      <c r="O10" s="42"/>
      <c r="P10" s="110"/>
      <c r="Q10" s="44" t="str">
        <f t="shared" si="1"/>
        <v/>
      </c>
    </row>
    <row r="11" spans="1:24" ht="20.100000000000001" customHeight="1" x14ac:dyDescent="0.2">
      <c r="A11" s="39"/>
      <c r="B11" s="322"/>
      <c r="C11" s="323"/>
      <c r="D11" s="40"/>
      <c r="E11" s="41"/>
      <c r="F11" s="42"/>
      <c r="G11" s="110"/>
      <c r="H11" s="44" t="str">
        <f t="shared" si="0"/>
        <v/>
      </c>
      <c r="I11" s="339"/>
      <c r="J11" s="39"/>
      <c r="K11" s="322"/>
      <c r="L11" s="323"/>
      <c r="M11" s="40"/>
      <c r="N11" s="41"/>
      <c r="O11" s="42"/>
      <c r="P11" s="110"/>
      <c r="Q11" s="44" t="str">
        <f t="shared" si="1"/>
        <v/>
      </c>
    </row>
    <row r="12" spans="1:24" ht="20.100000000000001" customHeight="1" x14ac:dyDescent="0.2">
      <c r="A12" s="39"/>
      <c r="B12" s="322"/>
      <c r="C12" s="323"/>
      <c r="D12" s="40"/>
      <c r="E12" s="41"/>
      <c r="F12" s="42"/>
      <c r="G12" s="110"/>
      <c r="H12" s="44" t="str">
        <f t="shared" si="0"/>
        <v/>
      </c>
      <c r="I12" s="339"/>
      <c r="J12" s="39"/>
      <c r="K12" s="322"/>
      <c r="L12" s="323"/>
      <c r="M12" s="40"/>
      <c r="N12" s="41"/>
      <c r="O12" s="42"/>
      <c r="P12" s="110"/>
      <c r="Q12" s="44" t="str">
        <f t="shared" si="1"/>
        <v/>
      </c>
    </row>
    <row r="13" spans="1:24" ht="20.100000000000001" customHeight="1" x14ac:dyDescent="0.2">
      <c r="A13" s="39"/>
      <c r="B13" s="322"/>
      <c r="C13" s="323"/>
      <c r="D13" s="40"/>
      <c r="E13" s="41"/>
      <c r="F13" s="42"/>
      <c r="G13" s="110"/>
      <c r="H13" s="44" t="str">
        <f t="shared" si="0"/>
        <v/>
      </c>
      <c r="I13" s="339"/>
      <c r="J13" s="39"/>
      <c r="K13" s="322"/>
      <c r="L13" s="323"/>
      <c r="M13" s="40"/>
      <c r="N13" s="41"/>
      <c r="O13" s="42"/>
      <c r="P13" s="110"/>
      <c r="Q13" s="44" t="str">
        <f t="shared" si="1"/>
        <v/>
      </c>
    </row>
    <row r="14" spans="1:24" ht="20.100000000000001" customHeight="1" x14ac:dyDescent="0.2">
      <c r="A14" s="39"/>
      <c r="B14" s="322"/>
      <c r="C14" s="323"/>
      <c r="D14" s="40"/>
      <c r="E14" s="41"/>
      <c r="F14" s="42"/>
      <c r="G14" s="110"/>
      <c r="H14" s="44" t="str">
        <f t="shared" si="0"/>
        <v/>
      </c>
      <c r="I14" s="339"/>
      <c r="J14" s="39"/>
      <c r="K14" s="322"/>
      <c r="L14" s="323"/>
      <c r="M14" s="40"/>
      <c r="N14" s="41"/>
      <c r="O14" s="42"/>
      <c r="P14" s="110"/>
      <c r="Q14" s="44" t="str">
        <f t="shared" si="1"/>
        <v/>
      </c>
    </row>
    <row r="15" spans="1:24" ht="20.100000000000001" customHeight="1" x14ac:dyDescent="0.2">
      <c r="A15" s="39"/>
      <c r="B15" s="322"/>
      <c r="C15" s="323"/>
      <c r="D15" s="40"/>
      <c r="E15" s="41"/>
      <c r="F15" s="42"/>
      <c r="G15" s="110"/>
      <c r="H15" s="44" t="str">
        <f t="shared" si="0"/>
        <v/>
      </c>
      <c r="I15" s="339"/>
      <c r="J15" s="39"/>
      <c r="K15" s="322"/>
      <c r="L15" s="323"/>
      <c r="M15" s="40"/>
      <c r="N15" s="41"/>
      <c r="O15" s="42"/>
      <c r="P15" s="110"/>
      <c r="Q15" s="44" t="str">
        <f t="shared" si="1"/>
        <v/>
      </c>
    </row>
    <row r="16" spans="1:24" ht="20.100000000000001" customHeight="1" x14ac:dyDescent="0.2">
      <c r="A16" s="39"/>
      <c r="B16" s="322"/>
      <c r="C16" s="323"/>
      <c r="D16" s="40"/>
      <c r="E16" s="41"/>
      <c r="F16" s="42"/>
      <c r="G16" s="110"/>
      <c r="H16" s="44" t="str">
        <f t="shared" si="0"/>
        <v/>
      </c>
      <c r="I16" s="339"/>
      <c r="J16" s="39"/>
      <c r="K16" s="322"/>
      <c r="L16" s="323"/>
      <c r="M16" s="40"/>
      <c r="N16" s="41"/>
      <c r="O16" s="42"/>
      <c r="P16" s="110"/>
      <c r="Q16" s="44" t="str">
        <f t="shared" si="1"/>
        <v/>
      </c>
    </row>
    <row r="17" spans="1:17" ht="20.100000000000001" customHeight="1" x14ac:dyDescent="0.2">
      <c r="A17" s="39"/>
      <c r="B17" s="322"/>
      <c r="C17" s="323"/>
      <c r="D17" s="40"/>
      <c r="E17" s="41"/>
      <c r="F17" s="42"/>
      <c r="G17" s="110"/>
      <c r="H17" s="44" t="str">
        <f t="shared" ref="H17:H24" si="2">IF(ISBLANK(E17),"",IF(D17="X",((E17+(F17/12))*G17)/100*0.5,((E17+(F17/12))*G17)/100))</f>
        <v/>
      </c>
      <c r="I17" s="339"/>
      <c r="J17" s="39"/>
      <c r="K17" s="322"/>
      <c r="L17" s="323"/>
      <c r="M17" s="40"/>
      <c r="N17" s="41"/>
      <c r="O17" s="42"/>
      <c r="P17" s="110"/>
      <c r="Q17" s="44" t="str">
        <f t="shared" ref="Q17:Q24" si="3">IF(ISBLANK(N17),"",IF(M17="X",((N17+(O17/12))*P17)/100*0.5,((N17+(O17/12))*P17)/100))</f>
        <v/>
      </c>
    </row>
    <row r="18" spans="1:17" ht="20.100000000000001" customHeight="1" x14ac:dyDescent="0.2">
      <c r="A18" s="39"/>
      <c r="B18" s="322"/>
      <c r="C18" s="323"/>
      <c r="D18" s="40"/>
      <c r="E18" s="41"/>
      <c r="F18" s="42"/>
      <c r="G18" s="110"/>
      <c r="H18" s="44" t="str">
        <f t="shared" si="2"/>
        <v/>
      </c>
      <c r="I18" s="339"/>
      <c r="J18" s="39"/>
      <c r="K18" s="322"/>
      <c r="L18" s="323"/>
      <c r="M18" s="40"/>
      <c r="N18" s="41"/>
      <c r="O18" s="42"/>
      <c r="P18" s="110"/>
      <c r="Q18" s="44" t="str">
        <f t="shared" si="3"/>
        <v/>
      </c>
    </row>
    <row r="19" spans="1:17" ht="20.100000000000001" customHeight="1" x14ac:dyDescent="0.2">
      <c r="A19" s="39"/>
      <c r="B19" s="322"/>
      <c r="C19" s="323"/>
      <c r="D19" s="40"/>
      <c r="E19" s="41"/>
      <c r="F19" s="42"/>
      <c r="G19" s="110"/>
      <c r="H19" s="44" t="str">
        <f t="shared" si="2"/>
        <v/>
      </c>
      <c r="I19" s="339"/>
      <c r="J19" s="39"/>
      <c r="K19" s="322"/>
      <c r="L19" s="323"/>
      <c r="M19" s="40"/>
      <c r="N19" s="41"/>
      <c r="O19" s="42"/>
      <c r="P19" s="110"/>
      <c r="Q19" s="44" t="str">
        <f t="shared" si="3"/>
        <v/>
      </c>
    </row>
    <row r="20" spans="1:17" ht="20.100000000000001" customHeight="1" x14ac:dyDescent="0.2">
      <c r="A20" s="39"/>
      <c r="B20" s="322"/>
      <c r="C20" s="323"/>
      <c r="D20" s="40"/>
      <c r="E20" s="41"/>
      <c r="F20" s="42"/>
      <c r="G20" s="110"/>
      <c r="H20" s="44" t="str">
        <f t="shared" si="2"/>
        <v/>
      </c>
      <c r="I20" s="339"/>
      <c r="J20" s="39"/>
      <c r="K20" s="322"/>
      <c r="L20" s="323"/>
      <c r="M20" s="40"/>
      <c r="N20" s="41"/>
      <c r="O20" s="42"/>
      <c r="P20" s="110"/>
      <c r="Q20" s="44" t="str">
        <f t="shared" si="3"/>
        <v/>
      </c>
    </row>
    <row r="21" spans="1:17" ht="20.100000000000001" customHeight="1" x14ac:dyDescent="0.2">
      <c r="A21" s="39"/>
      <c r="B21" s="322"/>
      <c r="C21" s="323"/>
      <c r="D21" s="40"/>
      <c r="E21" s="41"/>
      <c r="F21" s="42"/>
      <c r="G21" s="110"/>
      <c r="H21" s="44" t="str">
        <f t="shared" si="2"/>
        <v/>
      </c>
      <c r="I21" s="339"/>
      <c r="J21" s="39"/>
      <c r="K21" s="322"/>
      <c r="L21" s="323"/>
      <c r="M21" s="40"/>
      <c r="N21" s="41"/>
      <c r="O21" s="42"/>
      <c r="P21" s="110"/>
      <c r="Q21" s="44" t="str">
        <f t="shared" si="3"/>
        <v/>
      </c>
    </row>
    <row r="22" spans="1:17" ht="20.100000000000001" customHeight="1" x14ac:dyDescent="0.2">
      <c r="A22" s="39"/>
      <c r="B22" s="322"/>
      <c r="C22" s="323"/>
      <c r="D22" s="40"/>
      <c r="E22" s="41"/>
      <c r="F22" s="42"/>
      <c r="G22" s="110"/>
      <c r="H22" s="44" t="str">
        <f t="shared" si="2"/>
        <v/>
      </c>
      <c r="I22" s="339"/>
      <c r="J22" s="39"/>
      <c r="K22" s="322"/>
      <c r="L22" s="323"/>
      <c r="M22" s="40"/>
      <c r="N22" s="41"/>
      <c r="O22" s="42"/>
      <c r="P22" s="110"/>
      <c r="Q22" s="44" t="str">
        <f t="shared" si="3"/>
        <v/>
      </c>
    </row>
    <row r="23" spans="1:17" ht="20.100000000000001" customHeight="1" x14ac:dyDescent="0.2">
      <c r="A23" s="39"/>
      <c r="B23" s="322"/>
      <c r="C23" s="323"/>
      <c r="D23" s="40"/>
      <c r="E23" s="41"/>
      <c r="F23" s="42"/>
      <c r="G23" s="110"/>
      <c r="H23" s="44" t="str">
        <f t="shared" si="2"/>
        <v/>
      </c>
      <c r="I23" s="339"/>
      <c r="J23" s="39"/>
      <c r="K23" s="322"/>
      <c r="L23" s="323"/>
      <c r="M23" s="40"/>
      <c r="N23" s="41"/>
      <c r="O23" s="42"/>
      <c r="P23" s="110"/>
      <c r="Q23" s="44" t="str">
        <f t="shared" si="3"/>
        <v/>
      </c>
    </row>
    <row r="24" spans="1:17" ht="20.100000000000001" customHeight="1" x14ac:dyDescent="0.2">
      <c r="A24" s="39"/>
      <c r="B24" s="322"/>
      <c r="C24" s="323"/>
      <c r="D24" s="40"/>
      <c r="E24" s="41"/>
      <c r="F24" s="42"/>
      <c r="G24" s="110"/>
      <c r="H24" s="44" t="str">
        <f t="shared" si="2"/>
        <v/>
      </c>
      <c r="I24" s="339"/>
      <c r="J24" s="39"/>
      <c r="K24" s="322"/>
      <c r="L24" s="323"/>
      <c r="M24" s="40"/>
      <c r="N24" s="41"/>
      <c r="O24" s="42"/>
      <c r="P24" s="110"/>
      <c r="Q24" s="44" t="str">
        <f t="shared" si="3"/>
        <v/>
      </c>
    </row>
    <row r="25" spans="1:17" ht="20.100000000000001" customHeight="1" x14ac:dyDescent="0.2">
      <c r="A25" s="39"/>
      <c r="B25" s="322"/>
      <c r="C25" s="323"/>
      <c r="D25" s="40"/>
      <c r="E25" s="41"/>
      <c r="F25" s="42"/>
      <c r="G25" s="110"/>
      <c r="H25" s="44" t="str">
        <f t="shared" si="0"/>
        <v/>
      </c>
      <c r="I25" s="339"/>
      <c r="J25" s="39"/>
      <c r="K25" s="322"/>
      <c r="L25" s="323"/>
      <c r="M25" s="40"/>
      <c r="N25" s="41"/>
      <c r="O25" s="42"/>
      <c r="P25" s="110"/>
      <c r="Q25" s="44" t="str">
        <f t="shared" si="1"/>
        <v/>
      </c>
    </row>
    <row r="26" spans="1:17" ht="20.100000000000001" customHeight="1" x14ac:dyDescent="0.2">
      <c r="A26" s="39"/>
      <c r="B26" s="322"/>
      <c r="C26" s="323"/>
      <c r="D26" s="40"/>
      <c r="E26" s="41"/>
      <c r="F26" s="42"/>
      <c r="G26" s="110"/>
      <c r="H26" s="44" t="str">
        <f t="shared" si="0"/>
        <v/>
      </c>
      <c r="I26" s="339"/>
      <c r="J26" s="39"/>
      <c r="K26" s="322"/>
      <c r="L26" s="323"/>
      <c r="M26" s="40"/>
      <c r="N26" s="41"/>
      <c r="O26" s="42"/>
      <c r="P26" s="110"/>
      <c r="Q26" s="44" t="str">
        <f t="shared" si="1"/>
        <v/>
      </c>
    </row>
    <row r="27" spans="1:17" ht="20.100000000000001" customHeight="1" thickBot="1" x14ac:dyDescent="0.25">
      <c r="A27" s="116"/>
      <c r="B27" s="341"/>
      <c r="C27" s="342"/>
      <c r="D27" s="117"/>
      <c r="E27" s="93"/>
      <c r="F27" s="118"/>
      <c r="G27" s="119"/>
      <c r="H27" s="120" t="str">
        <f t="shared" si="0"/>
        <v/>
      </c>
      <c r="I27" s="339"/>
      <c r="J27" s="116"/>
      <c r="K27" s="341"/>
      <c r="L27" s="342"/>
      <c r="M27" s="117"/>
      <c r="N27" s="93"/>
      <c r="O27" s="118"/>
      <c r="P27" s="119"/>
      <c r="Q27" s="120" t="str">
        <f t="shared" si="1"/>
        <v/>
      </c>
    </row>
    <row r="28" spans="1:17" ht="20.100000000000001" customHeight="1" thickBot="1" x14ac:dyDescent="0.25">
      <c r="A28" s="335"/>
      <c r="B28" s="336"/>
      <c r="C28" s="336"/>
      <c r="D28" s="337"/>
      <c r="E28" s="333" t="s">
        <v>49</v>
      </c>
      <c r="F28" s="334"/>
      <c r="G28" s="334"/>
      <c r="H28" s="5">
        <f>ROUNDUP(SUM(H4:H27)*U5,0)</f>
        <v>0</v>
      </c>
      <c r="I28" s="339"/>
      <c r="J28" s="335"/>
      <c r="K28" s="336"/>
      <c r="L28" s="336"/>
      <c r="M28" s="337"/>
      <c r="N28" s="333" t="s">
        <v>49</v>
      </c>
      <c r="O28" s="334"/>
      <c r="P28" s="334"/>
      <c r="Q28" s="5">
        <f>ROUNDUP(SUM(Q4:Q27)*X5,0)</f>
        <v>0</v>
      </c>
    </row>
    <row r="29" spans="1:17" ht="20.100000000000001" customHeight="1" x14ac:dyDescent="0.2">
      <c r="A29" s="111"/>
      <c r="B29" s="326"/>
      <c r="C29" s="327"/>
      <c r="D29" s="112"/>
      <c r="E29" s="85"/>
      <c r="F29" s="113"/>
      <c r="G29" s="114"/>
      <c r="H29" s="115" t="str">
        <f>IF(ISBLANK(E29),"",IF(D29="X",((E29+(F29/12))*G29)/100*0.5,((E29+(F29/12))*G29)/100))</f>
        <v/>
      </c>
      <c r="I29" s="339"/>
      <c r="J29" s="111"/>
      <c r="K29" s="326"/>
      <c r="L29" s="327"/>
      <c r="M29" s="112"/>
      <c r="N29" s="85"/>
      <c r="O29" s="113"/>
      <c r="P29" s="114"/>
      <c r="Q29" s="115" t="str">
        <f>IF(ISBLANK(N29),"",IF(M29="X",((N29+(O29/12))*P29)/100*0.5,((N29+(O29/12))*P29)/100))</f>
        <v/>
      </c>
    </row>
    <row r="30" spans="1:17" ht="20.100000000000001" customHeight="1" x14ac:dyDescent="0.2">
      <c r="A30" s="39"/>
      <c r="B30" s="322"/>
      <c r="C30" s="323"/>
      <c r="D30" s="40"/>
      <c r="E30" s="41"/>
      <c r="F30" s="42"/>
      <c r="G30" s="110"/>
      <c r="H30" s="44" t="str">
        <f t="shared" ref="H30:H40" si="4">IF(ISBLANK(E30),"",IF(D30="X",((E30+(F30/12))*G30)/100*0.5,((E30+(F30/12))*G30)/100))</f>
        <v/>
      </c>
      <c r="I30" s="339"/>
      <c r="J30" s="39"/>
      <c r="K30" s="322"/>
      <c r="L30" s="323"/>
      <c r="M30" s="40"/>
      <c r="N30" s="41"/>
      <c r="O30" s="42"/>
      <c r="P30" s="110"/>
      <c r="Q30" s="44" t="str">
        <f t="shared" ref="Q30:Q40" si="5">IF(ISBLANK(N30),"",IF(M30="X",((N30+(O30/12))*P30)/100*0.5,((N30+(O30/12))*P30)/100))</f>
        <v/>
      </c>
    </row>
    <row r="31" spans="1:17" ht="20.100000000000001" customHeight="1" x14ac:dyDescent="0.2">
      <c r="A31" s="39"/>
      <c r="B31" s="322"/>
      <c r="C31" s="323"/>
      <c r="D31" s="40"/>
      <c r="E31" s="41"/>
      <c r="F31" s="42"/>
      <c r="G31" s="110"/>
      <c r="H31" s="44" t="str">
        <f t="shared" si="4"/>
        <v/>
      </c>
      <c r="I31" s="339"/>
      <c r="J31" s="39"/>
      <c r="K31" s="322"/>
      <c r="L31" s="323"/>
      <c r="M31" s="40"/>
      <c r="N31" s="41"/>
      <c r="O31" s="42"/>
      <c r="P31" s="110"/>
      <c r="Q31" s="44" t="str">
        <f t="shared" si="5"/>
        <v/>
      </c>
    </row>
    <row r="32" spans="1:17" ht="20.100000000000001" customHeight="1" x14ac:dyDescent="0.2">
      <c r="A32" s="39"/>
      <c r="B32" s="322"/>
      <c r="C32" s="323"/>
      <c r="D32" s="40"/>
      <c r="E32" s="41"/>
      <c r="F32" s="42"/>
      <c r="G32" s="110"/>
      <c r="H32" s="44" t="str">
        <f t="shared" si="4"/>
        <v/>
      </c>
      <c r="I32" s="339"/>
      <c r="J32" s="39"/>
      <c r="K32" s="322"/>
      <c r="L32" s="323"/>
      <c r="M32" s="40"/>
      <c r="N32" s="41"/>
      <c r="O32" s="42"/>
      <c r="P32" s="110"/>
      <c r="Q32" s="44" t="str">
        <f t="shared" si="5"/>
        <v/>
      </c>
    </row>
    <row r="33" spans="1:17" ht="20.100000000000001" customHeight="1" x14ac:dyDescent="0.2">
      <c r="A33" s="39"/>
      <c r="B33" s="322"/>
      <c r="C33" s="323"/>
      <c r="D33" s="40"/>
      <c r="E33" s="41"/>
      <c r="F33" s="42"/>
      <c r="G33" s="110"/>
      <c r="H33" s="44" t="str">
        <f t="shared" si="4"/>
        <v/>
      </c>
      <c r="I33" s="339"/>
      <c r="J33" s="39"/>
      <c r="K33" s="322"/>
      <c r="L33" s="323"/>
      <c r="M33" s="40"/>
      <c r="N33" s="41"/>
      <c r="O33" s="42"/>
      <c r="P33" s="110"/>
      <c r="Q33" s="44" t="str">
        <f t="shared" si="5"/>
        <v/>
      </c>
    </row>
    <row r="34" spans="1:17" ht="20.100000000000001" customHeight="1" x14ac:dyDescent="0.2">
      <c r="A34" s="39"/>
      <c r="B34" s="322"/>
      <c r="C34" s="323"/>
      <c r="D34" s="40"/>
      <c r="E34" s="41"/>
      <c r="F34" s="42"/>
      <c r="G34" s="110"/>
      <c r="H34" s="44" t="str">
        <f t="shared" si="4"/>
        <v/>
      </c>
      <c r="I34" s="339"/>
      <c r="J34" s="39"/>
      <c r="K34" s="322"/>
      <c r="L34" s="323"/>
      <c r="M34" s="40"/>
      <c r="N34" s="41"/>
      <c r="O34" s="42"/>
      <c r="P34" s="110"/>
      <c r="Q34" s="44" t="str">
        <f t="shared" si="5"/>
        <v/>
      </c>
    </row>
    <row r="35" spans="1:17" ht="20.100000000000001" customHeight="1" x14ac:dyDescent="0.2">
      <c r="A35" s="39"/>
      <c r="B35" s="322"/>
      <c r="C35" s="323"/>
      <c r="D35" s="40"/>
      <c r="E35" s="41"/>
      <c r="F35" s="42"/>
      <c r="G35" s="110"/>
      <c r="H35" s="44" t="str">
        <f t="shared" si="4"/>
        <v/>
      </c>
      <c r="I35" s="339"/>
      <c r="J35" s="39"/>
      <c r="K35" s="322"/>
      <c r="L35" s="323"/>
      <c r="M35" s="40"/>
      <c r="N35" s="41"/>
      <c r="O35" s="42"/>
      <c r="P35" s="110"/>
      <c r="Q35" s="44" t="str">
        <f t="shared" si="5"/>
        <v/>
      </c>
    </row>
    <row r="36" spans="1:17" ht="20.100000000000001" customHeight="1" x14ac:dyDescent="0.2">
      <c r="A36" s="39"/>
      <c r="B36" s="322"/>
      <c r="C36" s="323"/>
      <c r="D36" s="40"/>
      <c r="E36" s="41"/>
      <c r="F36" s="42"/>
      <c r="G36" s="110"/>
      <c r="H36" s="44" t="str">
        <f t="shared" si="4"/>
        <v/>
      </c>
      <c r="I36" s="339"/>
      <c r="J36" s="39"/>
      <c r="K36" s="322"/>
      <c r="L36" s="323"/>
      <c r="M36" s="40"/>
      <c r="N36" s="41"/>
      <c r="O36" s="42"/>
      <c r="P36" s="110"/>
      <c r="Q36" s="44" t="str">
        <f t="shared" si="5"/>
        <v/>
      </c>
    </row>
    <row r="37" spans="1:17" ht="20.100000000000001" customHeight="1" x14ac:dyDescent="0.2">
      <c r="A37" s="39"/>
      <c r="B37" s="322"/>
      <c r="C37" s="323"/>
      <c r="D37" s="40"/>
      <c r="E37" s="41"/>
      <c r="F37" s="42"/>
      <c r="G37" s="110"/>
      <c r="H37" s="44" t="str">
        <f t="shared" si="4"/>
        <v/>
      </c>
      <c r="I37" s="339"/>
      <c r="J37" s="39"/>
      <c r="K37" s="322"/>
      <c r="L37" s="323"/>
      <c r="M37" s="40"/>
      <c r="N37" s="41"/>
      <c r="O37" s="42"/>
      <c r="P37" s="110"/>
      <c r="Q37" s="44" t="str">
        <f t="shared" si="5"/>
        <v/>
      </c>
    </row>
    <row r="38" spans="1:17" ht="20.100000000000001" customHeight="1" x14ac:dyDescent="0.2">
      <c r="A38" s="39"/>
      <c r="B38" s="322"/>
      <c r="C38" s="323"/>
      <c r="D38" s="40"/>
      <c r="E38" s="41"/>
      <c r="F38" s="42"/>
      <c r="G38" s="110"/>
      <c r="H38" s="44" t="str">
        <f t="shared" si="4"/>
        <v/>
      </c>
      <c r="I38" s="339"/>
      <c r="J38" s="39"/>
      <c r="K38" s="322"/>
      <c r="L38" s="323"/>
      <c r="M38" s="40"/>
      <c r="N38" s="41"/>
      <c r="O38" s="42"/>
      <c r="P38" s="110"/>
      <c r="Q38" s="44" t="str">
        <f t="shared" si="5"/>
        <v/>
      </c>
    </row>
    <row r="39" spans="1:17" ht="20.100000000000001" customHeight="1" x14ac:dyDescent="0.2">
      <c r="A39" s="39"/>
      <c r="B39" s="322"/>
      <c r="C39" s="323"/>
      <c r="D39" s="40"/>
      <c r="E39" s="41"/>
      <c r="F39" s="42"/>
      <c r="G39" s="110"/>
      <c r="H39" s="44" t="str">
        <f t="shared" si="4"/>
        <v/>
      </c>
      <c r="I39" s="339"/>
      <c r="J39" s="39"/>
      <c r="K39" s="322"/>
      <c r="L39" s="323"/>
      <c r="M39" s="40"/>
      <c r="N39" s="41"/>
      <c r="O39" s="42"/>
      <c r="P39" s="110"/>
      <c r="Q39" s="44" t="str">
        <f t="shared" si="5"/>
        <v/>
      </c>
    </row>
    <row r="40" spans="1:17" ht="20.100000000000001" customHeight="1" x14ac:dyDescent="0.2">
      <c r="A40" s="39"/>
      <c r="B40" s="322"/>
      <c r="C40" s="323"/>
      <c r="D40" s="40"/>
      <c r="E40" s="41"/>
      <c r="F40" s="42"/>
      <c r="G40" s="110"/>
      <c r="H40" s="44" t="str">
        <f t="shared" si="4"/>
        <v/>
      </c>
      <c r="I40" s="339"/>
      <c r="J40" s="39"/>
      <c r="K40" s="322"/>
      <c r="L40" s="323"/>
      <c r="M40" s="40"/>
      <c r="N40" s="41"/>
      <c r="O40" s="42"/>
      <c r="P40" s="110"/>
      <c r="Q40" s="44" t="str">
        <f t="shared" si="5"/>
        <v/>
      </c>
    </row>
    <row r="41" spans="1:17" ht="20.100000000000001" customHeight="1" x14ac:dyDescent="0.2">
      <c r="A41" s="39"/>
      <c r="B41" s="322"/>
      <c r="C41" s="323"/>
      <c r="D41" s="40"/>
      <c r="E41" s="41"/>
      <c r="F41" s="42"/>
      <c r="G41" s="110"/>
      <c r="H41" s="44" t="str">
        <f t="shared" ref="H41:H52" si="6">IF(ISBLANK(E41),"",IF(D41="X",((E41+(F41/12))*G41)/100*0.5,((E41+(F41/12))*G41)/100))</f>
        <v/>
      </c>
      <c r="I41" s="339"/>
      <c r="J41" s="39"/>
      <c r="K41" s="322"/>
      <c r="L41" s="323"/>
      <c r="M41" s="40"/>
      <c r="N41" s="41"/>
      <c r="O41" s="42"/>
      <c r="P41" s="110"/>
      <c r="Q41" s="44" t="str">
        <f t="shared" ref="Q41:Q52" si="7">IF(ISBLANK(N41),"",IF(M41="X",((N41+(O41/12))*P41)/100*0.5,((N41+(O41/12))*P41)/100))</f>
        <v/>
      </c>
    </row>
    <row r="42" spans="1:17" ht="20.100000000000001" customHeight="1" x14ac:dyDescent="0.2">
      <c r="A42" s="39"/>
      <c r="B42" s="322"/>
      <c r="C42" s="323"/>
      <c r="D42" s="40"/>
      <c r="E42" s="41"/>
      <c r="F42" s="42"/>
      <c r="G42" s="110"/>
      <c r="H42" s="44" t="str">
        <f t="shared" si="6"/>
        <v/>
      </c>
      <c r="I42" s="339"/>
      <c r="J42" s="39"/>
      <c r="K42" s="322"/>
      <c r="L42" s="323"/>
      <c r="M42" s="40"/>
      <c r="N42" s="41"/>
      <c r="O42" s="42"/>
      <c r="P42" s="110"/>
      <c r="Q42" s="44" t="str">
        <f t="shared" si="7"/>
        <v/>
      </c>
    </row>
    <row r="43" spans="1:17" ht="20.100000000000001" customHeight="1" x14ac:dyDescent="0.2">
      <c r="A43" s="39"/>
      <c r="B43" s="322"/>
      <c r="C43" s="323"/>
      <c r="D43" s="40"/>
      <c r="E43" s="41"/>
      <c r="F43" s="42"/>
      <c r="G43" s="110"/>
      <c r="H43" s="44" t="str">
        <f t="shared" si="6"/>
        <v/>
      </c>
      <c r="I43" s="339"/>
      <c r="J43" s="39"/>
      <c r="K43" s="322"/>
      <c r="L43" s="323"/>
      <c r="M43" s="40"/>
      <c r="N43" s="41"/>
      <c r="O43" s="42"/>
      <c r="P43" s="110"/>
      <c r="Q43" s="44" t="str">
        <f t="shared" si="7"/>
        <v/>
      </c>
    </row>
    <row r="44" spans="1:17" ht="20.100000000000001" customHeight="1" x14ac:dyDescent="0.2">
      <c r="A44" s="39"/>
      <c r="B44" s="322"/>
      <c r="C44" s="323"/>
      <c r="D44" s="40"/>
      <c r="E44" s="41"/>
      <c r="F44" s="42"/>
      <c r="G44" s="110"/>
      <c r="H44" s="44" t="str">
        <f t="shared" si="6"/>
        <v/>
      </c>
      <c r="I44" s="339"/>
      <c r="J44" s="39"/>
      <c r="K44" s="322"/>
      <c r="L44" s="323"/>
      <c r="M44" s="40"/>
      <c r="N44" s="41"/>
      <c r="O44" s="42"/>
      <c r="P44" s="110"/>
      <c r="Q44" s="44" t="str">
        <f t="shared" si="7"/>
        <v/>
      </c>
    </row>
    <row r="45" spans="1:17" ht="20.100000000000001" customHeight="1" x14ac:dyDescent="0.2">
      <c r="A45" s="39"/>
      <c r="B45" s="322"/>
      <c r="C45" s="323"/>
      <c r="D45" s="40"/>
      <c r="E45" s="41"/>
      <c r="F45" s="42"/>
      <c r="G45" s="110"/>
      <c r="H45" s="44" t="str">
        <f t="shared" si="6"/>
        <v/>
      </c>
      <c r="I45" s="339"/>
      <c r="J45" s="39"/>
      <c r="K45" s="322"/>
      <c r="L45" s="323"/>
      <c r="M45" s="40"/>
      <c r="N45" s="41"/>
      <c r="O45" s="42"/>
      <c r="P45" s="110"/>
      <c r="Q45" s="44" t="str">
        <f t="shared" si="7"/>
        <v/>
      </c>
    </row>
    <row r="46" spans="1:17" ht="20.100000000000001" customHeight="1" x14ac:dyDescent="0.2">
      <c r="A46" s="39"/>
      <c r="B46" s="322"/>
      <c r="C46" s="323"/>
      <c r="D46" s="40"/>
      <c r="E46" s="41"/>
      <c r="F46" s="42"/>
      <c r="G46" s="110"/>
      <c r="H46" s="44" t="str">
        <f t="shared" si="6"/>
        <v/>
      </c>
      <c r="I46" s="339"/>
      <c r="J46" s="39"/>
      <c r="K46" s="322"/>
      <c r="L46" s="323"/>
      <c r="M46" s="40"/>
      <c r="N46" s="41"/>
      <c r="O46" s="42"/>
      <c r="P46" s="110"/>
      <c r="Q46" s="44" t="str">
        <f t="shared" si="7"/>
        <v/>
      </c>
    </row>
    <row r="47" spans="1:17" ht="20.100000000000001" customHeight="1" x14ac:dyDescent="0.2">
      <c r="A47" s="39"/>
      <c r="B47" s="322"/>
      <c r="C47" s="323"/>
      <c r="D47" s="40"/>
      <c r="E47" s="41"/>
      <c r="F47" s="42"/>
      <c r="G47" s="110"/>
      <c r="H47" s="44" t="str">
        <f t="shared" si="6"/>
        <v/>
      </c>
      <c r="I47" s="339"/>
      <c r="J47" s="39"/>
      <c r="K47" s="322"/>
      <c r="L47" s="323"/>
      <c r="M47" s="40"/>
      <c r="N47" s="41"/>
      <c r="O47" s="42"/>
      <c r="P47" s="110"/>
      <c r="Q47" s="44" t="str">
        <f t="shared" si="7"/>
        <v/>
      </c>
    </row>
    <row r="48" spans="1:17" ht="20.100000000000001" customHeight="1" x14ac:dyDescent="0.2">
      <c r="A48" s="39"/>
      <c r="B48" s="322"/>
      <c r="C48" s="323"/>
      <c r="D48" s="40"/>
      <c r="E48" s="41"/>
      <c r="F48" s="42"/>
      <c r="G48" s="110"/>
      <c r="H48" s="44" t="str">
        <f t="shared" si="6"/>
        <v/>
      </c>
      <c r="I48" s="339"/>
      <c r="J48" s="39"/>
      <c r="K48" s="322"/>
      <c r="L48" s="323"/>
      <c r="M48" s="40"/>
      <c r="N48" s="41"/>
      <c r="O48" s="42"/>
      <c r="P48" s="110"/>
      <c r="Q48" s="44" t="str">
        <f t="shared" si="7"/>
        <v/>
      </c>
    </row>
    <row r="49" spans="1:17" ht="20.100000000000001" customHeight="1" x14ac:dyDescent="0.2">
      <c r="A49" s="39"/>
      <c r="B49" s="322"/>
      <c r="C49" s="323"/>
      <c r="D49" s="40"/>
      <c r="E49" s="41"/>
      <c r="F49" s="42"/>
      <c r="G49" s="110"/>
      <c r="H49" s="44" t="str">
        <f t="shared" si="6"/>
        <v/>
      </c>
      <c r="I49" s="339"/>
      <c r="J49" s="39"/>
      <c r="K49" s="322"/>
      <c r="L49" s="323"/>
      <c r="M49" s="40"/>
      <c r="N49" s="41"/>
      <c r="O49" s="42"/>
      <c r="P49" s="110"/>
      <c r="Q49" s="44" t="str">
        <f t="shared" si="7"/>
        <v/>
      </c>
    </row>
    <row r="50" spans="1:17" ht="20.100000000000001" customHeight="1" x14ac:dyDescent="0.2">
      <c r="A50" s="39"/>
      <c r="B50" s="322"/>
      <c r="C50" s="323"/>
      <c r="D50" s="40"/>
      <c r="E50" s="41"/>
      <c r="F50" s="42"/>
      <c r="G50" s="110"/>
      <c r="H50" s="44" t="str">
        <f t="shared" si="6"/>
        <v/>
      </c>
      <c r="I50" s="339"/>
      <c r="J50" s="39"/>
      <c r="K50" s="322"/>
      <c r="L50" s="323"/>
      <c r="M50" s="40"/>
      <c r="N50" s="41"/>
      <c r="O50" s="42"/>
      <c r="P50" s="110"/>
      <c r="Q50" s="44" t="str">
        <f t="shared" si="7"/>
        <v/>
      </c>
    </row>
    <row r="51" spans="1:17" ht="20.100000000000001" customHeight="1" x14ac:dyDescent="0.2">
      <c r="A51" s="39"/>
      <c r="B51" s="322"/>
      <c r="C51" s="323"/>
      <c r="D51" s="40"/>
      <c r="E51" s="41"/>
      <c r="F51" s="42"/>
      <c r="G51" s="110"/>
      <c r="H51" s="44" t="str">
        <f t="shared" si="6"/>
        <v/>
      </c>
      <c r="I51" s="339"/>
      <c r="J51" s="39"/>
      <c r="K51" s="322"/>
      <c r="L51" s="323"/>
      <c r="M51" s="40"/>
      <c r="N51" s="41"/>
      <c r="O51" s="42"/>
      <c r="P51" s="110"/>
      <c r="Q51" s="44" t="str">
        <f t="shared" si="7"/>
        <v/>
      </c>
    </row>
    <row r="52" spans="1:17" ht="20.100000000000001" customHeight="1" thickBot="1" x14ac:dyDescent="0.25">
      <c r="A52" s="116"/>
      <c r="B52" s="341"/>
      <c r="C52" s="342"/>
      <c r="D52" s="117"/>
      <c r="E52" s="93"/>
      <c r="F52" s="118"/>
      <c r="G52" s="119"/>
      <c r="H52" s="120" t="str">
        <f t="shared" si="6"/>
        <v/>
      </c>
      <c r="I52" s="339"/>
      <c r="J52" s="116"/>
      <c r="K52" s="341"/>
      <c r="L52" s="342"/>
      <c r="M52" s="117"/>
      <c r="N52" s="93"/>
      <c r="O52" s="118"/>
      <c r="P52" s="119"/>
      <c r="Q52" s="120" t="str">
        <f t="shared" si="7"/>
        <v/>
      </c>
    </row>
    <row r="53" spans="1:17" ht="20.100000000000001" customHeight="1" thickBot="1" x14ac:dyDescent="0.25">
      <c r="A53" s="335"/>
      <c r="B53" s="336"/>
      <c r="C53" s="336"/>
      <c r="D53" s="337"/>
      <c r="E53" s="333" t="s">
        <v>49</v>
      </c>
      <c r="F53" s="334"/>
      <c r="G53" s="334"/>
      <c r="H53" s="5">
        <f>ROUNDUP(SUM(H29:H52)*U8,0)</f>
        <v>0</v>
      </c>
      <c r="I53" s="340"/>
      <c r="J53" s="335"/>
      <c r="K53" s="336"/>
      <c r="L53" s="336"/>
      <c r="M53" s="337"/>
      <c r="N53" s="333" t="s">
        <v>49</v>
      </c>
      <c r="O53" s="334"/>
      <c r="P53" s="334"/>
      <c r="Q53" s="5">
        <f>ROUNDUP(SUM(Q29:Q52)*X8,0)</f>
        <v>0</v>
      </c>
    </row>
    <row r="54" spans="1:17" ht="20.25" customHeight="1" x14ac:dyDescent="0.2">
      <c r="A54" s="26"/>
      <c r="B54" s="26"/>
      <c r="C54" s="27"/>
      <c r="D54" s="27"/>
      <c r="E54" s="27"/>
      <c r="F54" s="27"/>
      <c r="G54" s="27"/>
      <c r="H54" s="37"/>
      <c r="I54" s="28"/>
      <c r="J54" s="26"/>
      <c r="K54" s="26"/>
      <c r="L54" s="27"/>
      <c r="M54" s="27"/>
      <c r="N54" s="31"/>
      <c r="O54" s="31"/>
      <c r="P54" s="29"/>
      <c r="Q54" s="30"/>
    </row>
  </sheetData>
  <sheetProtection password="FEA9" sheet="1" objects="1" scenarios="1" selectLockedCells="1"/>
  <mergeCells count="116">
    <mergeCell ref="K45:L45"/>
    <mergeCell ref="K50:L50"/>
    <mergeCell ref="K51:L51"/>
    <mergeCell ref="K52:L52"/>
    <mergeCell ref="K46:L46"/>
    <mergeCell ref="K47:L47"/>
    <mergeCell ref="K48:L48"/>
    <mergeCell ref="K49:L49"/>
    <mergeCell ref="K39:L39"/>
    <mergeCell ref="K40:L40"/>
    <mergeCell ref="K41:L41"/>
    <mergeCell ref="K42:L42"/>
    <mergeCell ref="K43:L43"/>
    <mergeCell ref="K44:L44"/>
    <mergeCell ref="K33:L33"/>
    <mergeCell ref="K34:L34"/>
    <mergeCell ref="K35:L35"/>
    <mergeCell ref="K36:L36"/>
    <mergeCell ref="K37:L37"/>
    <mergeCell ref="K38:L38"/>
    <mergeCell ref="K26:L26"/>
    <mergeCell ref="K27:L27"/>
    <mergeCell ref="K29:L29"/>
    <mergeCell ref="K30:L30"/>
    <mergeCell ref="K31:L31"/>
    <mergeCell ref="K32:L32"/>
    <mergeCell ref="B35:C35"/>
    <mergeCell ref="B36:C36"/>
    <mergeCell ref="E28:G28"/>
    <mergeCell ref="K5:L5"/>
    <mergeCell ref="K6:L6"/>
    <mergeCell ref="K7:L7"/>
    <mergeCell ref="K8:L8"/>
    <mergeCell ref="K9:L9"/>
    <mergeCell ref="K10:L10"/>
    <mergeCell ref="K11:L11"/>
    <mergeCell ref="K12:L12"/>
    <mergeCell ref="K13:L13"/>
    <mergeCell ref="K20:L20"/>
    <mergeCell ref="K21:L21"/>
    <mergeCell ref="K22:L22"/>
    <mergeCell ref="K23:L23"/>
    <mergeCell ref="K24:L24"/>
    <mergeCell ref="K25:L25"/>
    <mergeCell ref="K14:L14"/>
    <mergeCell ref="K15:L15"/>
    <mergeCell ref="K16:L16"/>
    <mergeCell ref="K17:L17"/>
    <mergeCell ref="K18:L18"/>
    <mergeCell ref="K19:L19"/>
    <mergeCell ref="B25:C25"/>
    <mergeCell ref="B26:C26"/>
    <mergeCell ref="B41:C41"/>
    <mergeCell ref="B42:C42"/>
    <mergeCell ref="B43:C43"/>
    <mergeCell ref="A53:D53"/>
    <mergeCell ref="O1:Q1"/>
    <mergeCell ref="C2:M2"/>
    <mergeCell ref="C1:M1"/>
    <mergeCell ref="B52:C52"/>
    <mergeCell ref="A1:B1"/>
    <mergeCell ref="A2:B2"/>
    <mergeCell ref="B39:C39"/>
    <mergeCell ref="B40:C40"/>
    <mergeCell ref="B51:C51"/>
    <mergeCell ref="B44:C44"/>
    <mergeCell ref="B45:C45"/>
    <mergeCell ref="B46:C46"/>
    <mergeCell ref="B47:C47"/>
    <mergeCell ref="B48:C48"/>
    <mergeCell ref="B49:C49"/>
    <mergeCell ref="B50:C50"/>
    <mergeCell ref="B33:C33"/>
    <mergeCell ref="B34:C34"/>
    <mergeCell ref="N28:P28"/>
    <mergeCell ref="J28:M28"/>
    <mergeCell ref="J53:M53"/>
    <mergeCell ref="E53:G53"/>
    <mergeCell ref="I3:I53"/>
    <mergeCell ref="K3:L3"/>
    <mergeCell ref="K4:L4"/>
    <mergeCell ref="B17:C17"/>
    <mergeCell ref="B18:C18"/>
    <mergeCell ref="B19:C19"/>
    <mergeCell ref="B20:C20"/>
    <mergeCell ref="B21:C21"/>
    <mergeCell ref="B22:C22"/>
    <mergeCell ref="B23:C23"/>
    <mergeCell ref="B24:C24"/>
    <mergeCell ref="N53:P53"/>
    <mergeCell ref="B37:C37"/>
    <mergeCell ref="B38:C38"/>
    <mergeCell ref="B27:C27"/>
    <mergeCell ref="B29:C29"/>
    <mergeCell ref="B30:C30"/>
    <mergeCell ref="B31:C31"/>
    <mergeCell ref="A28:D28"/>
    <mergeCell ref="B32:C32"/>
    <mergeCell ref="B3:C3"/>
    <mergeCell ref="B4:C4"/>
    <mergeCell ref="B5:C5"/>
    <mergeCell ref="B6:C6"/>
    <mergeCell ref="S1:X1"/>
    <mergeCell ref="S2:X2"/>
    <mergeCell ref="B15:C15"/>
    <mergeCell ref="E3:F3"/>
    <mergeCell ref="N3:O3"/>
    <mergeCell ref="B16:C16"/>
    <mergeCell ref="B11:C11"/>
    <mergeCell ref="B12:C12"/>
    <mergeCell ref="B13:C13"/>
    <mergeCell ref="B14:C14"/>
    <mergeCell ref="B7:C7"/>
    <mergeCell ref="B8:C8"/>
    <mergeCell ref="B9:C9"/>
    <mergeCell ref="B10:C10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 xml:space="preserve">&amp;C&amp;"Arial,Bold"&amp;16NMBS DECK WORKSHEET&amp;R
</oddHeader>
    <oddFooter>&amp;L&amp;9Form Revised: 2/12/2008
File: &amp;F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M50"/>
  <sheetViews>
    <sheetView workbookViewId="0">
      <selection activeCell="A4" sqref="A4"/>
    </sheetView>
  </sheetViews>
  <sheetFormatPr defaultRowHeight="15" x14ac:dyDescent="0.2"/>
  <cols>
    <col min="1" max="3" width="10.7109375" style="8" customWidth="1"/>
    <col min="4" max="4" width="22.7109375" style="8" customWidth="1"/>
    <col min="5" max="5" width="12.7109375" style="8" customWidth="1"/>
    <col min="6" max="6" width="3.28515625" style="18" customWidth="1"/>
    <col min="7" max="7" width="11.7109375" style="8" customWidth="1"/>
    <col min="8" max="9" width="10.7109375" style="8" customWidth="1"/>
    <col min="10" max="12" width="7.7109375" style="8" customWidth="1"/>
    <col min="13" max="13" width="12.7109375" style="8" customWidth="1"/>
    <col min="14" max="16384" width="9.140625" style="8"/>
  </cols>
  <sheetData>
    <row r="1" spans="1:13" ht="20.100000000000001" customHeight="1" x14ac:dyDescent="0.2">
      <c r="A1" s="252" t="s">
        <v>29</v>
      </c>
      <c r="B1" s="253"/>
      <c r="C1" s="361" t="str">
        <f>IF(ISBLANK(Cover!D3),"",Cover!D3)</f>
        <v>*</v>
      </c>
      <c r="D1" s="361"/>
      <c r="E1" s="361"/>
      <c r="F1" s="361"/>
      <c r="G1" s="361"/>
      <c r="H1" s="361"/>
      <c r="I1" s="253" t="s">
        <v>19</v>
      </c>
      <c r="J1" s="253"/>
      <c r="K1" s="293" t="str">
        <f>IF(ISBLANK(Cover!O2),"",Cover!O2)</f>
        <v>*</v>
      </c>
      <c r="L1" s="293"/>
      <c r="M1" s="294"/>
    </row>
    <row r="2" spans="1:13" ht="20.100000000000001" customHeight="1" thickBot="1" x14ac:dyDescent="0.25">
      <c r="A2" s="254" t="s">
        <v>30</v>
      </c>
      <c r="B2" s="255"/>
      <c r="C2" s="343" t="str">
        <f>IF(ISBLANK(Cover!D4),"",Cover!D4)</f>
        <v>*</v>
      </c>
      <c r="D2" s="343"/>
      <c r="E2" s="343"/>
      <c r="F2" s="343"/>
      <c r="G2" s="343"/>
      <c r="H2" s="343"/>
      <c r="I2" s="255" t="s">
        <v>38</v>
      </c>
      <c r="J2" s="255"/>
      <c r="K2" s="59"/>
      <c r="L2" s="32" t="s">
        <v>45</v>
      </c>
      <c r="M2" s="33">
        <f>IF(ISBLANK(Cover!Q7),"",Cover!Q7)</f>
        <v>3</v>
      </c>
    </row>
    <row r="3" spans="1:13" ht="20.100000000000001" customHeight="1" thickBot="1" x14ac:dyDescent="0.3">
      <c r="A3" s="34" t="s">
        <v>15</v>
      </c>
      <c r="B3" s="324" t="s">
        <v>20</v>
      </c>
      <c r="C3" s="360"/>
      <c r="D3" s="325"/>
      <c r="E3" s="34" t="s">
        <v>0</v>
      </c>
      <c r="F3" s="338"/>
      <c r="G3" s="34" t="s">
        <v>15</v>
      </c>
      <c r="H3" s="324" t="s">
        <v>42</v>
      </c>
      <c r="I3" s="360"/>
      <c r="J3" s="360"/>
      <c r="K3" s="360"/>
      <c r="L3" s="325"/>
      <c r="M3" s="34" t="s">
        <v>4</v>
      </c>
    </row>
    <row r="4" spans="1:13" ht="20.100000000000001" customHeight="1" x14ac:dyDescent="0.2">
      <c r="A4" s="75"/>
      <c r="B4" s="355"/>
      <c r="C4" s="356"/>
      <c r="D4" s="357"/>
      <c r="E4" s="77"/>
      <c r="F4" s="339"/>
      <c r="G4" s="75"/>
      <c r="H4" s="355"/>
      <c r="I4" s="356"/>
      <c r="J4" s="356"/>
      <c r="K4" s="356"/>
      <c r="L4" s="357"/>
      <c r="M4" s="77"/>
    </row>
    <row r="5" spans="1:13" ht="20.100000000000001" customHeight="1" x14ac:dyDescent="0.2">
      <c r="A5" s="35"/>
      <c r="B5" s="347"/>
      <c r="C5" s="354"/>
      <c r="D5" s="348"/>
      <c r="E5" s="36"/>
      <c r="F5" s="339"/>
      <c r="G5" s="35"/>
      <c r="H5" s="347"/>
      <c r="I5" s="354"/>
      <c r="J5" s="354"/>
      <c r="K5" s="354"/>
      <c r="L5" s="348"/>
      <c r="M5" s="36"/>
    </row>
    <row r="6" spans="1:13" ht="20.100000000000001" customHeight="1" x14ac:dyDescent="0.2">
      <c r="A6" s="35"/>
      <c r="B6" s="347"/>
      <c r="C6" s="354"/>
      <c r="D6" s="348"/>
      <c r="E6" s="36"/>
      <c r="F6" s="339"/>
      <c r="G6" s="35"/>
      <c r="H6" s="347"/>
      <c r="I6" s="354"/>
      <c r="J6" s="354"/>
      <c r="K6" s="354"/>
      <c r="L6" s="348"/>
      <c r="M6" s="36"/>
    </row>
    <row r="7" spans="1:13" ht="20.100000000000001" customHeight="1" x14ac:dyDescent="0.2">
      <c r="A7" s="35"/>
      <c r="B7" s="347"/>
      <c r="C7" s="354"/>
      <c r="D7" s="348"/>
      <c r="E7" s="36"/>
      <c r="F7" s="339"/>
      <c r="G7" s="35"/>
      <c r="H7" s="347"/>
      <c r="I7" s="354"/>
      <c r="J7" s="354"/>
      <c r="K7" s="354"/>
      <c r="L7" s="348"/>
      <c r="M7" s="36"/>
    </row>
    <row r="8" spans="1:13" ht="20.100000000000001" customHeight="1" x14ac:dyDescent="0.2">
      <c r="A8" s="35"/>
      <c r="B8" s="347"/>
      <c r="C8" s="354"/>
      <c r="D8" s="348"/>
      <c r="E8" s="36"/>
      <c r="F8" s="339"/>
      <c r="G8" s="35"/>
      <c r="H8" s="347"/>
      <c r="I8" s="354"/>
      <c r="J8" s="354"/>
      <c r="K8" s="354"/>
      <c r="L8" s="348"/>
      <c r="M8" s="36"/>
    </row>
    <row r="9" spans="1:13" ht="20.100000000000001" customHeight="1" x14ac:dyDescent="0.2">
      <c r="A9" s="35"/>
      <c r="B9" s="347"/>
      <c r="C9" s="354"/>
      <c r="D9" s="348"/>
      <c r="E9" s="36"/>
      <c r="F9" s="339"/>
      <c r="G9" s="35"/>
      <c r="H9" s="347"/>
      <c r="I9" s="354"/>
      <c r="J9" s="354"/>
      <c r="K9" s="354"/>
      <c r="L9" s="348"/>
      <c r="M9" s="36"/>
    </row>
    <row r="10" spans="1:13" ht="20.100000000000001" customHeight="1" x14ac:dyDescent="0.2">
      <c r="A10" s="35"/>
      <c r="B10" s="347"/>
      <c r="C10" s="354"/>
      <c r="D10" s="348"/>
      <c r="E10" s="36"/>
      <c r="F10" s="339"/>
      <c r="G10" s="35"/>
      <c r="H10" s="347"/>
      <c r="I10" s="354"/>
      <c r="J10" s="354"/>
      <c r="K10" s="354"/>
      <c r="L10" s="348"/>
      <c r="M10" s="36"/>
    </row>
    <row r="11" spans="1:13" ht="20.100000000000001" customHeight="1" thickBot="1" x14ac:dyDescent="0.25">
      <c r="A11" s="121"/>
      <c r="B11" s="349"/>
      <c r="C11" s="359"/>
      <c r="D11" s="350"/>
      <c r="E11" s="123"/>
      <c r="F11" s="339"/>
      <c r="G11" s="121"/>
      <c r="H11" s="349"/>
      <c r="I11" s="359"/>
      <c r="J11" s="359"/>
      <c r="K11" s="359"/>
      <c r="L11" s="350"/>
      <c r="M11" s="123"/>
    </row>
    <row r="12" spans="1:13" ht="20.100000000000001" customHeight="1" thickBot="1" x14ac:dyDescent="0.25">
      <c r="A12" s="344"/>
      <c r="B12" s="345"/>
      <c r="C12" s="346"/>
      <c r="D12" s="4" t="s">
        <v>49</v>
      </c>
      <c r="E12" s="5">
        <f>ROUNDUP(SUM(E4:E11)*1.1,-3)</f>
        <v>0</v>
      </c>
      <c r="F12" s="339"/>
      <c r="G12" s="344"/>
      <c r="H12" s="345"/>
      <c r="I12" s="346"/>
      <c r="J12" s="333" t="s">
        <v>49</v>
      </c>
      <c r="K12" s="334"/>
      <c r="L12" s="334"/>
      <c r="M12" s="5">
        <f>ROUNDUP(SUM(M4:M11)*1.02,-1)</f>
        <v>0</v>
      </c>
    </row>
    <row r="13" spans="1:13" ht="20.100000000000001" customHeight="1" thickBot="1" x14ac:dyDescent="0.3">
      <c r="A13" s="34" t="s">
        <v>15</v>
      </c>
      <c r="B13" s="324" t="s">
        <v>43</v>
      </c>
      <c r="C13" s="360"/>
      <c r="D13" s="325"/>
      <c r="E13" s="34" t="s">
        <v>4</v>
      </c>
      <c r="F13" s="339"/>
      <c r="G13" s="34" t="s">
        <v>15</v>
      </c>
      <c r="H13" s="324" t="s">
        <v>44</v>
      </c>
      <c r="I13" s="360"/>
      <c r="J13" s="360"/>
      <c r="K13" s="360"/>
      <c r="L13" s="325"/>
      <c r="M13" s="24" t="s">
        <v>0</v>
      </c>
    </row>
    <row r="14" spans="1:13" ht="20.100000000000001" customHeight="1" x14ac:dyDescent="0.2">
      <c r="A14" s="75"/>
      <c r="B14" s="355"/>
      <c r="C14" s="356"/>
      <c r="D14" s="357"/>
      <c r="E14" s="77"/>
      <c r="F14" s="339"/>
      <c r="G14" s="75"/>
      <c r="H14" s="355"/>
      <c r="I14" s="356"/>
      <c r="J14" s="356"/>
      <c r="K14" s="356"/>
      <c r="L14" s="357"/>
      <c r="M14" s="77"/>
    </row>
    <row r="15" spans="1:13" ht="20.100000000000001" customHeight="1" x14ac:dyDescent="0.2">
      <c r="A15" s="35"/>
      <c r="B15" s="347"/>
      <c r="C15" s="354"/>
      <c r="D15" s="348"/>
      <c r="E15" s="36"/>
      <c r="F15" s="339"/>
      <c r="G15" s="35"/>
      <c r="H15" s="347"/>
      <c r="I15" s="354"/>
      <c r="J15" s="354"/>
      <c r="K15" s="354"/>
      <c r="L15" s="348"/>
      <c r="M15" s="36"/>
    </row>
    <row r="16" spans="1:13" ht="20.100000000000001" customHeight="1" x14ac:dyDescent="0.2">
      <c r="A16" s="35"/>
      <c r="B16" s="347"/>
      <c r="C16" s="354"/>
      <c r="D16" s="348"/>
      <c r="E16" s="36"/>
      <c r="F16" s="339"/>
      <c r="G16" s="35"/>
      <c r="H16" s="347"/>
      <c r="I16" s="354"/>
      <c r="J16" s="354"/>
      <c r="K16" s="354"/>
      <c r="L16" s="348"/>
      <c r="M16" s="36"/>
    </row>
    <row r="17" spans="1:13" ht="20.100000000000001" customHeight="1" x14ac:dyDescent="0.2">
      <c r="A17" s="35"/>
      <c r="B17" s="347"/>
      <c r="C17" s="354"/>
      <c r="D17" s="348"/>
      <c r="E17" s="36"/>
      <c r="F17" s="339"/>
      <c r="G17" s="35"/>
      <c r="H17" s="347"/>
      <c r="I17" s="354"/>
      <c r="J17" s="354"/>
      <c r="K17" s="354"/>
      <c r="L17" s="348"/>
      <c r="M17" s="36"/>
    </row>
    <row r="18" spans="1:13" ht="20.100000000000001" customHeight="1" x14ac:dyDescent="0.2">
      <c r="A18" s="35"/>
      <c r="B18" s="347"/>
      <c r="C18" s="354"/>
      <c r="D18" s="348"/>
      <c r="E18" s="36"/>
      <c r="F18" s="339"/>
      <c r="G18" s="35"/>
      <c r="H18" s="347"/>
      <c r="I18" s="354"/>
      <c r="J18" s="354"/>
      <c r="K18" s="354"/>
      <c r="L18" s="348"/>
      <c r="M18" s="36"/>
    </row>
    <row r="19" spans="1:13" ht="20.100000000000001" customHeight="1" x14ac:dyDescent="0.2">
      <c r="A19" s="35"/>
      <c r="B19" s="347"/>
      <c r="C19" s="354"/>
      <c r="D19" s="348"/>
      <c r="E19" s="36"/>
      <c r="F19" s="339"/>
      <c r="G19" s="35"/>
      <c r="H19" s="347"/>
      <c r="I19" s="354"/>
      <c r="J19" s="354"/>
      <c r="K19" s="354"/>
      <c r="L19" s="348"/>
      <c r="M19" s="36"/>
    </row>
    <row r="20" spans="1:13" ht="20.100000000000001" customHeight="1" x14ac:dyDescent="0.2">
      <c r="A20" s="35"/>
      <c r="B20" s="347"/>
      <c r="C20" s="354"/>
      <c r="D20" s="348"/>
      <c r="E20" s="36"/>
      <c r="F20" s="339"/>
      <c r="G20" s="35"/>
      <c r="H20" s="347"/>
      <c r="I20" s="354"/>
      <c r="J20" s="354"/>
      <c r="K20" s="354"/>
      <c r="L20" s="348"/>
      <c r="M20" s="36"/>
    </row>
    <row r="21" spans="1:13" ht="20.100000000000001" customHeight="1" thickBot="1" x14ac:dyDescent="0.25">
      <c r="A21" s="121"/>
      <c r="B21" s="349"/>
      <c r="C21" s="359"/>
      <c r="D21" s="350"/>
      <c r="E21" s="123"/>
      <c r="F21" s="339"/>
      <c r="G21" s="121"/>
      <c r="H21" s="349"/>
      <c r="I21" s="359"/>
      <c r="J21" s="359"/>
      <c r="K21" s="359"/>
      <c r="L21" s="350"/>
      <c r="M21" s="123"/>
    </row>
    <row r="22" spans="1:13" ht="20.100000000000001" customHeight="1" thickBot="1" x14ac:dyDescent="0.25">
      <c r="A22" s="344"/>
      <c r="B22" s="345"/>
      <c r="C22" s="346"/>
      <c r="D22" s="4" t="s">
        <v>49</v>
      </c>
      <c r="E22" s="5">
        <f>ROUNDUP(SUM(E14:E21)*1.02,-1)</f>
        <v>0</v>
      </c>
      <c r="F22" s="339"/>
      <c r="G22" s="344"/>
      <c r="H22" s="345"/>
      <c r="I22" s="346"/>
      <c r="J22" s="333" t="s">
        <v>49</v>
      </c>
      <c r="K22" s="334"/>
      <c r="L22" s="334"/>
      <c r="M22" s="5">
        <f>SUM(M14:M21)</f>
        <v>0</v>
      </c>
    </row>
    <row r="23" spans="1:13" ht="20.100000000000001" customHeight="1" thickBot="1" x14ac:dyDescent="0.3">
      <c r="A23" s="34" t="s">
        <v>15</v>
      </c>
      <c r="B23" s="324" t="s">
        <v>39</v>
      </c>
      <c r="C23" s="360"/>
      <c r="D23" s="325"/>
      <c r="E23" s="34" t="s">
        <v>4</v>
      </c>
      <c r="F23" s="339"/>
      <c r="G23" s="34" t="s">
        <v>15</v>
      </c>
      <c r="H23" s="324" t="s">
        <v>40</v>
      </c>
      <c r="I23" s="360"/>
      <c r="J23" s="360"/>
      <c r="K23" s="360"/>
      <c r="L23" s="325"/>
      <c r="M23" s="34" t="s">
        <v>4</v>
      </c>
    </row>
    <row r="24" spans="1:13" ht="20.100000000000001" customHeight="1" x14ac:dyDescent="0.2">
      <c r="A24" s="75"/>
      <c r="B24" s="355"/>
      <c r="C24" s="356"/>
      <c r="D24" s="357"/>
      <c r="E24" s="77"/>
      <c r="F24" s="339"/>
      <c r="G24" s="75"/>
      <c r="H24" s="355"/>
      <c r="I24" s="356"/>
      <c r="J24" s="356"/>
      <c r="K24" s="356"/>
      <c r="L24" s="357"/>
      <c r="M24" s="77"/>
    </row>
    <row r="25" spans="1:13" ht="20.100000000000001" customHeight="1" x14ac:dyDescent="0.2">
      <c r="A25" s="35"/>
      <c r="B25" s="347"/>
      <c r="C25" s="354"/>
      <c r="D25" s="348"/>
      <c r="E25" s="36"/>
      <c r="F25" s="339"/>
      <c r="G25" s="35"/>
      <c r="H25" s="347"/>
      <c r="I25" s="354"/>
      <c r="J25" s="354"/>
      <c r="K25" s="354"/>
      <c r="L25" s="348"/>
      <c r="M25" s="36"/>
    </row>
    <row r="26" spans="1:13" ht="20.100000000000001" customHeight="1" x14ac:dyDescent="0.2">
      <c r="A26" s="35"/>
      <c r="B26" s="347"/>
      <c r="C26" s="354"/>
      <c r="D26" s="348"/>
      <c r="E26" s="36"/>
      <c r="F26" s="339"/>
      <c r="G26" s="35"/>
      <c r="H26" s="347"/>
      <c r="I26" s="354"/>
      <c r="J26" s="354"/>
      <c r="K26" s="354"/>
      <c r="L26" s="348"/>
      <c r="M26" s="36"/>
    </row>
    <row r="27" spans="1:13" ht="20.100000000000001" customHeight="1" x14ac:dyDescent="0.2">
      <c r="A27" s="35"/>
      <c r="B27" s="347"/>
      <c r="C27" s="354"/>
      <c r="D27" s="348"/>
      <c r="E27" s="36"/>
      <c r="F27" s="339"/>
      <c r="G27" s="35"/>
      <c r="H27" s="347"/>
      <c r="I27" s="354"/>
      <c r="J27" s="354"/>
      <c r="K27" s="354"/>
      <c r="L27" s="348"/>
      <c r="M27" s="36"/>
    </row>
    <row r="28" spans="1:13" ht="20.100000000000001" customHeight="1" x14ac:dyDescent="0.2">
      <c r="A28" s="35"/>
      <c r="B28" s="347"/>
      <c r="C28" s="354"/>
      <c r="D28" s="348"/>
      <c r="E28" s="36"/>
      <c r="F28" s="339"/>
      <c r="G28" s="35"/>
      <c r="H28" s="347"/>
      <c r="I28" s="354"/>
      <c r="J28" s="354"/>
      <c r="K28" s="354"/>
      <c r="L28" s="348"/>
      <c r="M28" s="36"/>
    </row>
    <row r="29" spans="1:13" ht="20.100000000000001" customHeight="1" x14ac:dyDescent="0.2">
      <c r="A29" s="35"/>
      <c r="B29" s="347"/>
      <c r="C29" s="354"/>
      <c r="D29" s="348"/>
      <c r="E29" s="36"/>
      <c r="F29" s="339"/>
      <c r="G29" s="35"/>
      <c r="H29" s="347"/>
      <c r="I29" s="354"/>
      <c r="J29" s="354"/>
      <c r="K29" s="354"/>
      <c r="L29" s="348"/>
      <c r="M29" s="36"/>
    </row>
    <row r="30" spans="1:13" ht="20.100000000000001" customHeight="1" x14ac:dyDescent="0.2">
      <c r="A30" s="35"/>
      <c r="B30" s="347"/>
      <c r="C30" s="354"/>
      <c r="D30" s="348"/>
      <c r="E30" s="36"/>
      <c r="F30" s="339"/>
      <c r="G30" s="35"/>
      <c r="H30" s="347"/>
      <c r="I30" s="354"/>
      <c r="J30" s="354"/>
      <c r="K30" s="354"/>
      <c r="L30" s="348"/>
      <c r="M30" s="36"/>
    </row>
    <row r="31" spans="1:13" ht="20.100000000000001" customHeight="1" thickBot="1" x14ac:dyDescent="0.25">
      <c r="A31" s="121"/>
      <c r="B31" s="349"/>
      <c r="C31" s="359"/>
      <c r="D31" s="350"/>
      <c r="E31" s="123"/>
      <c r="F31" s="339"/>
      <c r="G31" s="121"/>
      <c r="H31" s="349"/>
      <c r="I31" s="359"/>
      <c r="J31" s="359"/>
      <c r="K31" s="359"/>
      <c r="L31" s="350"/>
      <c r="M31" s="123"/>
    </row>
    <row r="32" spans="1:13" ht="20.100000000000001" customHeight="1" thickBot="1" x14ac:dyDescent="0.25">
      <c r="A32" s="344"/>
      <c r="B32" s="345"/>
      <c r="C32" s="346"/>
      <c r="D32" s="4" t="s">
        <v>49</v>
      </c>
      <c r="E32" s="5">
        <f>ROUNDUP(SUM(E24:E31)*1.02,-1)</f>
        <v>0</v>
      </c>
      <c r="F32" s="339"/>
      <c r="G32" s="344"/>
      <c r="H32" s="345"/>
      <c r="I32" s="346"/>
      <c r="J32" s="333" t="s">
        <v>49</v>
      </c>
      <c r="K32" s="362"/>
      <c r="L32" s="362"/>
      <c r="M32" s="5">
        <f>ROUNDUP(SUM(M24:M31)*1.02,-1)</f>
        <v>0</v>
      </c>
    </row>
    <row r="33" spans="1:13" ht="20.100000000000001" customHeight="1" thickBot="1" x14ac:dyDescent="0.3">
      <c r="A33" s="34" t="s">
        <v>15</v>
      </c>
      <c r="B33" s="324" t="s">
        <v>51</v>
      </c>
      <c r="C33" s="360"/>
      <c r="D33" s="325"/>
      <c r="E33" s="34" t="s">
        <v>50</v>
      </c>
      <c r="F33" s="339"/>
      <c r="G33" s="34" t="s">
        <v>15</v>
      </c>
      <c r="H33" s="324" t="s">
        <v>41</v>
      </c>
      <c r="I33" s="360"/>
      <c r="J33" s="360"/>
      <c r="K33" s="360"/>
      <c r="L33" s="325"/>
      <c r="M33" s="34" t="s">
        <v>4</v>
      </c>
    </row>
    <row r="34" spans="1:13" ht="20.100000000000001" customHeight="1" x14ac:dyDescent="0.2">
      <c r="A34" s="75"/>
      <c r="B34" s="355"/>
      <c r="C34" s="356"/>
      <c r="D34" s="357"/>
      <c r="E34" s="77"/>
      <c r="F34" s="339"/>
      <c r="G34" s="75"/>
      <c r="H34" s="355"/>
      <c r="I34" s="356"/>
      <c r="J34" s="356"/>
      <c r="K34" s="356"/>
      <c r="L34" s="357"/>
      <c r="M34" s="77"/>
    </row>
    <row r="35" spans="1:13" ht="20.100000000000001" customHeight="1" x14ac:dyDescent="0.2">
      <c r="A35" s="35"/>
      <c r="B35" s="347"/>
      <c r="C35" s="354"/>
      <c r="D35" s="348"/>
      <c r="E35" s="36"/>
      <c r="F35" s="339"/>
      <c r="G35" s="35"/>
      <c r="H35" s="347"/>
      <c r="I35" s="354"/>
      <c r="J35" s="354"/>
      <c r="K35" s="354"/>
      <c r="L35" s="348"/>
      <c r="M35" s="36"/>
    </row>
    <row r="36" spans="1:13" ht="20.100000000000001" customHeight="1" x14ac:dyDescent="0.2">
      <c r="A36" s="35"/>
      <c r="B36" s="347"/>
      <c r="C36" s="354"/>
      <c r="D36" s="348"/>
      <c r="E36" s="36"/>
      <c r="F36" s="339"/>
      <c r="G36" s="35"/>
      <c r="H36" s="347"/>
      <c r="I36" s="354"/>
      <c r="J36" s="354"/>
      <c r="K36" s="354"/>
      <c r="L36" s="348"/>
      <c r="M36" s="36"/>
    </row>
    <row r="37" spans="1:13" ht="20.100000000000001" customHeight="1" x14ac:dyDescent="0.2">
      <c r="A37" s="35"/>
      <c r="B37" s="347"/>
      <c r="C37" s="354"/>
      <c r="D37" s="348"/>
      <c r="E37" s="36"/>
      <c r="F37" s="339"/>
      <c r="G37" s="35"/>
      <c r="H37" s="347"/>
      <c r="I37" s="354"/>
      <c r="J37" s="354"/>
      <c r="K37" s="354"/>
      <c r="L37" s="348"/>
      <c r="M37" s="36"/>
    </row>
    <row r="38" spans="1:13" ht="20.100000000000001" customHeight="1" x14ac:dyDescent="0.2">
      <c r="A38" s="35"/>
      <c r="B38" s="347"/>
      <c r="C38" s="354"/>
      <c r="D38" s="348"/>
      <c r="E38" s="36"/>
      <c r="F38" s="339"/>
      <c r="G38" s="35"/>
      <c r="H38" s="347"/>
      <c r="I38" s="354"/>
      <c r="J38" s="354"/>
      <c r="K38" s="354"/>
      <c r="L38" s="348"/>
      <c r="M38" s="36"/>
    </row>
    <row r="39" spans="1:13" ht="20.100000000000001" customHeight="1" x14ac:dyDescent="0.2">
      <c r="A39" s="35"/>
      <c r="B39" s="347"/>
      <c r="C39" s="354"/>
      <c r="D39" s="348"/>
      <c r="E39" s="36"/>
      <c r="F39" s="339"/>
      <c r="G39" s="35"/>
      <c r="H39" s="347"/>
      <c r="I39" s="354"/>
      <c r="J39" s="354"/>
      <c r="K39" s="354"/>
      <c r="L39" s="348"/>
      <c r="M39" s="36"/>
    </row>
    <row r="40" spans="1:13" ht="20.100000000000001" customHeight="1" x14ac:dyDescent="0.2">
      <c r="A40" s="35"/>
      <c r="B40" s="347"/>
      <c r="C40" s="354"/>
      <c r="D40" s="348"/>
      <c r="E40" s="36"/>
      <c r="F40" s="339"/>
      <c r="G40" s="35"/>
      <c r="H40" s="347"/>
      <c r="I40" s="354"/>
      <c r="J40" s="354"/>
      <c r="K40" s="354"/>
      <c r="L40" s="348"/>
      <c r="M40" s="36"/>
    </row>
    <row r="41" spans="1:13" ht="20.100000000000001" customHeight="1" thickBot="1" x14ac:dyDescent="0.25">
      <c r="A41" s="121"/>
      <c r="B41" s="349"/>
      <c r="C41" s="359"/>
      <c r="D41" s="350"/>
      <c r="E41" s="123"/>
      <c r="F41" s="339"/>
      <c r="G41" s="121"/>
      <c r="H41" s="349"/>
      <c r="I41" s="359"/>
      <c r="J41" s="359"/>
      <c r="K41" s="359"/>
      <c r="L41" s="350"/>
      <c r="M41" s="123"/>
    </row>
    <row r="42" spans="1:13" ht="20.100000000000001" customHeight="1" thickBot="1" x14ac:dyDescent="0.25">
      <c r="A42" s="344"/>
      <c r="B42" s="345"/>
      <c r="C42" s="346"/>
      <c r="D42" s="4" t="s">
        <v>49</v>
      </c>
      <c r="E42" s="5">
        <f>SUM(E34:E41)</f>
        <v>0</v>
      </c>
      <c r="F42" s="339"/>
      <c r="G42" s="344"/>
      <c r="H42" s="345"/>
      <c r="I42" s="346"/>
      <c r="J42" s="333" t="s">
        <v>49</v>
      </c>
      <c r="K42" s="334"/>
      <c r="L42" s="334"/>
      <c r="M42" s="5">
        <f>ROUNDUP(SUM(M34:M41)*1.02,-1)</f>
        <v>0</v>
      </c>
    </row>
    <row r="43" spans="1:13" ht="20.100000000000001" customHeight="1" thickBot="1" x14ac:dyDescent="0.3">
      <c r="A43" s="351" t="s">
        <v>24</v>
      </c>
      <c r="B43" s="352"/>
      <c r="C43" s="352"/>
      <c r="D43" s="352"/>
      <c r="E43" s="353"/>
      <c r="F43" s="339"/>
      <c r="G43" s="351" t="s">
        <v>24</v>
      </c>
      <c r="H43" s="352"/>
      <c r="I43" s="352"/>
      <c r="J43" s="352"/>
      <c r="K43" s="352"/>
      <c r="L43" s="352"/>
      <c r="M43" s="353"/>
    </row>
    <row r="44" spans="1:13" ht="20.100000000000001" customHeight="1" thickBot="1" x14ac:dyDescent="0.3">
      <c r="A44" s="34" t="s">
        <v>15</v>
      </c>
      <c r="B44" s="358" t="s">
        <v>16</v>
      </c>
      <c r="C44" s="358"/>
      <c r="D44" s="34" t="s">
        <v>12</v>
      </c>
      <c r="E44" s="34" t="s">
        <v>0</v>
      </c>
      <c r="F44" s="339"/>
      <c r="G44" s="34" t="s">
        <v>15</v>
      </c>
      <c r="H44" s="358" t="s">
        <v>16</v>
      </c>
      <c r="I44" s="358"/>
      <c r="J44" s="324" t="s">
        <v>12</v>
      </c>
      <c r="K44" s="360"/>
      <c r="L44" s="325"/>
      <c r="M44" s="34" t="s">
        <v>0</v>
      </c>
    </row>
    <row r="45" spans="1:13" ht="20.100000000000001" customHeight="1" x14ac:dyDescent="0.2">
      <c r="A45" s="75"/>
      <c r="B45" s="355"/>
      <c r="C45" s="357"/>
      <c r="D45" s="76"/>
      <c r="E45" s="77"/>
      <c r="F45" s="339"/>
      <c r="G45" s="75"/>
      <c r="H45" s="355"/>
      <c r="I45" s="357"/>
      <c r="J45" s="355"/>
      <c r="K45" s="356"/>
      <c r="L45" s="357"/>
      <c r="M45" s="77"/>
    </row>
    <row r="46" spans="1:13" ht="20.100000000000001" customHeight="1" x14ac:dyDescent="0.2">
      <c r="A46" s="35"/>
      <c r="B46" s="347"/>
      <c r="C46" s="348"/>
      <c r="D46" s="76"/>
      <c r="E46" s="36"/>
      <c r="F46" s="339"/>
      <c r="G46" s="35"/>
      <c r="H46" s="347"/>
      <c r="I46" s="348"/>
      <c r="J46" s="347"/>
      <c r="K46" s="354"/>
      <c r="L46" s="348"/>
      <c r="M46" s="36"/>
    </row>
    <row r="47" spans="1:13" ht="20.100000000000001" customHeight="1" x14ac:dyDescent="0.2">
      <c r="A47" s="35"/>
      <c r="B47" s="347"/>
      <c r="C47" s="348"/>
      <c r="D47" s="122"/>
      <c r="E47" s="123"/>
      <c r="F47" s="339"/>
      <c r="G47" s="35"/>
      <c r="H47" s="347"/>
      <c r="I47" s="348"/>
      <c r="J47" s="347"/>
      <c r="K47" s="354"/>
      <c r="L47" s="348"/>
      <c r="M47" s="36"/>
    </row>
    <row r="48" spans="1:13" ht="20.100000000000001" customHeight="1" thickBot="1" x14ac:dyDescent="0.25">
      <c r="A48" s="121"/>
      <c r="B48" s="349"/>
      <c r="C48" s="350"/>
      <c r="D48" s="122"/>
      <c r="E48" s="123"/>
      <c r="F48" s="339"/>
      <c r="G48" s="121"/>
      <c r="H48" s="349"/>
      <c r="I48" s="350"/>
      <c r="J48" s="349"/>
      <c r="K48" s="359"/>
      <c r="L48" s="350"/>
      <c r="M48" s="123"/>
    </row>
    <row r="49" spans="1:13" ht="20.100000000000001" customHeight="1" thickBot="1" x14ac:dyDescent="0.25">
      <c r="A49" s="344"/>
      <c r="B49" s="345"/>
      <c r="C49" s="346"/>
      <c r="D49" s="4" t="s">
        <v>49</v>
      </c>
      <c r="E49" s="5">
        <f>SUM(E44:E48)</f>
        <v>0</v>
      </c>
      <c r="F49" s="340"/>
      <c r="G49" s="344"/>
      <c r="H49" s="345"/>
      <c r="I49" s="346"/>
      <c r="J49" s="333" t="s">
        <v>49</v>
      </c>
      <c r="K49" s="334"/>
      <c r="L49" s="334"/>
      <c r="M49" s="5">
        <f>SUM(M44:M48)</f>
        <v>0</v>
      </c>
    </row>
    <row r="50" spans="1:13" ht="20.25" customHeight="1" x14ac:dyDescent="0.2">
      <c r="A50" s="26"/>
      <c r="B50" s="27"/>
      <c r="C50" s="27"/>
      <c r="D50" s="27"/>
      <c r="E50" s="27"/>
      <c r="F50" s="28"/>
      <c r="G50" s="26"/>
      <c r="H50" s="27"/>
      <c r="I50" s="27"/>
      <c r="J50" s="29"/>
      <c r="K50" s="29"/>
      <c r="L50" s="30"/>
      <c r="M50" s="31"/>
    </row>
  </sheetData>
  <sheetProtection password="FEA9" sheet="1" objects="1" scenarios="1"/>
  <mergeCells count="112">
    <mergeCell ref="B3:D3"/>
    <mergeCell ref="B4:D4"/>
    <mergeCell ref="B5:D5"/>
    <mergeCell ref="B6:D6"/>
    <mergeCell ref="B14:D14"/>
    <mergeCell ref="B13:D13"/>
    <mergeCell ref="H21:L21"/>
    <mergeCell ref="H8:L8"/>
    <mergeCell ref="H9:L9"/>
    <mergeCell ref="H10:L10"/>
    <mergeCell ref="H11:L11"/>
    <mergeCell ref="F3:F49"/>
    <mergeCell ref="J42:L42"/>
    <mergeCell ref="H17:L17"/>
    <mergeCell ref="H18:L18"/>
    <mergeCell ref="G22:I22"/>
    <mergeCell ref="H26:L26"/>
    <mergeCell ref="J32:L32"/>
    <mergeCell ref="G32:I32"/>
    <mergeCell ref="B23:D23"/>
    <mergeCell ref="H33:L33"/>
    <mergeCell ref="H4:L4"/>
    <mergeCell ref="H5:L5"/>
    <mergeCell ref="H6:L6"/>
    <mergeCell ref="H7:L7"/>
    <mergeCell ref="B18:D18"/>
    <mergeCell ref="B19:D19"/>
    <mergeCell ref="B20:D20"/>
    <mergeCell ref="H29:L29"/>
    <mergeCell ref="H30:L30"/>
    <mergeCell ref="H31:L31"/>
    <mergeCell ref="B33:D33"/>
    <mergeCell ref="H3:L3"/>
    <mergeCell ref="H13:L13"/>
    <mergeCell ref="B15:D15"/>
    <mergeCell ref="B16:D16"/>
    <mergeCell ref="B17:D17"/>
    <mergeCell ref="H27:L27"/>
    <mergeCell ref="H28:L28"/>
    <mergeCell ref="B25:D25"/>
    <mergeCell ref="B21:D21"/>
    <mergeCell ref="B24:D24"/>
    <mergeCell ref="B26:D26"/>
    <mergeCell ref="H25:L25"/>
    <mergeCell ref="B28:D28"/>
    <mergeCell ref="H23:L23"/>
    <mergeCell ref="H19:L19"/>
    <mergeCell ref="H20:L20"/>
    <mergeCell ref="A32:C32"/>
    <mergeCell ref="H24:L24"/>
    <mergeCell ref="J12:L12"/>
    <mergeCell ref="J22:L22"/>
    <mergeCell ref="H14:L14"/>
    <mergeCell ref="H15:L15"/>
    <mergeCell ref="H16:L16"/>
    <mergeCell ref="B34:D34"/>
    <mergeCell ref="B35:D35"/>
    <mergeCell ref="B36:D36"/>
    <mergeCell ref="B37:D37"/>
    <mergeCell ref="B38:D38"/>
    <mergeCell ref="B41:D41"/>
    <mergeCell ref="B39:D39"/>
    <mergeCell ref="H40:L40"/>
    <mergeCell ref="H41:L41"/>
    <mergeCell ref="H34:L34"/>
    <mergeCell ref="H35:L35"/>
    <mergeCell ref="H36:L36"/>
    <mergeCell ref="H37:L37"/>
    <mergeCell ref="H38:L38"/>
    <mergeCell ref="H39:L39"/>
    <mergeCell ref="I1:J1"/>
    <mergeCell ref="K1:M1"/>
    <mergeCell ref="B30:D30"/>
    <mergeCell ref="B31:D31"/>
    <mergeCell ref="G12:I12"/>
    <mergeCell ref="A12:C12"/>
    <mergeCell ref="A2:B2"/>
    <mergeCell ref="A1:B1"/>
    <mergeCell ref="H44:I44"/>
    <mergeCell ref="J44:L44"/>
    <mergeCell ref="C1:H1"/>
    <mergeCell ref="B40:D40"/>
    <mergeCell ref="B7:D7"/>
    <mergeCell ref="B8:D8"/>
    <mergeCell ref="I2:J2"/>
    <mergeCell ref="C2:H2"/>
    <mergeCell ref="B29:D29"/>
    <mergeCell ref="B9:D9"/>
    <mergeCell ref="B10:D10"/>
    <mergeCell ref="A22:C22"/>
    <mergeCell ref="B11:D11"/>
    <mergeCell ref="B27:D27"/>
    <mergeCell ref="A42:C42"/>
    <mergeCell ref="G42:I42"/>
    <mergeCell ref="A49:C49"/>
    <mergeCell ref="G49:I49"/>
    <mergeCell ref="J49:L49"/>
    <mergeCell ref="B47:C47"/>
    <mergeCell ref="B48:C48"/>
    <mergeCell ref="H46:I46"/>
    <mergeCell ref="H47:I47"/>
    <mergeCell ref="A43:E43"/>
    <mergeCell ref="G43:M43"/>
    <mergeCell ref="J47:L47"/>
    <mergeCell ref="J45:L45"/>
    <mergeCell ref="B44:C44"/>
    <mergeCell ref="B45:C45"/>
    <mergeCell ref="J46:L46"/>
    <mergeCell ref="B46:C46"/>
    <mergeCell ref="H48:I48"/>
    <mergeCell ref="J48:L48"/>
    <mergeCell ref="H45:I45"/>
  </mergeCells>
  <phoneticPr fontId="0" type="noConversion"/>
  <printOptions horizontalCentered="1"/>
  <pageMargins left="0.25" right="0.25" top="0.75" bottom="0.5" header="0.5" footer="0.25"/>
  <pageSetup scale="71" orientation="portrait" horizontalDpi="300" verticalDpi="300" r:id="rId1"/>
  <headerFooter alignWithMargins="0">
    <oddHeader xml:space="preserve">&amp;C&amp;"Arial,Bold"&amp;16NMBS ACCESSORIES WORKSHEET&amp;R
</oddHeader>
    <oddFooter>&amp;L&amp;9Form Revised: 2/12/2008
File: &amp;F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G63"/>
  <sheetViews>
    <sheetView zoomScaleNormal="100" workbookViewId="0">
      <selection activeCell="M39" sqref="M39"/>
    </sheetView>
  </sheetViews>
  <sheetFormatPr defaultRowHeight="12.75" x14ac:dyDescent="0.2"/>
  <cols>
    <col min="1" max="2" width="6.7109375" style="8" customWidth="1"/>
    <col min="3" max="3" width="8.7109375" style="8" customWidth="1"/>
    <col min="4" max="4" width="12.7109375" style="8" customWidth="1"/>
    <col min="5" max="6" width="6.7109375" style="8" customWidth="1"/>
    <col min="7" max="7" width="8.7109375" style="8" customWidth="1"/>
    <col min="8" max="8" width="12.7109375" style="8" customWidth="1"/>
    <col min="9" max="9" width="6.7109375" style="8" customWidth="1"/>
    <col min="10" max="10" width="20.7109375" style="8" customWidth="1"/>
    <col min="11" max="11" width="6.7109375" style="8" customWidth="1"/>
    <col min="12" max="12" width="10.7109375" style="8" customWidth="1"/>
    <col min="13" max="13" width="6.7109375" style="8" customWidth="1"/>
    <col min="14" max="14" width="9.7109375" style="8" customWidth="1"/>
    <col min="15" max="15" width="6.7109375" style="8" customWidth="1"/>
    <col min="16" max="16" width="4.7109375" style="8" customWidth="1"/>
    <col min="17" max="17" width="7.7109375" style="8" customWidth="1"/>
    <col min="18" max="18" width="10.7109375" style="127" customWidth="1"/>
    <col min="19" max="19" width="12.7109375" style="129" hidden="1" customWidth="1"/>
    <col min="20" max="20" width="9.5703125" style="8" customWidth="1"/>
    <col min="21" max="21" width="8.85546875" style="8" customWidth="1"/>
    <col min="22" max="22" width="9.5703125" style="8" customWidth="1"/>
    <col min="23" max="23" width="8.5703125" style="8" customWidth="1"/>
    <col min="24" max="25" width="10.7109375" style="8" customWidth="1"/>
    <col min="26" max="26" width="10.5703125" style="8" customWidth="1"/>
    <col min="27" max="27" width="8.7109375" style="8" customWidth="1"/>
    <col min="28" max="28" width="9.7109375" style="8" customWidth="1"/>
    <col min="29" max="29" width="8.5703125" style="8" customWidth="1"/>
    <col min="30" max="16384" width="9.140625" style="8"/>
  </cols>
  <sheetData>
    <row r="1" spans="1:33" ht="20.100000000000001" customHeight="1" thickBot="1" x14ac:dyDescent="0.5">
      <c r="A1" s="416" t="s">
        <v>54</v>
      </c>
      <c r="B1" s="417"/>
      <c r="C1" s="417"/>
      <c r="D1" s="418" t="s">
        <v>122</v>
      </c>
      <c r="E1" s="418"/>
      <c r="F1" s="418"/>
      <c r="G1" s="418"/>
      <c r="H1" s="381"/>
      <c r="I1" s="381"/>
      <c r="J1" s="381"/>
      <c r="K1" s="381"/>
      <c r="L1" s="381"/>
      <c r="M1" s="381"/>
      <c r="N1" s="381"/>
      <c r="O1" s="381"/>
      <c r="P1" s="381"/>
      <c r="Q1" s="381"/>
      <c r="R1" s="381"/>
      <c r="T1" s="126" t="s">
        <v>52</v>
      </c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6"/>
    </row>
    <row r="2" spans="1:33" s="9" customFormat="1" ht="20.100000000000001" customHeight="1" x14ac:dyDescent="0.25">
      <c r="A2" s="376" t="s">
        <v>36</v>
      </c>
      <c r="B2" s="420"/>
      <c r="C2" s="420"/>
      <c r="D2" s="412"/>
      <c r="E2" s="412"/>
      <c r="F2" s="412"/>
      <c r="G2" s="412"/>
      <c r="H2" s="138" t="s">
        <v>34</v>
      </c>
      <c r="I2" s="421"/>
      <c r="J2" s="421"/>
      <c r="K2" s="421"/>
      <c r="L2" s="421"/>
      <c r="M2" s="379" t="s">
        <v>57</v>
      </c>
      <c r="N2" s="379"/>
      <c r="O2" s="365" t="s">
        <v>124</v>
      </c>
      <c r="P2" s="365"/>
      <c r="Q2" s="365"/>
      <c r="R2" s="419"/>
      <c r="S2" s="130"/>
      <c r="T2" s="10"/>
      <c r="U2" s="11"/>
      <c r="V2" s="11"/>
      <c r="W2" s="11"/>
      <c r="X2" s="10"/>
      <c r="Y2" s="11"/>
      <c r="Z2" s="11"/>
      <c r="AA2" s="11"/>
      <c r="AB2" s="11"/>
      <c r="AC2" s="12"/>
      <c r="AD2" s="11"/>
      <c r="AE2" s="11"/>
      <c r="AF2" s="11"/>
    </row>
    <row r="3" spans="1:33" s="9" customFormat="1" ht="20.100000000000001" customHeight="1" x14ac:dyDescent="0.25">
      <c r="A3" s="378" t="s">
        <v>64</v>
      </c>
      <c r="B3" s="379"/>
      <c r="C3" s="379"/>
      <c r="D3" s="390" t="s">
        <v>124</v>
      </c>
      <c r="E3" s="390"/>
      <c r="F3" s="390"/>
      <c r="G3" s="390"/>
      <c r="H3" s="390"/>
      <c r="I3" s="390"/>
      <c r="J3" s="390"/>
      <c r="K3" s="390"/>
      <c r="L3" s="390"/>
      <c r="M3" s="379" t="s">
        <v>58</v>
      </c>
      <c r="N3" s="379"/>
      <c r="O3" s="363" t="s">
        <v>124</v>
      </c>
      <c r="P3" s="363"/>
      <c r="Q3" s="139" t="s">
        <v>69</v>
      </c>
      <c r="R3" s="140">
        <v>0.33333333333333331</v>
      </c>
      <c r="S3" s="130" t="s">
        <v>53</v>
      </c>
      <c r="T3" s="10"/>
      <c r="U3" s="11"/>
      <c r="V3" s="11"/>
      <c r="W3" s="11"/>
      <c r="X3" s="10"/>
      <c r="Y3" s="11"/>
      <c r="Z3" s="11"/>
      <c r="AA3" s="11"/>
      <c r="AB3" s="11"/>
      <c r="AC3" s="12"/>
      <c r="AD3" s="11"/>
      <c r="AE3" s="11"/>
      <c r="AF3" s="11"/>
    </row>
    <row r="4" spans="1:33" s="9" customFormat="1" ht="20.100000000000001" customHeight="1" x14ac:dyDescent="0.25">
      <c r="A4" s="378" t="s">
        <v>55</v>
      </c>
      <c r="B4" s="379"/>
      <c r="C4" s="379"/>
      <c r="D4" s="390" t="s">
        <v>124</v>
      </c>
      <c r="E4" s="390"/>
      <c r="F4" s="390"/>
      <c r="G4" s="390"/>
      <c r="H4" s="390"/>
      <c r="I4" s="390"/>
      <c r="J4" s="390"/>
      <c r="K4" s="390"/>
      <c r="L4" s="390"/>
      <c r="M4" s="379" t="s">
        <v>59</v>
      </c>
      <c r="N4" s="379"/>
      <c r="O4" s="390" t="s">
        <v>124</v>
      </c>
      <c r="P4" s="390"/>
      <c r="Q4" s="390"/>
      <c r="R4" s="391"/>
      <c r="S4" s="132">
        <v>0.33333333333333331</v>
      </c>
      <c r="T4" s="11"/>
      <c r="U4" s="11"/>
      <c r="V4" s="11"/>
      <c r="W4" s="11"/>
      <c r="X4" s="10"/>
      <c r="Y4" s="11"/>
      <c r="Z4" s="11"/>
      <c r="AA4" s="11"/>
      <c r="AB4" s="11"/>
      <c r="AC4" s="11"/>
      <c r="AD4" s="11"/>
      <c r="AE4" s="11"/>
      <c r="AF4" s="11"/>
    </row>
    <row r="5" spans="1:33" s="9" customFormat="1" ht="20.100000000000001" customHeight="1" x14ac:dyDescent="0.25">
      <c r="A5" s="378" t="s">
        <v>56</v>
      </c>
      <c r="B5" s="379"/>
      <c r="C5" s="379"/>
      <c r="D5" s="390" t="s">
        <v>124</v>
      </c>
      <c r="E5" s="390"/>
      <c r="F5" s="390"/>
      <c r="G5" s="390"/>
      <c r="H5" s="390"/>
      <c r="I5" s="390"/>
      <c r="J5" s="390"/>
      <c r="K5" s="390"/>
      <c r="L5" s="390"/>
      <c r="M5" s="379" t="s">
        <v>73</v>
      </c>
      <c r="N5" s="379"/>
      <c r="O5" s="379"/>
      <c r="P5" s="379"/>
      <c r="Q5" s="380" t="s">
        <v>121</v>
      </c>
      <c r="R5" s="389"/>
      <c r="S5" s="132">
        <v>0.375</v>
      </c>
      <c r="T5" s="11"/>
      <c r="U5" s="11"/>
      <c r="V5" s="11"/>
      <c r="W5" s="11"/>
      <c r="X5" s="10"/>
      <c r="Y5" s="11"/>
      <c r="Z5" s="11"/>
      <c r="AA5" s="11"/>
      <c r="AB5" s="11"/>
      <c r="AC5" s="11"/>
      <c r="AD5" s="11"/>
      <c r="AE5" s="11"/>
      <c r="AF5" s="11"/>
    </row>
    <row r="6" spans="1:33" s="9" customFormat="1" ht="20.100000000000001" customHeight="1" x14ac:dyDescent="0.25">
      <c r="A6" s="408"/>
      <c r="B6" s="409"/>
      <c r="C6" s="409"/>
      <c r="D6" s="390"/>
      <c r="E6" s="390"/>
      <c r="F6" s="390"/>
      <c r="G6" s="390"/>
      <c r="H6" s="390"/>
      <c r="I6" s="390"/>
      <c r="J6" s="390"/>
      <c r="K6" s="390"/>
      <c r="L6" s="390"/>
      <c r="M6" s="379" t="s">
        <v>85</v>
      </c>
      <c r="N6" s="379"/>
      <c r="O6" s="379"/>
      <c r="P6" s="379"/>
      <c r="Q6" s="363" t="s">
        <v>123</v>
      </c>
      <c r="R6" s="364"/>
      <c r="S6" s="132">
        <v>0.41666666666666669</v>
      </c>
      <c r="T6" s="11"/>
      <c r="U6" s="11"/>
      <c r="V6" s="11"/>
      <c r="W6" s="11"/>
      <c r="X6" s="10"/>
      <c r="Y6" s="11"/>
      <c r="Z6" s="11"/>
      <c r="AA6" s="11"/>
      <c r="AB6" s="11"/>
      <c r="AC6" s="11"/>
      <c r="AD6" s="11"/>
      <c r="AE6" s="11"/>
      <c r="AF6" s="11"/>
    </row>
    <row r="7" spans="1:33" s="9" customFormat="1" ht="20.100000000000001" customHeight="1" thickBot="1" x14ac:dyDescent="0.3">
      <c r="A7" s="410"/>
      <c r="B7" s="411"/>
      <c r="C7" s="411"/>
      <c r="D7" s="390"/>
      <c r="E7" s="390"/>
      <c r="F7" s="390"/>
      <c r="G7" s="390"/>
      <c r="H7" s="390"/>
      <c r="I7" s="390"/>
      <c r="J7" s="390"/>
      <c r="K7" s="390"/>
      <c r="L7" s="390"/>
      <c r="M7" s="379" t="s">
        <v>38</v>
      </c>
      <c r="N7" s="379"/>
      <c r="O7" s="154">
        <v>1</v>
      </c>
      <c r="P7" s="141" t="s">
        <v>45</v>
      </c>
      <c r="Q7" s="154">
        <v>3</v>
      </c>
      <c r="R7" s="142"/>
      <c r="S7" s="132">
        <v>0.45833333333333298</v>
      </c>
      <c r="T7" s="11"/>
      <c r="U7" s="11"/>
      <c r="V7" s="11"/>
      <c r="W7" s="11"/>
      <c r="X7" s="10"/>
      <c r="Y7" s="11"/>
      <c r="Z7" s="11"/>
      <c r="AA7" s="11"/>
      <c r="AB7" s="11"/>
      <c r="AC7" s="11"/>
      <c r="AD7" s="11"/>
      <c r="AE7" s="11"/>
      <c r="AF7" s="11"/>
    </row>
    <row r="8" spans="1:33" s="9" customFormat="1" ht="20.100000000000001" customHeight="1" x14ac:dyDescent="0.25">
      <c r="A8" s="376" t="s">
        <v>65</v>
      </c>
      <c r="B8" s="377"/>
      <c r="C8" s="377"/>
      <c r="D8" s="365" t="s">
        <v>124</v>
      </c>
      <c r="E8" s="365"/>
      <c r="F8" s="365"/>
      <c r="G8" s="377" t="s">
        <v>62</v>
      </c>
      <c r="H8" s="377"/>
      <c r="I8" s="412" t="s">
        <v>124</v>
      </c>
      <c r="J8" s="412"/>
      <c r="K8" s="377" t="s">
        <v>60</v>
      </c>
      <c r="L8" s="377"/>
      <c r="M8" s="396" t="s">
        <v>124</v>
      </c>
      <c r="N8" s="397"/>
      <c r="O8" s="397"/>
      <c r="P8" s="397"/>
      <c r="Q8" s="397"/>
      <c r="R8" s="398"/>
      <c r="S8" s="132">
        <v>0.5</v>
      </c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</row>
    <row r="9" spans="1:33" s="9" customFormat="1" ht="20.100000000000001" customHeight="1" x14ac:dyDescent="0.25">
      <c r="A9" s="378" t="s">
        <v>66</v>
      </c>
      <c r="B9" s="379"/>
      <c r="C9" s="379"/>
      <c r="D9" s="380" t="s">
        <v>124</v>
      </c>
      <c r="E9" s="380"/>
      <c r="F9" s="380"/>
      <c r="G9" s="379" t="s">
        <v>63</v>
      </c>
      <c r="H9" s="379"/>
      <c r="I9" s="380" t="s">
        <v>124</v>
      </c>
      <c r="J9" s="380"/>
      <c r="K9" s="379" t="s">
        <v>61</v>
      </c>
      <c r="L9" s="379"/>
      <c r="M9" s="380" t="s">
        <v>124</v>
      </c>
      <c r="N9" s="394"/>
      <c r="O9" s="394"/>
      <c r="P9" s="394"/>
      <c r="Q9" s="394"/>
      <c r="R9" s="395"/>
      <c r="S9" s="132">
        <v>0.54166666666666596</v>
      </c>
      <c r="T9" s="13"/>
      <c r="U9" s="13"/>
      <c r="V9" s="13"/>
      <c r="W9" s="11"/>
      <c r="X9" s="11"/>
      <c r="Y9" s="11"/>
      <c r="Z9" s="11"/>
      <c r="AA9" s="11"/>
      <c r="AB9" s="11"/>
      <c r="AC9" s="11"/>
      <c r="AD9" s="13"/>
      <c r="AE9" s="13"/>
      <c r="AF9" s="11"/>
    </row>
    <row r="10" spans="1:33" s="15" customFormat="1" ht="20.100000000000001" customHeight="1" x14ac:dyDescent="0.25">
      <c r="A10" s="378" t="s">
        <v>67</v>
      </c>
      <c r="B10" s="379"/>
      <c r="C10" s="379"/>
      <c r="D10" s="380" t="s">
        <v>124</v>
      </c>
      <c r="E10" s="380"/>
      <c r="F10" s="380"/>
      <c r="G10" s="380"/>
      <c r="H10" s="380"/>
      <c r="I10" s="380"/>
      <c r="J10" s="380"/>
      <c r="K10" s="380"/>
      <c r="L10" s="380"/>
      <c r="M10" s="380"/>
      <c r="N10" s="380"/>
      <c r="O10" s="380"/>
      <c r="P10" s="380"/>
      <c r="Q10" s="380"/>
      <c r="R10" s="389"/>
      <c r="S10" s="132">
        <v>0.58333333333333304</v>
      </c>
      <c r="T10" s="14"/>
      <c r="U10" s="14"/>
      <c r="V10" s="14"/>
      <c r="W10" s="14"/>
      <c r="X10" s="14"/>
      <c r="Y10" s="14"/>
      <c r="Z10" s="14"/>
      <c r="AA10" s="10"/>
      <c r="AB10" s="10"/>
      <c r="AC10" s="10"/>
      <c r="AD10" s="10"/>
      <c r="AE10" s="10"/>
      <c r="AF10" s="10"/>
    </row>
    <row r="11" spans="1:33" s="15" customFormat="1" ht="20.100000000000001" customHeight="1" x14ac:dyDescent="0.2">
      <c r="A11" s="384"/>
      <c r="B11" s="385"/>
      <c r="C11" s="385"/>
      <c r="D11" s="380"/>
      <c r="E11" s="380"/>
      <c r="F11" s="380"/>
      <c r="G11" s="380"/>
      <c r="H11" s="380"/>
      <c r="I11" s="380"/>
      <c r="J11" s="380"/>
      <c r="K11" s="380"/>
      <c r="L11" s="380"/>
      <c r="M11" s="380"/>
      <c r="N11" s="380"/>
      <c r="O11" s="380"/>
      <c r="P11" s="380"/>
      <c r="Q11" s="380"/>
      <c r="R11" s="389"/>
      <c r="S11" s="132">
        <v>0.625</v>
      </c>
      <c r="T11" s="14"/>
      <c r="U11" s="14"/>
      <c r="V11" s="14"/>
      <c r="W11" s="14"/>
      <c r="X11" s="14"/>
      <c r="Y11" s="14"/>
      <c r="Z11" s="14"/>
      <c r="AA11" s="10"/>
      <c r="AB11" s="10"/>
      <c r="AC11" s="10"/>
      <c r="AD11" s="10"/>
      <c r="AE11" s="10"/>
      <c r="AF11" s="10"/>
    </row>
    <row r="12" spans="1:33" s="15" customFormat="1" ht="20.100000000000001" customHeight="1" thickBot="1" x14ac:dyDescent="0.3">
      <c r="A12" s="378" t="s">
        <v>74</v>
      </c>
      <c r="B12" s="379"/>
      <c r="C12" s="379"/>
      <c r="D12" s="383" t="s">
        <v>124</v>
      </c>
      <c r="E12" s="383"/>
      <c r="F12" s="383"/>
      <c r="G12" s="383"/>
      <c r="H12" s="383"/>
      <c r="I12" s="383"/>
      <c r="J12" s="383"/>
      <c r="K12" s="381"/>
      <c r="L12" s="381"/>
      <c r="M12" s="381"/>
      <c r="N12" s="381"/>
      <c r="O12" s="381"/>
      <c r="P12" s="381"/>
      <c r="Q12" s="381"/>
      <c r="R12" s="382"/>
      <c r="S12" s="132">
        <v>0.66666666666666596</v>
      </c>
      <c r="T12" s="14"/>
      <c r="U12" s="14"/>
      <c r="V12" s="14"/>
      <c r="W12" s="14"/>
      <c r="X12" s="14"/>
      <c r="Y12" s="14"/>
      <c r="Z12" s="14"/>
      <c r="AA12" s="10"/>
      <c r="AB12" s="10"/>
      <c r="AC12" s="10"/>
      <c r="AD12" s="10"/>
      <c r="AE12" s="10"/>
      <c r="AF12" s="10"/>
    </row>
    <row r="13" spans="1:33" s="16" customFormat="1" ht="20.100000000000001" customHeight="1" thickBot="1" x14ac:dyDescent="0.3">
      <c r="A13" s="406" t="s">
        <v>68</v>
      </c>
      <c r="B13" s="407"/>
      <c r="C13" s="402" t="s">
        <v>37</v>
      </c>
      <c r="D13" s="402"/>
      <c r="E13" s="402"/>
      <c r="F13" s="414"/>
      <c r="G13" s="414"/>
      <c r="H13" s="414"/>
      <c r="I13" s="414"/>
      <c r="J13" s="414"/>
      <c r="K13" s="414"/>
      <c r="L13" s="414"/>
      <c r="M13" s="414"/>
      <c r="N13" s="414"/>
      <c r="O13" s="414"/>
      <c r="P13" s="414"/>
      <c r="Q13" s="414"/>
      <c r="R13" s="415"/>
      <c r="S13" s="132">
        <v>0.70833333333333304</v>
      </c>
      <c r="T13" s="14"/>
      <c r="U13" s="13"/>
      <c r="V13" s="14"/>
      <c r="W13" s="13"/>
      <c r="X13" s="14"/>
      <c r="Y13" s="13"/>
      <c r="Z13" s="14"/>
      <c r="AA13" s="13"/>
      <c r="AB13" s="14"/>
      <c r="AC13" s="13"/>
      <c r="AD13" s="13"/>
      <c r="AE13" s="13"/>
      <c r="AF13" s="13"/>
    </row>
    <row r="14" spans="1:33" s="18" customFormat="1" ht="20.100000000000001" customHeight="1" x14ac:dyDescent="0.2">
      <c r="A14" s="229"/>
      <c r="B14" s="399"/>
      <c r="C14" s="400"/>
      <c r="D14" s="400"/>
      <c r="E14" s="400"/>
      <c r="F14" s="400"/>
      <c r="G14" s="400"/>
      <c r="H14" s="400"/>
      <c r="I14" s="400"/>
      <c r="J14" s="400"/>
      <c r="K14" s="400"/>
      <c r="L14" s="400"/>
      <c r="M14" s="400"/>
      <c r="N14" s="400"/>
      <c r="O14" s="400"/>
      <c r="P14" s="400"/>
      <c r="Q14" s="400"/>
      <c r="R14" s="401"/>
      <c r="S14" s="131"/>
    </row>
    <row r="15" spans="1:33" s="18" customFormat="1" ht="20.100000000000001" customHeight="1" x14ac:dyDescent="0.2">
      <c r="A15" s="125"/>
      <c r="B15" s="366"/>
      <c r="C15" s="367"/>
      <c r="D15" s="367"/>
      <c r="E15" s="367"/>
      <c r="F15" s="367"/>
      <c r="G15" s="367"/>
      <c r="H15" s="367"/>
      <c r="I15" s="367"/>
      <c r="J15" s="367"/>
      <c r="K15" s="367"/>
      <c r="L15" s="367"/>
      <c r="M15" s="367"/>
      <c r="N15" s="367"/>
      <c r="O15" s="367"/>
      <c r="P15" s="367"/>
      <c r="Q15" s="367"/>
      <c r="R15" s="368"/>
      <c r="S15" s="131"/>
    </row>
    <row r="16" spans="1:33" s="18" customFormat="1" ht="20.100000000000001" customHeight="1" x14ac:dyDescent="0.2">
      <c r="A16" s="125"/>
      <c r="B16" s="366"/>
      <c r="C16" s="367"/>
      <c r="D16" s="367"/>
      <c r="E16" s="367"/>
      <c r="F16" s="367"/>
      <c r="G16" s="367"/>
      <c r="H16" s="367"/>
      <c r="I16" s="367"/>
      <c r="J16" s="367"/>
      <c r="K16" s="367"/>
      <c r="L16" s="367"/>
      <c r="M16" s="367"/>
      <c r="N16" s="367"/>
      <c r="O16" s="367"/>
      <c r="P16" s="367"/>
      <c r="Q16" s="367"/>
      <c r="R16" s="368"/>
      <c r="S16" s="131"/>
    </row>
    <row r="17" spans="1:19" s="18" customFormat="1" ht="20.100000000000001" customHeight="1" x14ac:dyDescent="0.2">
      <c r="A17" s="125"/>
      <c r="B17" s="366"/>
      <c r="C17" s="367"/>
      <c r="D17" s="367"/>
      <c r="E17" s="367"/>
      <c r="F17" s="367"/>
      <c r="G17" s="367"/>
      <c r="H17" s="367"/>
      <c r="I17" s="367"/>
      <c r="J17" s="367"/>
      <c r="K17" s="367"/>
      <c r="L17" s="367"/>
      <c r="M17" s="367"/>
      <c r="N17" s="367"/>
      <c r="O17" s="367"/>
      <c r="P17" s="367"/>
      <c r="Q17" s="367"/>
      <c r="R17" s="368"/>
      <c r="S17" s="131"/>
    </row>
    <row r="18" spans="1:19" s="18" customFormat="1" ht="20.100000000000001" customHeight="1" x14ac:dyDescent="0.2">
      <c r="A18" s="125"/>
      <c r="B18" s="366"/>
      <c r="C18" s="367"/>
      <c r="D18" s="367"/>
      <c r="E18" s="367"/>
      <c r="F18" s="367"/>
      <c r="G18" s="367"/>
      <c r="H18" s="367"/>
      <c r="I18" s="367"/>
      <c r="J18" s="367"/>
      <c r="K18" s="367"/>
      <c r="L18" s="367"/>
      <c r="M18" s="367"/>
      <c r="N18" s="367"/>
      <c r="O18" s="367"/>
      <c r="P18" s="367"/>
      <c r="Q18" s="367"/>
      <c r="R18" s="368"/>
      <c r="S18" s="131"/>
    </row>
    <row r="19" spans="1:19" s="18" customFormat="1" ht="20.100000000000001" customHeight="1" x14ac:dyDescent="0.2">
      <c r="A19" s="125"/>
      <c r="B19" s="366"/>
      <c r="C19" s="367"/>
      <c r="D19" s="367"/>
      <c r="E19" s="367"/>
      <c r="F19" s="367"/>
      <c r="G19" s="367"/>
      <c r="H19" s="367"/>
      <c r="I19" s="367"/>
      <c r="J19" s="367"/>
      <c r="K19" s="367"/>
      <c r="L19" s="367"/>
      <c r="M19" s="367"/>
      <c r="N19" s="367"/>
      <c r="O19" s="367"/>
      <c r="P19" s="367"/>
      <c r="Q19" s="367"/>
      <c r="R19" s="368"/>
      <c r="S19" s="131"/>
    </row>
    <row r="20" spans="1:19" s="18" customFormat="1" ht="20.100000000000001" customHeight="1" x14ac:dyDescent="0.2">
      <c r="A20" s="125"/>
      <c r="B20" s="366"/>
      <c r="C20" s="367"/>
      <c r="D20" s="367"/>
      <c r="E20" s="367"/>
      <c r="F20" s="367"/>
      <c r="G20" s="367"/>
      <c r="H20" s="367"/>
      <c r="I20" s="367"/>
      <c r="J20" s="367"/>
      <c r="K20" s="367"/>
      <c r="L20" s="367"/>
      <c r="M20" s="367"/>
      <c r="N20" s="367"/>
      <c r="O20" s="367"/>
      <c r="P20" s="367"/>
      <c r="Q20" s="367"/>
      <c r="R20" s="368"/>
      <c r="S20" s="131"/>
    </row>
    <row r="21" spans="1:19" s="18" customFormat="1" ht="20.100000000000001" customHeight="1" x14ac:dyDescent="0.2">
      <c r="A21" s="125"/>
      <c r="B21" s="366"/>
      <c r="C21" s="367"/>
      <c r="D21" s="367"/>
      <c r="E21" s="367"/>
      <c r="F21" s="367"/>
      <c r="G21" s="367"/>
      <c r="H21" s="367"/>
      <c r="I21" s="367"/>
      <c r="J21" s="367"/>
      <c r="K21" s="367"/>
      <c r="L21" s="367"/>
      <c r="M21" s="367"/>
      <c r="N21" s="367"/>
      <c r="O21" s="367"/>
      <c r="P21" s="367"/>
      <c r="Q21" s="367"/>
      <c r="R21" s="368"/>
      <c r="S21" s="131"/>
    </row>
    <row r="22" spans="1:19" s="18" customFormat="1" ht="20.100000000000001" customHeight="1" x14ac:dyDescent="0.2">
      <c r="A22" s="125"/>
      <c r="B22" s="366"/>
      <c r="C22" s="367"/>
      <c r="D22" s="367"/>
      <c r="E22" s="367"/>
      <c r="F22" s="367"/>
      <c r="G22" s="367"/>
      <c r="H22" s="367"/>
      <c r="I22" s="367"/>
      <c r="J22" s="367"/>
      <c r="K22" s="367"/>
      <c r="L22" s="367"/>
      <c r="M22" s="367"/>
      <c r="N22" s="367"/>
      <c r="O22" s="367"/>
      <c r="P22" s="367"/>
      <c r="Q22" s="367"/>
      <c r="R22" s="368"/>
      <c r="S22" s="131"/>
    </row>
    <row r="23" spans="1:19" s="18" customFormat="1" ht="20.100000000000001" customHeight="1" x14ac:dyDescent="0.2">
      <c r="A23" s="125"/>
      <c r="B23" s="366"/>
      <c r="C23" s="367"/>
      <c r="D23" s="367"/>
      <c r="E23" s="367"/>
      <c r="F23" s="367"/>
      <c r="G23" s="367"/>
      <c r="H23" s="367"/>
      <c r="I23" s="367"/>
      <c r="J23" s="367"/>
      <c r="K23" s="367"/>
      <c r="L23" s="367"/>
      <c r="M23" s="367"/>
      <c r="N23" s="367"/>
      <c r="O23" s="367"/>
      <c r="P23" s="367"/>
      <c r="Q23" s="367"/>
      <c r="R23" s="368"/>
      <c r="S23" s="131"/>
    </row>
    <row r="24" spans="1:19" s="18" customFormat="1" ht="20.100000000000001" customHeight="1" x14ac:dyDescent="0.2">
      <c r="A24" s="125"/>
      <c r="B24" s="366"/>
      <c r="C24" s="367"/>
      <c r="D24" s="367"/>
      <c r="E24" s="367"/>
      <c r="F24" s="367"/>
      <c r="G24" s="367"/>
      <c r="H24" s="367"/>
      <c r="I24" s="367"/>
      <c r="J24" s="367"/>
      <c r="K24" s="367"/>
      <c r="L24" s="367"/>
      <c r="M24" s="367"/>
      <c r="N24" s="367"/>
      <c r="O24" s="367"/>
      <c r="P24" s="367"/>
      <c r="Q24" s="367"/>
      <c r="R24" s="368"/>
      <c r="S24" s="131"/>
    </row>
    <row r="25" spans="1:19" s="18" customFormat="1" ht="20.100000000000001" customHeight="1" x14ac:dyDescent="0.2">
      <c r="A25" s="125"/>
      <c r="B25" s="366"/>
      <c r="C25" s="367"/>
      <c r="D25" s="367"/>
      <c r="E25" s="367"/>
      <c r="F25" s="367"/>
      <c r="G25" s="367"/>
      <c r="H25" s="367"/>
      <c r="I25" s="367"/>
      <c r="J25" s="367"/>
      <c r="K25" s="367"/>
      <c r="L25" s="367"/>
      <c r="M25" s="367"/>
      <c r="N25" s="367"/>
      <c r="O25" s="367"/>
      <c r="P25" s="367"/>
      <c r="Q25" s="367"/>
      <c r="R25" s="368"/>
      <c r="S25" s="131"/>
    </row>
    <row r="26" spans="1:19" s="18" customFormat="1" ht="20.100000000000001" customHeight="1" x14ac:dyDescent="0.2">
      <c r="A26" s="125"/>
      <c r="B26" s="366"/>
      <c r="C26" s="367"/>
      <c r="D26" s="367"/>
      <c r="E26" s="367"/>
      <c r="F26" s="367"/>
      <c r="G26" s="367"/>
      <c r="H26" s="367"/>
      <c r="I26" s="367"/>
      <c r="J26" s="367"/>
      <c r="K26" s="367"/>
      <c r="L26" s="367"/>
      <c r="M26" s="367"/>
      <c r="N26" s="367"/>
      <c r="O26" s="367"/>
      <c r="P26" s="367"/>
      <c r="Q26" s="367"/>
      <c r="R26" s="368"/>
      <c r="S26" s="131"/>
    </row>
    <row r="27" spans="1:19" s="18" customFormat="1" ht="20.100000000000001" customHeight="1" x14ac:dyDescent="0.2">
      <c r="A27" s="125"/>
      <c r="B27" s="366"/>
      <c r="C27" s="367"/>
      <c r="D27" s="367"/>
      <c r="E27" s="367"/>
      <c r="F27" s="367"/>
      <c r="G27" s="367"/>
      <c r="H27" s="367"/>
      <c r="I27" s="367"/>
      <c r="J27" s="367"/>
      <c r="K27" s="367"/>
      <c r="L27" s="367"/>
      <c r="M27" s="367"/>
      <c r="N27" s="367"/>
      <c r="O27" s="367"/>
      <c r="P27" s="367"/>
      <c r="Q27" s="367"/>
      <c r="R27" s="368"/>
      <c r="S27" s="131"/>
    </row>
    <row r="28" spans="1:19" s="18" customFormat="1" ht="20.100000000000001" customHeight="1" x14ac:dyDescent="0.2">
      <c r="A28" s="125"/>
      <c r="B28" s="366"/>
      <c r="C28" s="367"/>
      <c r="D28" s="367"/>
      <c r="E28" s="367"/>
      <c r="F28" s="367"/>
      <c r="G28" s="367"/>
      <c r="H28" s="367"/>
      <c r="I28" s="367"/>
      <c r="J28" s="367"/>
      <c r="K28" s="367"/>
      <c r="L28" s="367"/>
      <c r="M28" s="367"/>
      <c r="N28" s="367"/>
      <c r="O28" s="367"/>
      <c r="P28" s="367"/>
      <c r="Q28" s="367"/>
      <c r="R28" s="368"/>
      <c r="S28" s="131"/>
    </row>
    <row r="29" spans="1:19" s="18" customFormat="1" ht="20.100000000000001" customHeight="1" x14ac:dyDescent="0.2">
      <c r="A29" s="125"/>
      <c r="B29" s="366"/>
      <c r="C29" s="367"/>
      <c r="D29" s="367"/>
      <c r="E29" s="367"/>
      <c r="F29" s="367"/>
      <c r="G29" s="367"/>
      <c r="H29" s="367"/>
      <c r="I29" s="367"/>
      <c r="J29" s="367"/>
      <c r="K29" s="367"/>
      <c r="L29" s="367"/>
      <c r="M29" s="367"/>
      <c r="N29" s="367"/>
      <c r="O29" s="367"/>
      <c r="P29" s="367"/>
      <c r="Q29" s="367"/>
      <c r="R29" s="368"/>
      <c r="S29" s="131"/>
    </row>
    <row r="30" spans="1:19" s="18" customFormat="1" ht="20.100000000000001" customHeight="1" x14ac:dyDescent="0.2">
      <c r="A30" s="125"/>
      <c r="B30" s="366"/>
      <c r="C30" s="367"/>
      <c r="D30" s="367"/>
      <c r="E30" s="367"/>
      <c r="F30" s="367"/>
      <c r="G30" s="367"/>
      <c r="H30" s="367"/>
      <c r="I30" s="367"/>
      <c r="J30" s="367"/>
      <c r="K30" s="367"/>
      <c r="L30" s="367"/>
      <c r="M30" s="367"/>
      <c r="N30" s="367"/>
      <c r="O30" s="367"/>
      <c r="P30" s="367"/>
      <c r="Q30" s="367"/>
      <c r="R30" s="368"/>
      <c r="S30" s="131"/>
    </row>
    <row r="31" spans="1:19" s="18" customFormat="1" ht="20.100000000000001" customHeight="1" x14ac:dyDescent="0.2">
      <c r="A31" s="125"/>
      <c r="B31" s="366"/>
      <c r="C31" s="367"/>
      <c r="D31" s="367"/>
      <c r="E31" s="367"/>
      <c r="F31" s="367"/>
      <c r="G31" s="367"/>
      <c r="H31" s="367"/>
      <c r="I31" s="367"/>
      <c r="J31" s="367"/>
      <c r="K31" s="367"/>
      <c r="L31" s="367"/>
      <c r="M31" s="367"/>
      <c r="N31" s="367"/>
      <c r="O31" s="367"/>
      <c r="P31" s="367"/>
      <c r="Q31" s="367"/>
      <c r="R31" s="368"/>
      <c r="S31" s="131"/>
    </row>
    <row r="32" spans="1:19" s="18" customFormat="1" ht="20.100000000000001" customHeight="1" x14ac:dyDescent="0.2">
      <c r="A32" s="125"/>
      <c r="B32" s="247"/>
      <c r="C32" s="247"/>
      <c r="D32" s="247"/>
      <c r="E32" s="247"/>
      <c r="F32" s="247"/>
      <c r="G32" s="247"/>
      <c r="H32" s="247"/>
      <c r="I32" s="247"/>
      <c r="J32" s="247"/>
      <c r="K32" s="247"/>
      <c r="L32" s="247"/>
      <c r="M32" s="247"/>
      <c r="N32" s="247"/>
      <c r="O32" s="247"/>
      <c r="P32" s="247"/>
      <c r="Q32" s="247"/>
      <c r="R32" s="248"/>
      <c r="S32" s="131"/>
    </row>
    <row r="33" spans="1:19" s="18" customFormat="1" ht="20.100000000000001" customHeight="1" x14ac:dyDescent="0.2">
      <c r="A33" s="125"/>
      <c r="B33" s="366"/>
      <c r="C33" s="367"/>
      <c r="D33" s="367"/>
      <c r="E33" s="367"/>
      <c r="F33" s="367"/>
      <c r="G33" s="367"/>
      <c r="H33" s="367"/>
      <c r="I33" s="367"/>
      <c r="J33" s="367"/>
      <c r="K33" s="367"/>
      <c r="L33" s="367"/>
      <c r="M33" s="367"/>
      <c r="N33" s="367"/>
      <c r="O33" s="367"/>
      <c r="P33" s="367"/>
      <c r="Q33" s="367"/>
      <c r="R33" s="368"/>
      <c r="S33" s="131"/>
    </row>
    <row r="34" spans="1:19" s="18" customFormat="1" ht="20.100000000000001" customHeight="1" x14ac:dyDescent="0.2">
      <c r="A34" s="125"/>
      <c r="B34" s="366"/>
      <c r="C34" s="367"/>
      <c r="D34" s="367"/>
      <c r="E34" s="367"/>
      <c r="F34" s="367"/>
      <c r="G34" s="367"/>
      <c r="H34" s="367"/>
      <c r="I34" s="367"/>
      <c r="J34" s="367"/>
      <c r="K34" s="367"/>
      <c r="L34" s="367"/>
      <c r="M34" s="367"/>
      <c r="N34" s="367"/>
      <c r="O34" s="367"/>
      <c r="P34" s="367"/>
      <c r="Q34" s="367"/>
      <c r="R34" s="368"/>
      <c r="S34" s="131"/>
    </row>
    <row r="35" spans="1:19" s="18" customFormat="1" ht="20.100000000000001" customHeight="1" x14ac:dyDescent="0.2">
      <c r="A35" s="125"/>
      <c r="B35" s="366"/>
      <c r="C35" s="367"/>
      <c r="D35" s="367"/>
      <c r="E35" s="367"/>
      <c r="F35" s="367"/>
      <c r="G35" s="367"/>
      <c r="H35" s="367"/>
      <c r="I35" s="367"/>
      <c r="J35" s="367"/>
      <c r="K35" s="367"/>
      <c r="L35" s="367"/>
      <c r="M35" s="367"/>
      <c r="N35" s="367"/>
      <c r="O35" s="367"/>
      <c r="P35" s="367"/>
      <c r="Q35" s="367"/>
      <c r="R35" s="368"/>
      <c r="S35" s="131"/>
    </row>
    <row r="36" spans="1:19" s="18" customFormat="1" ht="20.100000000000001" customHeight="1" thickBot="1" x14ac:dyDescent="0.25">
      <c r="A36" s="153"/>
      <c r="B36" s="373"/>
      <c r="C36" s="374"/>
      <c r="D36" s="374"/>
      <c r="E36" s="374"/>
      <c r="F36" s="374"/>
      <c r="G36" s="374"/>
      <c r="H36" s="374"/>
      <c r="I36" s="374"/>
      <c r="J36" s="374"/>
      <c r="K36" s="374"/>
      <c r="L36" s="374"/>
      <c r="M36" s="374"/>
      <c r="N36" s="374"/>
      <c r="O36" s="374"/>
      <c r="P36" s="374"/>
      <c r="Q36" s="374"/>
      <c r="R36" s="375"/>
      <c r="S36" s="131"/>
    </row>
    <row r="37" spans="1:19" s="19" customFormat="1" ht="20.100000000000001" customHeight="1" thickBot="1" x14ac:dyDescent="0.3">
      <c r="A37" s="386" t="s">
        <v>72</v>
      </c>
      <c r="B37" s="387"/>
      <c r="C37" s="387"/>
      <c r="D37" s="387"/>
      <c r="E37" s="387"/>
      <c r="F37" s="387"/>
      <c r="G37" s="387"/>
      <c r="H37" s="388"/>
      <c r="I37" s="386" t="s">
        <v>71</v>
      </c>
      <c r="J37" s="387"/>
      <c r="K37" s="387"/>
      <c r="L37" s="387"/>
      <c r="M37" s="387"/>
      <c r="N37" s="387"/>
      <c r="O37" s="387"/>
      <c r="P37" s="387"/>
      <c r="Q37" s="387"/>
      <c r="R37" s="388"/>
      <c r="S37" s="131"/>
    </row>
    <row r="38" spans="1:19" s="20" customFormat="1" ht="20.100000000000001" customHeight="1" x14ac:dyDescent="0.25">
      <c r="A38" s="133" t="s">
        <v>15</v>
      </c>
      <c r="B38" s="134" t="s">
        <v>12</v>
      </c>
      <c r="C38" s="134" t="s">
        <v>21</v>
      </c>
      <c r="D38" s="135" t="s">
        <v>14</v>
      </c>
      <c r="E38" s="136" t="s">
        <v>15</v>
      </c>
      <c r="F38" s="134" t="s">
        <v>12</v>
      </c>
      <c r="G38" s="134" t="s">
        <v>21</v>
      </c>
      <c r="H38" s="137" t="s">
        <v>14</v>
      </c>
      <c r="I38" s="133" t="s">
        <v>15</v>
      </c>
      <c r="J38" s="392" t="s">
        <v>16</v>
      </c>
      <c r="K38" s="393"/>
      <c r="L38" s="135" t="s">
        <v>0</v>
      </c>
      <c r="M38" s="136" t="s">
        <v>15</v>
      </c>
      <c r="N38" s="392" t="s">
        <v>16</v>
      </c>
      <c r="O38" s="413"/>
      <c r="P38" s="413"/>
      <c r="Q38" s="393"/>
      <c r="R38" s="137" t="s">
        <v>0</v>
      </c>
      <c r="S38" s="131"/>
    </row>
    <row r="39" spans="1:19" s="18" customFormat="1" ht="20.100000000000001" customHeight="1" x14ac:dyDescent="0.2">
      <c r="A39" s="35" t="s">
        <v>124</v>
      </c>
      <c r="B39" s="124" t="s">
        <v>124</v>
      </c>
      <c r="C39" s="143" t="s">
        <v>124</v>
      </c>
      <c r="D39" s="144" t="s">
        <v>124</v>
      </c>
      <c r="E39" s="145"/>
      <c r="F39" s="124"/>
      <c r="G39" s="143"/>
      <c r="H39" s="146"/>
      <c r="I39" s="35" t="s">
        <v>124</v>
      </c>
      <c r="J39" s="347" t="s">
        <v>124</v>
      </c>
      <c r="K39" s="348"/>
      <c r="L39" s="144" t="s">
        <v>124</v>
      </c>
      <c r="M39" s="145"/>
      <c r="N39" s="347"/>
      <c r="O39" s="354"/>
      <c r="P39" s="354"/>
      <c r="Q39" s="348"/>
      <c r="R39" s="36"/>
      <c r="S39" s="131"/>
    </row>
    <row r="40" spans="1:19" s="18" customFormat="1" ht="20.100000000000001" customHeight="1" x14ac:dyDescent="0.2">
      <c r="A40" s="35"/>
      <c r="B40" s="124"/>
      <c r="C40" s="143"/>
      <c r="D40" s="144"/>
      <c r="E40" s="145"/>
      <c r="F40" s="124"/>
      <c r="G40" s="143"/>
      <c r="H40" s="146"/>
      <c r="I40" s="35"/>
      <c r="J40" s="347"/>
      <c r="K40" s="348"/>
      <c r="L40" s="144"/>
      <c r="M40" s="145"/>
      <c r="N40" s="347"/>
      <c r="O40" s="354"/>
      <c r="P40" s="354"/>
      <c r="Q40" s="348"/>
      <c r="R40" s="36"/>
      <c r="S40" s="131"/>
    </row>
    <row r="41" spans="1:19" s="18" customFormat="1" ht="20.100000000000001" customHeight="1" x14ac:dyDescent="0.2">
      <c r="A41" s="35"/>
      <c r="B41" s="124"/>
      <c r="C41" s="143"/>
      <c r="D41" s="144"/>
      <c r="E41" s="145"/>
      <c r="F41" s="124"/>
      <c r="G41" s="143"/>
      <c r="H41" s="146"/>
      <c r="I41" s="35"/>
      <c r="J41" s="347"/>
      <c r="K41" s="348"/>
      <c r="L41" s="144"/>
      <c r="M41" s="145"/>
      <c r="N41" s="347"/>
      <c r="O41" s="354"/>
      <c r="P41" s="354"/>
      <c r="Q41" s="348"/>
      <c r="R41" s="36"/>
      <c r="S41" s="131"/>
    </row>
    <row r="42" spans="1:19" s="18" customFormat="1" ht="20.100000000000001" customHeight="1" x14ac:dyDescent="0.2">
      <c r="A42" s="145"/>
      <c r="B42" s="230"/>
      <c r="C42" s="143"/>
      <c r="D42" s="146"/>
      <c r="E42" s="145"/>
      <c r="F42" s="124"/>
      <c r="G42" s="143"/>
      <c r="H42" s="146"/>
      <c r="I42" s="35"/>
      <c r="J42" s="347"/>
      <c r="K42" s="348"/>
      <c r="L42" s="144"/>
      <c r="M42" s="145"/>
      <c r="N42" s="347"/>
      <c r="O42" s="354"/>
      <c r="P42" s="354"/>
      <c r="Q42" s="348"/>
      <c r="R42" s="36"/>
      <c r="S42" s="131"/>
    </row>
    <row r="43" spans="1:19" s="18" customFormat="1" ht="20.100000000000001" customHeight="1" x14ac:dyDescent="0.2">
      <c r="A43" s="145"/>
      <c r="B43" s="230"/>
      <c r="C43" s="143"/>
      <c r="D43" s="146"/>
      <c r="E43" s="145"/>
      <c r="F43" s="124"/>
      <c r="G43" s="143"/>
      <c r="H43" s="146"/>
      <c r="I43" s="35"/>
      <c r="J43" s="347"/>
      <c r="K43" s="348"/>
      <c r="L43" s="144"/>
      <c r="M43" s="145"/>
      <c r="N43" s="347"/>
      <c r="O43" s="354"/>
      <c r="P43" s="354"/>
      <c r="Q43" s="348"/>
      <c r="R43" s="36"/>
      <c r="S43" s="131"/>
    </row>
    <row r="44" spans="1:19" s="18" customFormat="1" ht="20.100000000000001" customHeight="1" x14ac:dyDescent="0.2">
      <c r="A44" s="145"/>
      <c r="B44" s="230"/>
      <c r="C44" s="143"/>
      <c r="D44" s="146"/>
      <c r="E44" s="145"/>
      <c r="F44" s="124"/>
      <c r="G44" s="143"/>
      <c r="H44" s="146"/>
      <c r="I44" s="35"/>
      <c r="J44" s="347"/>
      <c r="K44" s="348"/>
      <c r="L44" s="144"/>
      <c r="M44" s="145"/>
      <c r="N44" s="347"/>
      <c r="O44" s="354"/>
      <c r="P44" s="354"/>
      <c r="Q44" s="348"/>
      <c r="R44" s="36"/>
      <c r="S44" s="131"/>
    </row>
    <row r="45" spans="1:19" s="18" customFormat="1" ht="20.100000000000001" customHeight="1" x14ac:dyDescent="0.2">
      <c r="A45" s="35"/>
      <c r="B45" s="124"/>
      <c r="C45" s="143"/>
      <c r="D45" s="144"/>
      <c r="E45" s="145"/>
      <c r="F45" s="124"/>
      <c r="G45" s="143"/>
      <c r="H45" s="146"/>
      <c r="I45" s="35"/>
      <c r="J45" s="347"/>
      <c r="K45" s="348"/>
      <c r="L45" s="144"/>
      <c r="M45" s="145"/>
      <c r="N45" s="347"/>
      <c r="O45" s="354"/>
      <c r="P45" s="354"/>
      <c r="Q45" s="348"/>
      <c r="R45" s="36"/>
      <c r="S45" s="131"/>
    </row>
    <row r="46" spans="1:19" s="18" customFormat="1" ht="20.100000000000001" customHeight="1" x14ac:dyDescent="0.2">
      <c r="A46" s="35"/>
      <c r="B46" s="124"/>
      <c r="C46" s="143"/>
      <c r="D46" s="144"/>
      <c r="E46" s="145"/>
      <c r="F46" s="124"/>
      <c r="G46" s="143"/>
      <c r="H46" s="146"/>
      <c r="I46" s="35"/>
      <c r="J46" s="347"/>
      <c r="K46" s="348"/>
      <c r="L46" s="144"/>
      <c r="M46" s="145"/>
      <c r="N46" s="347"/>
      <c r="O46" s="354"/>
      <c r="P46" s="354"/>
      <c r="Q46" s="348"/>
      <c r="R46" s="36"/>
      <c r="S46" s="131"/>
    </row>
    <row r="47" spans="1:19" s="18" customFormat="1" ht="20.100000000000001" customHeight="1" x14ac:dyDescent="0.2">
      <c r="A47" s="35"/>
      <c r="B47" s="124"/>
      <c r="C47" s="143"/>
      <c r="D47" s="144"/>
      <c r="E47" s="145"/>
      <c r="F47" s="124"/>
      <c r="G47" s="143"/>
      <c r="H47" s="146"/>
      <c r="I47" s="35"/>
      <c r="J47" s="347"/>
      <c r="K47" s="348"/>
      <c r="L47" s="144"/>
      <c r="M47" s="145"/>
      <c r="N47" s="347"/>
      <c r="O47" s="354"/>
      <c r="P47" s="354"/>
      <c r="Q47" s="348"/>
      <c r="R47" s="36"/>
      <c r="S47" s="131"/>
    </row>
    <row r="48" spans="1:19" s="18" customFormat="1" ht="20.100000000000001" customHeight="1" x14ac:dyDescent="0.2">
      <c r="A48" s="35"/>
      <c r="B48" s="124"/>
      <c r="C48" s="143"/>
      <c r="D48" s="144"/>
      <c r="E48" s="145"/>
      <c r="F48" s="124"/>
      <c r="G48" s="143"/>
      <c r="H48" s="146"/>
      <c r="I48" s="35"/>
      <c r="J48" s="347"/>
      <c r="K48" s="348"/>
      <c r="L48" s="144"/>
      <c r="M48" s="145"/>
      <c r="N48" s="347"/>
      <c r="O48" s="354"/>
      <c r="P48" s="354"/>
      <c r="Q48" s="348"/>
      <c r="R48" s="36"/>
      <c r="S48" s="131"/>
    </row>
    <row r="49" spans="1:19" s="18" customFormat="1" ht="20.100000000000001" customHeight="1" x14ac:dyDescent="0.2">
      <c r="A49" s="35"/>
      <c r="B49" s="124"/>
      <c r="C49" s="143"/>
      <c r="D49" s="144"/>
      <c r="E49" s="145"/>
      <c r="F49" s="124"/>
      <c r="G49" s="143"/>
      <c r="H49" s="146"/>
      <c r="I49" s="35"/>
      <c r="J49" s="347"/>
      <c r="K49" s="348"/>
      <c r="L49" s="144"/>
      <c r="M49" s="145"/>
      <c r="N49" s="347"/>
      <c r="O49" s="354"/>
      <c r="P49" s="354"/>
      <c r="Q49" s="348"/>
      <c r="R49" s="36"/>
      <c r="S49" s="131"/>
    </row>
    <row r="50" spans="1:19" s="18" customFormat="1" ht="20.100000000000001" customHeight="1" x14ac:dyDescent="0.2">
      <c r="A50" s="35"/>
      <c r="B50" s="124"/>
      <c r="C50" s="143"/>
      <c r="D50" s="144"/>
      <c r="E50" s="145"/>
      <c r="F50" s="124"/>
      <c r="G50" s="143"/>
      <c r="H50" s="146"/>
      <c r="I50" s="35"/>
      <c r="J50" s="347"/>
      <c r="K50" s="348"/>
      <c r="L50" s="144"/>
      <c r="M50" s="145"/>
      <c r="N50" s="347"/>
      <c r="O50" s="354"/>
      <c r="P50" s="354"/>
      <c r="Q50" s="348"/>
      <c r="R50" s="36"/>
      <c r="S50" s="131"/>
    </row>
    <row r="51" spans="1:19" s="18" customFormat="1" ht="20.100000000000001" customHeight="1" x14ac:dyDescent="0.2">
      <c r="A51" s="35"/>
      <c r="B51" s="124"/>
      <c r="C51" s="143"/>
      <c r="D51" s="144"/>
      <c r="E51" s="145"/>
      <c r="F51" s="124"/>
      <c r="G51" s="143"/>
      <c r="H51" s="146"/>
      <c r="I51" s="35"/>
      <c r="J51" s="347"/>
      <c r="K51" s="348"/>
      <c r="L51" s="144"/>
      <c r="M51" s="145"/>
      <c r="N51" s="347"/>
      <c r="O51" s="354"/>
      <c r="P51" s="354"/>
      <c r="Q51" s="348"/>
      <c r="R51" s="36"/>
      <c r="S51" s="131"/>
    </row>
    <row r="52" spans="1:19" s="18" customFormat="1" ht="20.100000000000001" customHeight="1" x14ac:dyDescent="0.2">
      <c r="A52" s="35"/>
      <c r="B52" s="124"/>
      <c r="C52" s="143"/>
      <c r="D52" s="144"/>
      <c r="E52" s="145"/>
      <c r="F52" s="124"/>
      <c r="G52" s="143"/>
      <c r="H52" s="146"/>
      <c r="I52" s="35"/>
      <c r="J52" s="347"/>
      <c r="K52" s="348"/>
      <c r="L52" s="144"/>
      <c r="M52" s="145"/>
      <c r="N52" s="347"/>
      <c r="O52" s="354"/>
      <c r="P52" s="354"/>
      <c r="Q52" s="348"/>
      <c r="R52" s="36"/>
      <c r="S52" s="131"/>
    </row>
    <row r="53" spans="1:19" s="18" customFormat="1" ht="20.100000000000001" customHeight="1" thickBot="1" x14ac:dyDescent="0.25">
      <c r="A53" s="147"/>
      <c r="B53" s="148"/>
      <c r="C53" s="149"/>
      <c r="D53" s="150"/>
      <c r="E53" s="151"/>
      <c r="F53" s="148"/>
      <c r="G53" s="149"/>
      <c r="H53" s="152"/>
      <c r="I53" s="147"/>
      <c r="J53" s="347"/>
      <c r="K53" s="348"/>
      <c r="L53" s="150"/>
      <c r="M53" s="151"/>
      <c r="N53" s="347"/>
      <c r="O53" s="354"/>
      <c r="P53" s="354"/>
      <c r="Q53" s="348"/>
      <c r="R53" s="36"/>
      <c r="S53" s="131"/>
    </row>
    <row r="54" spans="1:19" s="18" customFormat="1" ht="20.100000000000001" customHeight="1" thickBot="1" x14ac:dyDescent="0.3">
      <c r="A54" s="371" t="s">
        <v>49</v>
      </c>
      <c r="B54" s="372"/>
      <c r="C54" s="369">
        <v>0</v>
      </c>
      <c r="D54" s="370"/>
      <c r="E54" s="404" t="s">
        <v>70</v>
      </c>
      <c r="F54" s="405"/>
      <c r="G54" s="405"/>
      <c r="H54" s="405"/>
      <c r="I54" s="405"/>
      <c r="J54" s="405"/>
      <c r="K54" s="405"/>
      <c r="L54" s="405"/>
      <c r="M54" s="405"/>
      <c r="N54" s="405"/>
      <c r="O54" s="405"/>
      <c r="P54" s="405"/>
      <c r="Q54" s="405"/>
      <c r="R54" s="405"/>
      <c r="S54" s="131"/>
    </row>
    <row r="55" spans="1:19" s="18" customFormat="1" ht="20.100000000000001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403" t="s">
        <v>86</v>
      </c>
      <c r="N55" s="403"/>
      <c r="O55" s="403"/>
      <c r="P55" s="403"/>
      <c r="Q55" s="403"/>
      <c r="R55" s="403"/>
      <c r="S55" s="131"/>
    </row>
    <row r="56" spans="1:19" s="18" customFormat="1" ht="17.45" customHeight="1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28"/>
      <c r="S56" s="131"/>
    </row>
    <row r="57" spans="1:19" s="18" customFormat="1" ht="17.45" customHeight="1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M57" s="17"/>
      <c r="N57" s="17"/>
      <c r="O57" s="17"/>
      <c r="P57" s="17"/>
      <c r="Q57" s="17"/>
      <c r="R57" s="128"/>
      <c r="S57" s="131"/>
    </row>
    <row r="58" spans="1:19" s="18" customFormat="1" ht="17.45" customHeight="1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28"/>
      <c r="S58" s="131"/>
    </row>
    <row r="59" spans="1:19" s="18" customFormat="1" ht="17.45" customHeight="1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28"/>
      <c r="S59" s="131"/>
    </row>
    <row r="60" spans="1:19" s="18" customFormat="1" ht="15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28"/>
      <c r="S60" s="131"/>
    </row>
    <row r="61" spans="1:19" s="18" customFormat="1" ht="15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28"/>
      <c r="S61" s="131"/>
    </row>
    <row r="62" spans="1:19" s="18" customFormat="1" ht="15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28"/>
      <c r="S62" s="131"/>
    </row>
    <row r="63" spans="1:19" s="18" customFormat="1" ht="15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28"/>
      <c r="S63" s="131"/>
    </row>
  </sheetData>
  <sheetProtection password="FEA9" sheet="1" objects="1" scenarios="1"/>
  <dataConsolidate/>
  <mergeCells count="108">
    <mergeCell ref="J42:K42"/>
    <mergeCell ref="J40:K40"/>
    <mergeCell ref="N43:Q43"/>
    <mergeCell ref="F13:R13"/>
    <mergeCell ref="A1:C1"/>
    <mergeCell ref="D1:G1"/>
    <mergeCell ref="H1:R1"/>
    <mergeCell ref="O2:R2"/>
    <mergeCell ref="A2:C2"/>
    <mergeCell ref="D2:G2"/>
    <mergeCell ref="M2:N2"/>
    <mergeCell ref="I2:L2"/>
    <mergeCell ref="A3:C3"/>
    <mergeCell ref="D3:L3"/>
    <mergeCell ref="B25:R25"/>
    <mergeCell ref="B27:R27"/>
    <mergeCell ref="D4:L4"/>
    <mergeCell ref="D5:L5"/>
    <mergeCell ref="O3:P3"/>
    <mergeCell ref="M4:N4"/>
    <mergeCell ref="M3:N3"/>
    <mergeCell ref="M5:P5"/>
    <mergeCell ref="N41:Q41"/>
    <mergeCell ref="B18:R18"/>
    <mergeCell ref="N44:Q44"/>
    <mergeCell ref="M55:R55"/>
    <mergeCell ref="E54:R54"/>
    <mergeCell ref="J44:K44"/>
    <mergeCell ref="B26:R26"/>
    <mergeCell ref="B30:R30"/>
    <mergeCell ref="B29:R29"/>
    <mergeCell ref="A13:B13"/>
    <mergeCell ref="A5:C5"/>
    <mergeCell ref="M7:N7"/>
    <mergeCell ref="D6:L6"/>
    <mergeCell ref="B19:R19"/>
    <mergeCell ref="D7:L7"/>
    <mergeCell ref="A6:C7"/>
    <mergeCell ref="I8:J8"/>
    <mergeCell ref="K8:L8"/>
    <mergeCell ref="M6:P6"/>
    <mergeCell ref="N47:Q47"/>
    <mergeCell ref="D10:R10"/>
    <mergeCell ref="I9:J9"/>
    <mergeCell ref="G9:H9"/>
    <mergeCell ref="J39:K39"/>
    <mergeCell ref="N38:Q38"/>
    <mergeCell ref="N39:Q39"/>
    <mergeCell ref="O4:R4"/>
    <mergeCell ref="N40:Q40"/>
    <mergeCell ref="J38:K38"/>
    <mergeCell ref="M9:R9"/>
    <mergeCell ref="M8:R8"/>
    <mergeCell ref="B14:R14"/>
    <mergeCell ref="C13:E13"/>
    <mergeCell ref="A4:C4"/>
    <mergeCell ref="B17:R17"/>
    <mergeCell ref="Q5:R5"/>
    <mergeCell ref="K9:L9"/>
    <mergeCell ref="A10:C10"/>
    <mergeCell ref="N52:Q52"/>
    <mergeCell ref="J45:K45"/>
    <mergeCell ref="A8:C8"/>
    <mergeCell ref="A9:C9"/>
    <mergeCell ref="D9:F9"/>
    <mergeCell ref="G8:H8"/>
    <mergeCell ref="K12:R12"/>
    <mergeCell ref="D12:J12"/>
    <mergeCell ref="B20:R20"/>
    <mergeCell ref="N46:Q46"/>
    <mergeCell ref="A12:C12"/>
    <mergeCell ref="A11:C11"/>
    <mergeCell ref="I37:R37"/>
    <mergeCell ref="B22:R22"/>
    <mergeCell ref="A37:H37"/>
    <mergeCell ref="J43:K43"/>
    <mergeCell ref="B28:R28"/>
    <mergeCell ref="B15:R15"/>
    <mergeCell ref="B16:R16"/>
    <mergeCell ref="B34:R34"/>
    <mergeCell ref="D11:R11"/>
    <mergeCell ref="B21:R21"/>
    <mergeCell ref="B23:R23"/>
    <mergeCell ref="B24:R24"/>
    <mergeCell ref="N42:Q42"/>
    <mergeCell ref="N45:Q45"/>
    <mergeCell ref="Q6:R6"/>
    <mergeCell ref="D8:F8"/>
    <mergeCell ref="B31:R31"/>
    <mergeCell ref="B33:R33"/>
    <mergeCell ref="C54:D54"/>
    <mergeCell ref="N48:Q48"/>
    <mergeCell ref="A54:B54"/>
    <mergeCell ref="J46:K46"/>
    <mergeCell ref="J41:K41"/>
    <mergeCell ref="N53:Q53"/>
    <mergeCell ref="N49:Q49"/>
    <mergeCell ref="B35:R35"/>
    <mergeCell ref="B36:R36"/>
    <mergeCell ref="J53:K53"/>
    <mergeCell ref="J49:K49"/>
    <mergeCell ref="J50:K50"/>
    <mergeCell ref="J51:K51"/>
    <mergeCell ref="J52:K52"/>
    <mergeCell ref="J48:K48"/>
    <mergeCell ref="J47:K47"/>
    <mergeCell ref="N50:Q50"/>
    <mergeCell ref="N51:Q51"/>
  </mergeCells>
  <phoneticPr fontId="0" type="noConversion"/>
  <dataValidations count="2">
    <dataValidation type="list" showInputMessage="1" showErrorMessage="1" errorTitle="Invalid Input" error="Please select a valid options in the dropdown list." sqref="R3">
      <formula1>$S$3:$S$13</formula1>
    </dataValidation>
    <dataValidation type="list" showInputMessage="1" showErrorMessage="1" errorTitle="Invalid Input" error="Please select a valid options in the dropdown list." sqref="Q5">
      <formula1>"HOME, CUSTOMERS"</formula1>
    </dataValidation>
  </dataValidations>
  <printOptions horizontalCentered="1"/>
  <pageMargins left="0.25" right="0.25" top="0.75" bottom="0.25" header="0.5" footer="0.5"/>
  <pageSetup scale="63" orientation="portrait" horizontalDpi="300" verticalDpi="300" r:id="rId1"/>
  <headerFooter alignWithMargins="0">
    <oddHeader>&amp;C&amp;"Arial,Bold"&amp;14NMBS ESTIMATE COVER SHEET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C55"/>
  <sheetViews>
    <sheetView tabSelected="1" zoomScale="75" zoomScaleNormal="75" workbookViewId="0">
      <selection activeCell="A5" sqref="A5"/>
    </sheetView>
  </sheetViews>
  <sheetFormatPr defaultRowHeight="12.75" x14ac:dyDescent="0.2"/>
  <cols>
    <col min="1" max="1" width="9.7109375" style="8" customWidth="1"/>
    <col min="2" max="2" width="8.7109375" style="8" customWidth="1"/>
    <col min="3" max="3" width="22.7109375" style="8" customWidth="1"/>
    <col min="4" max="4" width="6.7109375" style="8" customWidth="1"/>
    <col min="5" max="5" width="7.7109375" style="8" customWidth="1"/>
    <col min="6" max="6" width="6.28515625" style="8" customWidth="1"/>
    <col min="7" max="7" width="5.7109375" style="8" customWidth="1"/>
    <col min="8" max="8" width="7.7109375" style="8" customWidth="1"/>
    <col min="9" max="9" width="6.28515625" style="8" customWidth="1"/>
    <col min="10" max="10" width="5.7109375" style="8" customWidth="1"/>
    <col min="11" max="15" width="7.7109375" style="8" customWidth="1"/>
    <col min="16" max="18" width="6.7109375" style="8" customWidth="1"/>
    <col min="19" max="19" width="10.7109375" style="8" customWidth="1"/>
    <col min="20" max="20" width="6.7109375" style="8" customWidth="1"/>
    <col min="21" max="21" width="7.7109375" style="8" customWidth="1"/>
    <col min="22" max="22" width="10.7109375" style="8" customWidth="1"/>
    <col min="23" max="23" width="6.7109375" style="8" customWidth="1"/>
    <col min="24" max="24" width="7.7109375" style="8" customWidth="1"/>
    <col min="25" max="25" width="7.5703125" style="8" bestFit="1" customWidth="1"/>
    <col min="26" max="27" width="7.7109375" style="8" customWidth="1"/>
    <col min="28" max="28" width="6.7109375" style="8" customWidth="1"/>
    <col min="29" max="29" width="7.7109375" style="8" customWidth="1"/>
    <col min="30" max="16384" width="9.140625" style="8"/>
  </cols>
  <sheetData>
    <row r="1" spans="1:29" s="9" customFormat="1" ht="20.100000000000001" customHeight="1" x14ac:dyDescent="0.2">
      <c r="A1" s="252" t="s">
        <v>26</v>
      </c>
      <c r="B1" s="253"/>
      <c r="C1" s="275" t="str">
        <f>IF(ISBLANK(Cover!D3),"",Cover!D3)</f>
        <v>*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75"/>
      <c r="O1" s="275"/>
      <c r="P1" s="275"/>
      <c r="Q1" s="275"/>
      <c r="R1" s="275"/>
      <c r="S1" s="275"/>
      <c r="T1" s="275"/>
      <c r="U1" s="275"/>
      <c r="V1" s="275"/>
      <c r="W1" s="275"/>
      <c r="X1" s="275"/>
      <c r="Y1" s="275"/>
      <c r="Z1" s="233" t="s">
        <v>28</v>
      </c>
      <c r="AA1" s="293" t="str">
        <f>IF(ISBLANK(Cover!O2),"",Cover!O2)</f>
        <v>*</v>
      </c>
      <c r="AB1" s="293"/>
      <c r="AC1" s="294"/>
    </row>
    <row r="2" spans="1:29" s="9" customFormat="1" ht="20.100000000000001" customHeight="1" thickBot="1" x14ac:dyDescent="0.25">
      <c r="A2" s="254" t="s">
        <v>27</v>
      </c>
      <c r="B2" s="255"/>
      <c r="C2" s="286" t="str">
        <f>IF(ISBLANK(Cover!D4),"",Cover!D4)</f>
        <v>*</v>
      </c>
      <c r="D2" s="286"/>
      <c r="E2" s="286"/>
      <c r="F2" s="286"/>
      <c r="G2" s="286"/>
      <c r="H2" s="286"/>
      <c r="I2" s="286"/>
      <c r="J2" s="286"/>
      <c r="K2" s="286"/>
      <c r="L2" s="286"/>
      <c r="M2" s="286"/>
      <c r="N2" s="286"/>
      <c r="O2" s="286"/>
      <c r="P2" s="286"/>
      <c r="Q2" s="286"/>
      <c r="R2" s="286"/>
      <c r="S2" s="286"/>
      <c r="T2" s="286"/>
      <c r="U2" s="286"/>
      <c r="V2" s="286"/>
      <c r="W2" s="286"/>
      <c r="X2" s="286"/>
      <c r="Y2" s="286"/>
      <c r="Z2" s="234" t="s">
        <v>38</v>
      </c>
      <c r="AA2" s="59">
        <v>2</v>
      </c>
      <c r="AB2" s="32" t="s">
        <v>45</v>
      </c>
      <c r="AC2" s="165">
        <f>IF(ISBLANK(Cover!Q7),"",Cover!Q7)</f>
        <v>3</v>
      </c>
    </row>
    <row r="3" spans="1:29" s="9" customFormat="1" ht="20.100000000000001" customHeight="1" x14ac:dyDescent="0.2">
      <c r="A3" s="284" t="s">
        <v>46</v>
      </c>
      <c r="B3" s="284" t="s">
        <v>0</v>
      </c>
      <c r="C3" s="284" t="s">
        <v>1</v>
      </c>
      <c r="D3" s="287" t="s">
        <v>83</v>
      </c>
      <c r="E3" s="288"/>
      <c r="F3" s="276" t="s">
        <v>2</v>
      </c>
      <c r="G3" s="277"/>
      <c r="H3" s="277"/>
      <c r="I3" s="276" t="s">
        <v>5</v>
      </c>
      <c r="J3" s="277"/>
      <c r="K3" s="277"/>
      <c r="L3" s="276" t="s">
        <v>8</v>
      </c>
      <c r="M3" s="278"/>
      <c r="N3" s="237" t="s">
        <v>6</v>
      </c>
      <c r="O3" s="237" t="s">
        <v>22</v>
      </c>
      <c r="P3" s="283" t="s">
        <v>81</v>
      </c>
      <c r="Q3" s="277"/>
      <c r="R3" s="278"/>
      <c r="S3" s="276" t="s">
        <v>77</v>
      </c>
      <c r="T3" s="277"/>
      <c r="U3" s="277"/>
      <c r="V3" s="276" t="s">
        <v>78</v>
      </c>
      <c r="W3" s="277"/>
      <c r="X3" s="278"/>
      <c r="Y3" s="291" t="s">
        <v>82</v>
      </c>
      <c r="Z3" s="295" t="s">
        <v>11</v>
      </c>
      <c r="AA3" s="296"/>
      <c r="AB3" s="296"/>
      <c r="AC3" s="297"/>
    </row>
    <row r="4" spans="1:29" s="9" customFormat="1" ht="20.100000000000001" customHeight="1" thickBot="1" x14ac:dyDescent="0.25">
      <c r="A4" s="285"/>
      <c r="B4" s="285"/>
      <c r="C4" s="285"/>
      <c r="D4" s="289"/>
      <c r="E4" s="290"/>
      <c r="F4" s="61" t="s">
        <v>3</v>
      </c>
      <c r="G4" s="281" t="s">
        <v>4</v>
      </c>
      <c r="H4" s="282"/>
      <c r="I4" s="61" t="s">
        <v>3</v>
      </c>
      <c r="J4" s="281" t="s">
        <v>4</v>
      </c>
      <c r="K4" s="282"/>
      <c r="L4" s="61" t="s">
        <v>9</v>
      </c>
      <c r="M4" s="236" t="s">
        <v>10</v>
      </c>
      <c r="N4" s="238" t="s">
        <v>7</v>
      </c>
      <c r="O4" s="235" t="s">
        <v>23</v>
      </c>
      <c r="P4" s="158" t="s">
        <v>16</v>
      </c>
      <c r="Q4" s="175" t="s">
        <v>75</v>
      </c>
      <c r="R4" s="155" t="s">
        <v>76</v>
      </c>
      <c r="S4" s="61" t="s">
        <v>80</v>
      </c>
      <c r="T4" s="281" t="s">
        <v>79</v>
      </c>
      <c r="U4" s="282"/>
      <c r="V4" s="61" t="s">
        <v>80</v>
      </c>
      <c r="W4" s="281" t="s">
        <v>79</v>
      </c>
      <c r="X4" s="282"/>
      <c r="Y4" s="292"/>
      <c r="Z4" s="298"/>
      <c r="AA4" s="299"/>
      <c r="AB4" s="299"/>
      <c r="AC4" s="300"/>
    </row>
    <row r="5" spans="1:29" s="9" customFormat="1" ht="20.100000000000001" customHeight="1" x14ac:dyDescent="0.2">
      <c r="A5" s="80"/>
      <c r="B5" s="81"/>
      <c r="C5" s="80"/>
      <c r="D5" s="82"/>
      <c r="E5" s="83"/>
      <c r="F5" s="168"/>
      <c r="G5" s="85"/>
      <c r="H5" s="86"/>
      <c r="I5" s="84"/>
      <c r="J5" s="85"/>
      <c r="K5" s="86"/>
      <c r="L5" s="87"/>
      <c r="M5" s="88"/>
      <c r="N5" s="89"/>
      <c r="O5" s="249"/>
      <c r="P5" s="177"/>
      <c r="Q5" s="176"/>
      <c r="R5" s="156"/>
      <c r="S5" s="166"/>
      <c r="T5" s="159"/>
      <c r="U5" s="160"/>
      <c r="V5" s="166"/>
      <c r="W5" s="159"/>
      <c r="X5" s="160"/>
      <c r="Y5" s="162"/>
      <c r="Z5" s="269"/>
      <c r="AA5" s="270"/>
      <c r="AB5" s="270"/>
      <c r="AC5" s="271"/>
    </row>
    <row r="6" spans="1:29" s="9" customFormat="1" ht="20.100000000000001" customHeight="1" x14ac:dyDescent="0.2">
      <c r="A6" s="63"/>
      <c r="B6" s="64"/>
      <c r="C6" s="63"/>
      <c r="D6" s="65"/>
      <c r="E6" s="66"/>
      <c r="F6" s="67"/>
      <c r="G6" s="41"/>
      <c r="H6" s="68"/>
      <c r="I6" s="67"/>
      <c r="J6" s="41"/>
      <c r="K6" s="68"/>
      <c r="L6" s="69"/>
      <c r="M6" s="70"/>
      <c r="N6" s="71"/>
      <c r="O6" s="173"/>
      <c r="P6" s="178"/>
      <c r="Q6" s="239"/>
      <c r="R6" s="157"/>
      <c r="S6" s="167"/>
      <c r="T6" s="41"/>
      <c r="U6" s="68"/>
      <c r="V6" s="167"/>
      <c r="W6" s="41"/>
      <c r="X6" s="68"/>
      <c r="Y6" s="161"/>
      <c r="Z6" s="272"/>
      <c r="AA6" s="273"/>
      <c r="AB6" s="273"/>
      <c r="AC6" s="274"/>
    </row>
    <row r="7" spans="1:29" s="18" customFormat="1" ht="20.100000000000001" customHeight="1" x14ac:dyDescent="0.2">
      <c r="A7" s="63"/>
      <c r="B7" s="64"/>
      <c r="C7" s="63"/>
      <c r="D7" s="65"/>
      <c r="E7" s="66"/>
      <c r="F7" s="67"/>
      <c r="G7" s="41"/>
      <c r="H7" s="68"/>
      <c r="I7" s="67"/>
      <c r="J7" s="41"/>
      <c r="K7" s="68"/>
      <c r="L7" s="69"/>
      <c r="M7" s="70"/>
      <c r="N7" s="71"/>
      <c r="O7" s="173"/>
      <c r="P7" s="178"/>
      <c r="Q7" s="239"/>
      <c r="R7" s="157"/>
      <c r="S7" s="167"/>
      <c r="T7" s="41"/>
      <c r="U7" s="68"/>
      <c r="V7" s="167"/>
      <c r="W7" s="41"/>
      <c r="X7" s="68"/>
      <c r="Y7" s="161"/>
      <c r="Z7" s="272"/>
      <c r="AA7" s="273"/>
      <c r="AB7" s="273"/>
      <c r="AC7" s="274"/>
    </row>
    <row r="8" spans="1:29" s="18" customFormat="1" ht="20.100000000000001" customHeight="1" x14ac:dyDescent="0.2">
      <c r="A8" s="63"/>
      <c r="B8" s="64"/>
      <c r="C8" s="63"/>
      <c r="D8" s="65"/>
      <c r="E8" s="66"/>
      <c r="F8" s="67"/>
      <c r="G8" s="41"/>
      <c r="H8" s="68"/>
      <c r="I8" s="67"/>
      <c r="J8" s="41"/>
      <c r="K8" s="68"/>
      <c r="L8" s="69"/>
      <c r="M8" s="70"/>
      <c r="N8" s="71"/>
      <c r="O8" s="173"/>
      <c r="P8" s="178"/>
      <c r="Q8" s="239"/>
      <c r="R8" s="157"/>
      <c r="S8" s="167"/>
      <c r="T8" s="41"/>
      <c r="U8" s="68"/>
      <c r="V8" s="167"/>
      <c r="W8" s="41"/>
      <c r="X8" s="68"/>
      <c r="Y8" s="161"/>
      <c r="Z8" s="272"/>
      <c r="AA8" s="273"/>
      <c r="AB8" s="273"/>
      <c r="AC8" s="274"/>
    </row>
    <row r="9" spans="1:29" s="18" customFormat="1" ht="20.100000000000001" customHeight="1" x14ac:dyDescent="0.2">
      <c r="A9" s="63"/>
      <c r="B9" s="64"/>
      <c r="C9" s="63"/>
      <c r="D9" s="65"/>
      <c r="E9" s="66"/>
      <c r="F9" s="67"/>
      <c r="G9" s="41"/>
      <c r="H9" s="68"/>
      <c r="I9" s="67"/>
      <c r="J9" s="41"/>
      <c r="K9" s="68"/>
      <c r="L9" s="69"/>
      <c r="M9" s="70"/>
      <c r="N9" s="71"/>
      <c r="O9" s="173"/>
      <c r="P9" s="178"/>
      <c r="Q9" s="239"/>
      <c r="R9" s="157"/>
      <c r="S9" s="167"/>
      <c r="T9" s="41"/>
      <c r="U9" s="68"/>
      <c r="V9" s="167"/>
      <c r="W9" s="41"/>
      <c r="X9" s="68"/>
      <c r="Y9" s="161"/>
      <c r="Z9" s="272"/>
      <c r="AA9" s="273"/>
      <c r="AB9" s="273"/>
      <c r="AC9" s="274"/>
    </row>
    <row r="10" spans="1:29" s="18" customFormat="1" ht="19.5" customHeight="1" x14ac:dyDescent="0.2">
      <c r="A10" s="63"/>
      <c r="B10" s="64"/>
      <c r="C10" s="63"/>
      <c r="D10" s="65"/>
      <c r="E10" s="66"/>
      <c r="F10" s="67"/>
      <c r="G10" s="41"/>
      <c r="H10" s="68"/>
      <c r="I10" s="67"/>
      <c r="J10" s="41"/>
      <c r="K10" s="68"/>
      <c r="L10" s="69"/>
      <c r="M10" s="70"/>
      <c r="N10" s="71"/>
      <c r="O10" s="173"/>
      <c r="P10" s="178"/>
      <c r="Q10" s="239"/>
      <c r="R10" s="157"/>
      <c r="S10" s="167"/>
      <c r="T10" s="41"/>
      <c r="U10" s="68"/>
      <c r="V10" s="167"/>
      <c r="W10" s="41"/>
      <c r="X10" s="68"/>
      <c r="Y10" s="161"/>
      <c r="Z10" s="272"/>
      <c r="AA10" s="273"/>
      <c r="AB10" s="273"/>
      <c r="AC10" s="274"/>
    </row>
    <row r="11" spans="1:29" s="18" customFormat="1" ht="20.100000000000001" customHeight="1" x14ac:dyDescent="0.2">
      <c r="A11" s="63"/>
      <c r="B11" s="64"/>
      <c r="C11" s="63"/>
      <c r="D11" s="65"/>
      <c r="E11" s="66"/>
      <c r="F11" s="67"/>
      <c r="G11" s="41"/>
      <c r="H11" s="68"/>
      <c r="I11" s="67"/>
      <c r="J11" s="41"/>
      <c r="K11" s="68"/>
      <c r="L11" s="69"/>
      <c r="M11" s="70"/>
      <c r="N11" s="71"/>
      <c r="O11" s="173"/>
      <c r="P11" s="178"/>
      <c r="Q11" s="239"/>
      <c r="R11" s="157"/>
      <c r="S11" s="167"/>
      <c r="T11" s="41"/>
      <c r="U11" s="68"/>
      <c r="V11" s="167"/>
      <c r="W11" s="41"/>
      <c r="X11" s="68"/>
      <c r="Y11" s="161"/>
      <c r="Z11" s="272"/>
      <c r="AA11" s="273"/>
      <c r="AB11" s="273"/>
      <c r="AC11" s="274"/>
    </row>
    <row r="12" spans="1:29" s="18" customFormat="1" ht="20.100000000000001" customHeight="1" x14ac:dyDescent="0.2">
      <c r="A12" s="63"/>
      <c r="B12" s="64"/>
      <c r="C12" s="63"/>
      <c r="D12" s="65"/>
      <c r="E12" s="66"/>
      <c r="F12" s="67"/>
      <c r="G12" s="41"/>
      <c r="H12" s="68"/>
      <c r="I12" s="67"/>
      <c r="J12" s="41"/>
      <c r="K12" s="68"/>
      <c r="L12" s="69"/>
      <c r="M12" s="70"/>
      <c r="N12" s="71"/>
      <c r="O12" s="173"/>
      <c r="P12" s="178"/>
      <c r="Q12" s="239"/>
      <c r="R12" s="157"/>
      <c r="S12" s="167"/>
      <c r="T12" s="41"/>
      <c r="U12" s="68"/>
      <c r="V12" s="167"/>
      <c r="W12" s="41"/>
      <c r="X12" s="68"/>
      <c r="Y12" s="161"/>
      <c r="Z12" s="272"/>
      <c r="AA12" s="273"/>
      <c r="AB12" s="273"/>
      <c r="AC12" s="274"/>
    </row>
    <row r="13" spans="1:29" s="18" customFormat="1" ht="20.100000000000001" customHeight="1" x14ac:dyDescent="0.2">
      <c r="A13" s="63"/>
      <c r="B13" s="64"/>
      <c r="C13" s="63"/>
      <c r="D13" s="65"/>
      <c r="E13" s="66"/>
      <c r="F13" s="67"/>
      <c r="G13" s="41"/>
      <c r="H13" s="68"/>
      <c r="I13" s="67"/>
      <c r="J13" s="41"/>
      <c r="K13" s="68"/>
      <c r="L13" s="69"/>
      <c r="M13" s="70"/>
      <c r="N13" s="71"/>
      <c r="O13" s="173"/>
      <c r="P13" s="178"/>
      <c r="Q13" s="239"/>
      <c r="R13" s="157"/>
      <c r="S13" s="167"/>
      <c r="T13" s="41"/>
      <c r="U13" s="68"/>
      <c r="V13" s="167"/>
      <c r="W13" s="41"/>
      <c r="X13" s="68"/>
      <c r="Y13" s="161"/>
      <c r="Z13" s="272"/>
      <c r="AA13" s="273"/>
      <c r="AB13" s="273"/>
      <c r="AC13" s="274"/>
    </row>
    <row r="14" spans="1:29" s="18" customFormat="1" ht="20.100000000000001" customHeight="1" x14ac:dyDescent="0.2">
      <c r="A14" s="63"/>
      <c r="B14" s="64"/>
      <c r="C14" s="63"/>
      <c r="D14" s="65"/>
      <c r="E14" s="66"/>
      <c r="F14" s="67"/>
      <c r="G14" s="41"/>
      <c r="H14" s="68"/>
      <c r="I14" s="67"/>
      <c r="J14" s="41"/>
      <c r="K14" s="68"/>
      <c r="L14" s="69"/>
      <c r="M14" s="70"/>
      <c r="N14" s="71"/>
      <c r="O14" s="173"/>
      <c r="P14" s="178"/>
      <c r="Q14" s="239"/>
      <c r="R14" s="157"/>
      <c r="S14" s="167"/>
      <c r="T14" s="41"/>
      <c r="U14" s="68"/>
      <c r="V14" s="167"/>
      <c r="W14" s="41"/>
      <c r="X14" s="68"/>
      <c r="Y14" s="161"/>
      <c r="Z14" s="272"/>
      <c r="AA14" s="273"/>
      <c r="AB14" s="273"/>
      <c r="AC14" s="274"/>
    </row>
    <row r="15" spans="1:29" s="18" customFormat="1" ht="20.100000000000001" customHeight="1" x14ac:dyDescent="0.2">
      <c r="A15" s="63"/>
      <c r="B15" s="64"/>
      <c r="C15" s="63"/>
      <c r="D15" s="65"/>
      <c r="E15" s="66"/>
      <c r="F15" s="67"/>
      <c r="G15" s="41"/>
      <c r="H15" s="68"/>
      <c r="I15" s="67"/>
      <c r="J15" s="41"/>
      <c r="K15" s="68"/>
      <c r="L15" s="69"/>
      <c r="M15" s="70"/>
      <c r="N15" s="71"/>
      <c r="O15" s="173"/>
      <c r="P15" s="178"/>
      <c r="Q15" s="239"/>
      <c r="R15" s="157"/>
      <c r="S15" s="167"/>
      <c r="T15" s="41"/>
      <c r="U15" s="68"/>
      <c r="V15" s="167"/>
      <c r="W15" s="41"/>
      <c r="X15" s="68"/>
      <c r="Y15" s="161"/>
      <c r="Z15" s="272"/>
      <c r="AA15" s="273"/>
      <c r="AB15" s="273"/>
      <c r="AC15" s="274"/>
    </row>
    <row r="16" spans="1:29" s="18" customFormat="1" ht="20.100000000000001" customHeight="1" x14ac:dyDescent="0.2">
      <c r="A16" s="63"/>
      <c r="B16" s="64"/>
      <c r="C16" s="63"/>
      <c r="D16" s="65"/>
      <c r="E16" s="66"/>
      <c r="F16" s="67"/>
      <c r="G16" s="41"/>
      <c r="H16" s="68"/>
      <c r="I16" s="67"/>
      <c r="J16" s="41"/>
      <c r="K16" s="68"/>
      <c r="L16" s="69"/>
      <c r="M16" s="70"/>
      <c r="N16" s="71"/>
      <c r="O16" s="173"/>
      <c r="P16" s="178"/>
      <c r="Q16" s="239"/>
      <c r="R16" s="157"/>
      <c r="S16" s="167"/>
      <c r="T16" s="41"/>
      <c r="U16" s="68"/>
      <c r="V16" s="167"/>
      <c r="W16" s="41"/>
      <c r="X16" s="68"/>
      <c r="Y16" s="161"/>
      <c r="Z16" s="272"/>
      <c r="AA16" s="273"/>
      <c r="AB16" s="273"/>
      <c r="AC16" s="274"/>
    </row>
    <row r="17" spans="1:29" s="18" customFormat="1" ht="20.100000000000001" customHeight="1" x14ac:dyDescent="0.2">
      <c r="A17" s="63"/>
      <c r="B17" s="64"/>
      <c r="C17" s="63"/>
      <c r="D17" s="65"/>
      <c r="E17" s="66"/>
      <c r="F17" s="67"/>
      <c r="G17" s="41"/>
      <c r="H17" s="68"/>
      <c r="I17" s="67"/>
      <c r="J17" s="41"/>
      <c r="K17" s="68"/>
      <c r="L17" s="69"/>
      <c r="M17" s="70"/>
      <c r="N17" s="71"/>
      <c r="O17" s="173"/>
      <c r="P17" s="178"/>
      <c r="Q17" s="239"/>
      <c r="R17" s="157"/>
      <c r="S17" s="167"/>
      <c r="T17" s="41"/>
      <c r="U17" s="68"/>
      <c r="V17" s="167"/>
      <c r="W17" s="41"/>
      <c r="X17" s="68"/>
      <c r="Y17" s="161"/>
      <c r="Z17" s="272"/>
      <c r="AA17" s="273"/>
      <c r="AB17" s="273"/>
      <c r="AC17" s="274"/>
    </row>
    <row r="18" spans="1:29" s="18" customFormat="1" ht="20.100000000000001" customHeight="1" x14ac:dyDescent="0.2">
      <c r="A18" s="63"/>
      <c r="B18" s="64"/>
      <c r="C18" s="63"/>
      <c r="D18" s="65"/>
      <c r="E18" s="66"/>
      <c r="F18" s="67"/>
      <c r="G18" s="41"/>
      <c r="H18" s="68"/>
      <c r="I18" s="67"/>
      <c r="J18" s="41"/>
      <c r="K18" s="68"/>
      <c r="L18" s="69"/>
      <c r="M18" s="70"/>
      <c r="N18" s="71"/>
      <c r="O18" s="173"/>
      <c r="P18" s="178"/>
      <c r="Q18" s="239"/>
      <c r="R18" s="157"/>
      <c r="S18" s="167"/>
      <c r="T18" s="41"/>
      <c r="U18" s="68"/>
      <c r="V18" s="167"/>
      <c r="W18" s="41"/>
      <c r="X18" s="68"/>
      <c r="Y18" s="161"/>
      <c r="Z18" s="272"/>
      <c r="AA18" s="273"/>
      <c r="AB18" s="273"/>
      <c r="AC18" s="274"/>
    </row>
    <row r="19" spans="1:29" s="18" customFormat="1" ht="20.100000000000001" customHeight="1" x14ac:dyDescent="0.2">
      <c r="A19" s="63"/>
      <c r="B19" s="64"/>
      <c r="C19" s="63"/>
      <c r="D19" s="65"/>
      <c r="E19" s="66"/>
      <c r="F19" s="67"/>
      <c r="G19" s="41"/>
      <c r="H19" s="68"/>
      <c r="I19" s="67"/>
      <c r="J19" s="41"/>
      <c r="K19" s="68"/>
      <c r="L19" s="69"/>
      <c r="M19" s="70"/>
      <c r="N19" s="71"/>
      <c r="O19" s="173"/>
      <c r="P19" s="178"/>
      <c r="Q19" s="239"/>
      <c r="R19" s="157"/>
      <c r="S19" s="167"/>
      <c r="T19" s="41"/>
      <c r="U19" s="68"/>
      <c r="V19" s="167"/>
      <c r="W19" s="41"/>
      <c r="X19" s="68"/>
      <c r="Y19" s="161"/>
      <c r="Z19" s="272"/>
      <c r="AA19" s="273"/>
      <c r="AB19" s="273"/>
      <c r="AC19" s="274"/>
    </row>
    <row r="20" spans="1:29" s="18" customFormat="1" ht="20.100000000000001" customHeight="1" x14ac:dyDescent="0.2">
      <c r="A20" s="63"/>
      <c r="B20" s="64"/>
      <c r="C20" s="63"/>
      <c r="D20" s="65"/>
      <c r="E20" s="66"/>
      <c r="F20" s="67"/>
      <c r="G20" s="41"/>
      <c r="H20" s="68"/>
      <c r="I20" s="67"/>
      <c r="J20" s="41"/>
      <c r="K20" s="68"/>
      <c r="L20" s="69"/>
      <c r="M20" s="70"/>
      <c r="N20" s="71"/>
      <c r="O20" s="173"/>
      <c r="P20" s="178"/>
      <c r="Q20" s="239"/>
      <c r="R20" s="157"/>
      <c r="S20" s="167"/>
      <c r="T20" s="41"/>
      <c r="U20" s="68"/>
      <c r="V20" s="167"/>
      <c r="W20" s="41"/>
      <c r="X20" s="68"/>
      <c r="Y20" s="161"/>
      <c r="Z20" s="272"/>
      <c r="AA20" s="273"/>
      <c r="AB20" s="273"/>
      <c r="AC20" s="274"/>
    </row>
    <row r="21" spans="1:29" s="18" customFormat="1" ht="20.100000000000001" customHeight="1" x14ac:dyDescent="0.2">
      <c r="A21" s="63"/>
      <c r="B21" s="64"/>
      <c r="C21" s="63"/>
      <c r="D21" s="65"/>
      <c r="E21" s="66"/>
      <c r="F21" s="67"/>
      <c r="G21" s="41"/>
      <c r="H21" s="68"/>
      <c r="I21" s="67"/>
      <c r="J21" s="41"/>
      <c r="K21" s="68"/>
      <c r="L21" s="69"/>
      <c r="M21" s="70"/>
      <c r="N21" s="71"/>
      <c r="O21" s="173"/>
      <c r="P21" s="178"/>
      <c r="Q21" s="239"/>
      <c r="R21" s="157"/>
      <c r="S21" s="167"/>
      <c r="T21" s="41"/>
      <c r="U21" s="68"/>
      <c r="V21" s="167"/>
      <c r="W21" s="41"/>
      <c r="X21" s="68"/>
      <c r="Y21" s="161"/>
      <c r="Z21" s="272"/>
      <c r="AA21" s="273"/>
      <c r="AB21" s="273"/>
      <c r="AC21" s="274"/>
    </row>
    <row r="22" spans="1:29" s="18" customFormat="1" ht="20.100000000000001" customHeight="1" x14ac:dyDescent="0.2">
      <c r="A22" s="63"/>
      <c r="B22" s="64"/>
      <c r="C22" s="63"/>
      <c r="D22" s="65"/>
      <c r="E22" s="66"/>
      <c r="F22" s="67"/>
      <c r="G22" s="41"/>
      <c r="H22" s="68"/>
      <c r="I22" s="67"/>
      <c r="J22" s="41"/>
      <c r="K22" s="68"/>
      <c r="L22" s="69"/>
      <c r="M22" s="70"/>
      <c r="N22" s="71"/>
      <c r="O22" s="173"/>
      <c r="P22" s="178"/>
      <c r="Q22" s="239"/>
      <c r="R22" s="157"/>
      <c r="S22" s="167"/>
      <c r="T22" s="41"/>
      <c r="U22" s="68"/>
      <c r="V22" s="167"/>
      <c r="W22" s="41"/>
      <c r="X22" s="68"/>
      <c r="Y22" s="161"/>
      <c r="Z22" s="272"/>
      <c r="AA22" s="273"/>
      <c r="AB22" s="273"/>
      <c r="AC22" s="274"/>
    </row>
    <row r="23" spans="1:29" s="18" customFormat="1" ht="20.100000000000001" customHeight="1" x14ac:dyDescent="0.2">
      <c r="A23" s="63"/>
      <c r="B23" s="64"/>
      <c r="C23" s="63"/>
      <c r="D23" s="65"/>
      <c r="E23" s="66"/>
      <c r="F23" s="67"/>
      <c r="G23" s="41"/>
      <c r="H23" s="68"/>
      <c r="I23" s="67"/>
      <c r="J23" s="41"/>
      <c r="K23" s="68"/>
      <c r="L23" s="69"/>
      <c r="M23" s="70"/>
      <c r="N23" s="71"/>
      <c r="O23" s="173"/>
      <c r="P23" s="178"/>
      <c r="Q23" s="239"/>
      <c r="R23" s="157"/>
      <c r="S23" s="167"/>
      <c r="T23" s="41"/>
      <c r="U23" s="68"/>
      <c r="V23" s="167"/>
      <c r="W23" s="41"/>
      <c r="X23" s="68"/>
      <c r="Y23" s="161"/>
      <c r="Z23" s="272"/>
      <c r="AA23" s="273"/>
      <c r="AB23" s="273"/>
      <c r="AC23" s="274"/>
    </row>
    <row r="24" spans="1:29" s="18" customFormat="1" ht="20.100000000000001" customHeight="1" x14ac:dyDescent="0.2">
      <c r="A24" s="63"/>
      <c r="B24" s="64"/>
      <c r="C24" s="63"/>
      <c r="D24" s="65"/>
      <c r="E24" s="66"/>
      <c r="F24" s="67"/>
      <c r="G24" s="41"/>
      <c r="H24" s="68"/>
      <c r="I24" s="67"/>
      <c r="J24" s="41"/>
      <c r="K24" s="68"/>
      <c r="L24" s="69"/>
      <c r="M24" s="70"/>
      <c r="N24" s="71"/>
      <c r="O24" s="173"/>
      <c r="P24" s="178"/>
      <c r="Q24" s="239"/>
      <c r="R24" s="157"/>
      <c r="S24" s="167"/>
      <c r="T24" s="41"/>
      <c r="U24" s="68"/>
      <c r="V24" s="167"/>
      <c r="W24" s="41"/>
      <c r="X24" s="68"/>
      <c r="Y24" s="161"/>
      <c r="Z24" s="272"/>
      <c r="AA24" s="273"/>
      <c r="AB24" s="273"/>
      <c r="AC24" s="274"/>
    </row>
    <row r="25" spans="1:29" s="18" customFormat="1" ht="20.100000000000001" customHeight="1" x14ac:dyDescent="0.2">
      <c r="A25" s="63"/>
      <c r="B25" s="64"/>
      <c r="C25" s="63"/>
      <c r="D25" s="65"/>
      <c r="E25" s="66"/>
      <c r="F25" s="67"/>
      <c r="G25" s="41"/>
      <c r="H25" s="68"/>
      <c r="I25" s="67"/>
      <c r="J25" s="41"/>
      <c r="K25" s="68"/>
      <c r="L25" s="69"/>
      <c r="M25" s="70"/>
      <c r="N25" s="71"/>
      <c r="O25" s="173"/>
      <c r="P25" s="178"/>
      <c r="Q25" s="239"/>
      <c r="R25" s="157"/>
      <c r="S25" s="167"/>
      <c r="T25" s="41"/>
      <c r="U25" s="68"/>
      <c r="V25" s="167"/>
      <c r="W25" s="41"/>
      <c r="X25" s="68"/>
      <c r="Y25" s="161"/>
      <c r="Z25" s="272"/>
      <c r="AA25" s="273"/>
      <c r="AB25" s="273"/>
      <c r="AC25" s="274"/>
    </row>
    <row r="26" spans="1:29" s="18" customFormat="1" ht="20.100000000000001" customHeight="1" x14ac:dyDescent="0.2">
      <c r="A26" s="63"/>
      <c r="B26" s="64"/>
      <c r="C26" s="63"/>
      <c r="D26" s="65"/>
      <c r="E26" s="66"/>
      <c r="F26" s="67"/>
      <c r="G26" s="41"/>
      <c r="H26" s="68"/>
      <c r="I26" s="67"/>
      <c r="J26" s="41"/>
      <c r="K26" s="68"/>
      <c r="L26" s="69"/>
      <c r="M26" s="70"/>
      <c r="N26" s="71"/>
      <c r="O26" s="173"/>
      <c r="P26" s="178"/>
      <c r="Q26" s="239"/>
      <c r="R26" s="157"/>
      <c r="S26" s="167"/>
      <c r="T26" s="41"/>
      <c r="U26" s="68"/>
      <c r="V26" s="167"/>
      <c r="W26" s="41"/>
      <c r="X26" s="68"/>
      <c r="Y26" s="161"/>
      <c r="Z26" s="272"/>
      <c r="AA26" s="273"/>
      <c r="AB26" s="273"/>
      <c r="AC26" s="274"/>
    </row>
    <row r="27" spans="1:29" s="18" customFormat="1" ht="20.100000000000001" customHeight="1" x14ac:dyDescent="0.2">
      <c r="A27" s="63"/>
      <c r="B27" s="64"/>
      <c r="C27" s="63"/>
      <c r="D27" s="65"/>
      <c r="E27" s="66"/>
      <c r="F27" s="67"/>
      <c r="G27" s="41"/>
      <c r="H27" s="68"/>
      <c r="I27" s="67"/>
      <c r="J27" s="41"/>
      <c r="K27" s="68"/>
      <c r="L27" s="69"/>
      <c r="M27" s="70"/>
      <c r="N27" s="71"/>
      <c r="O27" s="173"/>
      <c r="P27" s="178"/>
      <c r="Q27" s="239"/>
      <c r="R27" s="157"/>
      <c r="S27" s="167"/>
      <c r="T27" s="41"/>
      <c r="U27" s="68"/>
      <c r="V27" s="167"/>
      <c r="W27" s="41"/>
      <c r="X27" s="68"/>
      <c r="Y27" s="161"/>
      <c r="Z27" s="272"/>
      <c r="AA27" s="273"/>
      <c r="AB27" s="273"/>
      <c r="AC27" s="274"/>
    </row>
    <row r="28" spans="1:29" s="18" customFormat="1" ht="20.100000000000001" customHeight="1" x14ac:dyDescent="0.2">
      <c r="A28" s="63"/>
      <c r="B28" s="64"/>
      <c r="C28" s="63"/>
      <c r="D28" s="65"/>
      <c r="E28" s="66"/>
      <c r="F28" s="67"/>
      <c r="G28" s="41"/>
      <c r="H28" s="68"/>
      <c r="I28" s="67"/>
      <c r="J28" s="41"/>
      <c r="K28" s="68"/>
      <c r="L28" s="69"/>
      <c r="M28" s="70"/>
      <c r="N28" s="71"/>
      <c r="O28" s="173"/>
      <c r="P28" s="178"/>
      <c r="Q28" s="239"/>
      <c r="R28" s="157"/>
      <c r="S28" s="167"/>
      <c r="T28" s="41"/>
      <c r="U28" s="68"/>
      <c r="V28" s="167"/>
      <c r="W28" s="41"/>
      <c r="X28" s="68"/>
      <c r="Y28" s="161"/>
      <c r="Z28" s="272"/>
      <c r="AA28" s="273"/>
      <c r="AB28" s="273"/>
      <c r="AC28" s="274"/>
    </row>
    <row r="29" spans="1:29" s="18" customFormat="1" ht="20.100000000000001" customHeight="1" x14ac:dyDescent="0.2">
      <c r="A29" s="63"/>
      <c r="B29" s="64"/>
      <c r="C29" s="63"/>
      <c r="D29" s="65"/>
      <c r="E29" s="66"/>
      <c r="F29" s="67"/>
      <c r="G29" s="41"/>
      <c r="H29" s="68"/>
      <c r="I29" s="67"/>
      <c r="J29" s="41"/>
      <c r="K29" s="68"/>
      <c r="L29" s="69"/>
      <c r="M29" s="70"/>
      <c r="N29" s="71"/>
      <c r="O29" s="173"/>
      <c r="P29" s="178"/>
      <c r="Q29" s="239"/>
      <c r="R29" s="157"/>
      <c r="S29" s="167"/>
      <c r="T29" s="41"/>
      <c r="U29" s="68"/>
      <c r="V29" s="167"/>
      <c r="W29" s="41"/>
      <c r="X29" s="68"/>
      <c r="Y29" s="161"/>
      <c r="Z29" s="272"/>
      <c r="AA29" s="273"/>
      <c r="AB29" s="273"/>
      <c r="AC29" s="274"/>
    </row>
    <row r="30" spans="1:29" s="18" customFormat="1" ht="20.100000000000001" customHeight="1" x14ac:dyDescent="0.2">
      <c r="A30" s="63"/>
      <c r="B30" s="64"/>
      <c r="C30" s="63"/>
      <c r="D30" s="65"/>
      <c r="E30" s="66"/>
      <c r="F30" s="67"/>
      <c r="G30" s="41"/>
      <c r="H30" s="68"/>
      <c r="I30" s="67"/>
      <c r="J30" s="41"/>
      <c r="K30" s="68"/>
      <c r="L30" s="69"/>
      <c r="M30" s="70"/>
      <c r="N30" s="71"/>
      <c r="O30" s="173"/>
      <c r="P30" s="178"/>
      <c r="Q30" s="239"/>
      <c r="R30" s="157"/>
      <c r="S30" s="167"/>
      <c r="T30" s="41"/>
      <c r="U30" s="68"/>
      <c r="V30" s="167"/>
      <c r="W30" s="41"/>
      <c r="X30" s="68"/>
      <c r="Y30" s="161"/>
      <c r="Z30" s="272"/>
      <c r="AA30" s="273"/>
      <c r="AB30" s="273"/>
      <c r="AC30" s="274"/>
    </row>
    <row r="31" spans="1:29" s="18" customFormat="1" ht="20.100000000000001" customHeight="1" x14ac:dyDescent="0.2">
      <c r="A31" s="63"/>
      <c r="B31" s="64"/>
      <c r="C31" s="63"/>
      <c r="D31" s="65"/>
      <c r="E31" s="66"/>
      <c r="F31" s="67"/>
      <c r="G31" s="41"/>
      <c r="H31" s="68"/>
      <c r="I31" s="67"/>
      <c r="J31" s="41"/>
      <c r="K31" s="68"/>
      <c r="L31" s="69"/>
      <c r="M31" s="70"/>
      <c r="N31" s="71"/>
      <c r="O31" s="173"/>
      <c r="P31" s="178"/>
      <c r="Q31" s="239"/>
      <c r="R31" s="157"/>
      <c r="S31" s="167"/>
      <c r="T31" s="41"/>
      <c r="U31" s="68"/>
      <c r="V31" s="167"/>
      <c r="W31" s="41"/>
      <c r="X31" s="68"/>
      <c r="Y31" s="161"/>
      <c r="Z31" s="272"/>
      <c r="AA31" s="273"/>
      <c r="AB31" s="273"/>
      <c r="AC31" s="274"/>
    </row>
    <row r="32" spans="1:29" s="18" customFormat="1" ht="20.100000000000001" customHeight="1" x14ac:dyDescent="0.2">
      <c r="A32" s="63"/>
      <c r="B32" s="64"/>
      <c r="C32" s="63"/>
      <c r="D32" s="65"/>
      <c r="E32" s="66"/>
      <c r="F32" s="67"/>
      <c r="G32" s="41"/>
      <c r="H32" s="68"/>
      <c r="I32" s="67"/>
      <c r="J32" s="41"/>
      <c r="K32" s="68"/>
      <c r="L32" s="69"/>
      <c r="M32" s="70"/>
      <c r="N32" s="71"/>
      <c r="O32" s="173"/>
      <c r="P32" s="178"/>
      <c r="Q32" s="239"/>
      <c r="R32" s="157"/>
      <c r="S32" s="167"/>
      <c r="T32" s="41"/>
      <c r="U32" s="68"/>
      <c r="V32" s="167"/>
      <c r="W32" s="41"/>
      <c r="X32" s="68"/>
      <c r="Y32" s="161"/>
      <c r="Z32" s="272"/>
      <c r="AA32" s="273"/>
      <c r="AB32" s="273"/>
      <c r="AC32" s="274"/>
    </row>
    <row r="33" spans="1:29" s="18" customFormat="1" ht="20.100000000000001" customHeight="1" x14ac:dyDescent="0.2">
      <c r="A33" s="63"/>
      <c r="B33" s="64"/>
      <c r="C33" s="63"/>
      <c r="D33" s="65"/>
      <c r="E33" s="66"/>
      <c r="F33" s="67"/>
      <c r="G33" s="41"/>
      <c r="H33" s="68"/>
      <c r="I33" s="67"/>
      <c r="J33" s="41"/>
      <c r="K33" s="68"/>
      <c r="L33" s="69"/>
      <c r="M33" s="70"/>
      <c r="N33" s="71"/>
      <c r="O33" s="173"/>
      <c r="P33" s="178"/>
      <c r="Q33" s="239"/>
      <c r="R33" s="157"/>
      <c r="S33" s="167"/>
      <c r="T33" s="41"/>
      <c r="U33" s="68"/>
      <c r="V33" s="167"/>
      <c r="W33" s="41"/>
      <c r="X33" s="68"/>
      <c r="Y33" s="161"/>
      <c r="Z33" s="272"/>
      <c r="AA33" s="273"/>
      <c r="AB33" s="273"/>
      <c r="AC33" s="274"/>
    </row>
    <row r="34" spans="1:29" s="18" customFormat="1" ht="20.100000000000001" customHeight="1" x14ac:dyDescent="0.2">
      <c r="A34" s="63"/>
      <c r="B34" s="64"/>
      <c r="C34" s="63"/>
      <c r="D34" s="65"/>
      <c r="E34" s="66"/>
      <c r="F34" s="67"/>
      <c r="G34" s="41"/>
      <c r="H34" s="68"/>
      <c r="I34" s="67"/>
      <c r="J34" s="41"/>
      <c r="K34" s="68"/>
      <c r="L34" s="69"/>
      <c r="M34" s="70"/>
      <c r="N34" s="71"/>
      <c r="O34" s="173"/>
      <c r="P34" s="178"/>
      <c r="Q34" s="239"/>
      <c r="R34" s="157"/>
      <c r="S34" s="167"/>
      <c r="T34" s="41"/>
      <c r="U34" s="68"/>
      <c r="V34" s="167"/>
      <c r="W34" s="41"/>
      <c r="X34" s="68"/>
      <c r="Y34" s="161"/>
      <c r="Z34" s="272"/>
      <c r="AA34" s="273"/>
      <c r="AB34" s="273"/>
      <c r="AC34" s="274"/>
    </row>
    <row r="35" spans="1:29" s="18" customFormat="1" ht="20.100000000000001" customHeight="1" x14ac:dyDescent="0.2">
      <c r="A35" s="63"/>
      <c r="B35" s="64"/>
      <c r="C35" s="63"/>
      <c r="D35" s="65"/>
      <c r="E35" s="66"/>
      <c r="F35" s="67"/>
      <c r="G35" s="41"/>
      <c r="H35" s="68"/>
      <c r="I35" s="67"/>
      <c r="J35" s="41"/>
      <c r="K35" s="68"/>
      <c r="L35" s="69"/>
      <c r="M35" s="70"/>
      <c r="N35" s="71"/>
      <c r="O35" s="173"/>
      <c r="P35" s="178"/>
      <c r="Q35" s="239"/>
      <c r="R35" s="157"/>
      <c r="S35" s="167"/>
      <c r="T35" s="41"/>
      <c r="U35" s="68"/>
      <c r="V35" s="167"/>
      <c r="W35" s="41"/>
      <c r="X35" s="68"/>
      <c r="Y35" s="161"/>
      <c r="Z35" s="272"/>
      <c r="AA35" s="273"/>
      <c r="AB35" s="273"/>
      <c r="AC35" s="274"/>
    </row>
    <row r="36" spans="1:29" s="18" customFormat="1" ht="20.100000000000001" customHeight="1" x14ac:dyDescent="0.2">
      <c r="A36" s="63"/>
      <c r="B36" s="64"/>
      <c r="C36" s="63"/>
      <c r="D36" s="65"/>
      <c r="E36" s="66"/>
      <c r="F36" s="67"/>
      <c r="G36" s="41"/>
      <c r="H36" s="68"/>
      <c r="I36" s="67"/>
      <c r="J36" s="41"/>
      <c r="K36" s="68"/>
      <c r="L36" s="69"/>
      <c r="M36" s="70"/>
      <c r="N36" s="71"/>
      <c r="O36" s="173"/>
      <c r="P36" s="178"/>
      <c r="Q36" s="239"/>
      <c r="R36" s="157"/>
      <c r="S36" s="167"/>
      <c r="T36" s="41"/>
      <c r="U36" s="68"/>
      <c r="V36" s="167"/>
      <c r="W36" s="41"/>
      <c r="X36" s="68"/>
      <c r="Y36" s="161"/>
      <c r="Z36" s="272"/>
      <c r="AA36" s="273"/>
      <c r="AB36" s="273"/>
      <c r="AC36" s="274"/>
    </row>
    <row r="37" spans="1:29" s="18" customFormat="1" ht="20.100000000000001" customHeight="1" x14ac:dyDescent="0.2">
      <c r="A37" s="63"/>
      <c r="B37" s="64"/>
      <c r="C37" s="63"/>
      <c r="D37" s="65"/>
      <c r="E37" s="66"/>
      <c r="F37" s="67"/>
      <c r="G37" s="41"/>
      <c r="H37" s="68"/>
      <c r="I37" s="67"/>
      <c r="J37" s="41"/>
      <c r="K37" s="68"/>
      <c r="L37" s="69"/>
      <c r="M37" s="70"/>
      <c r="N37" s="71"/>
      <c r="O37" s="173"/>
      <c r="P37" s="178"/>
      <c r="Q37" s="239"/>
      <c r="R37" s="157"/>
      <c r="S37" s="167"/>
      <c r="T37" s="41"/>
      <c r="U37" s="68"/>
      <c r="V37" s="167"/>
      <c r="W37" s="41"/>
      <c r="X37" s="68"/>
      <c r="Y37" s="161"/>
      <c r="Z37" s="272"/>
      <c r="AA37" s="273"/>
      <c r="AB37" s="273"/>
      <c r="AC37" s="274"/>
    </row>
    <row r="38" spans="1:29" s="18" customFormat="1" ht="20.100000000000001" customHeight="1" x14ac:dyDescent="0.2">
      <c r="A38" s="63"/>
      <c r="B38" s="64"/>
      <c r="C38" s="63"/>
      <c r="D38" s="65"/>
      <c r="E38" s="66"/>
      <c r="F38" s="67"/>
      <c r="G38" s="41"/>
      <c r="H38" s="68"/>
      <c r="I38" s="67"/>
      <c r="J38" s="41"/>
      <c r="K38" s="68"/>
      <c r="L38" s="69"/>
      <c r="M38" s="70"/>
      <c r="N38" s="71"/>
      <c r="O38" s="173"/>
      <c r="P38" s="178"/>
      <c r="Q38" s="239"/>
      <c r="R38" s="157"/>
      <c r="S38" s="167"/>
      <c r="T38" s="41"/>
      <c r="U38" s="68"/>
      <c r="V38" s="167"/>
      <c r="W38" s="41"/>
      <c r="X38" s="68"/>
      <c r="Y38" s="161"/>
      <c r="Z38" s="272"/>
      <c r="AA38" s="273"/>
      <c r="AB38" s="273"/>
      <c r="AC38" s="274"/>
    </row>
    <row r="39" spans="1:29" s="18" customFormat="1" ht="20.100000000000001" customHeight="1" x14ac:dyDescent="0.2">
      <c r="A39" s="63"/>
      <c r="B39" s="64"/>
      <c r="C39" s="63"/>
      <c r="D39" s="65"/>
      <c r="E39" s="66"/>
      <c r="F39" s="67"/>
      <c r="G39" s="41"/>
      <c r="H39" s="68"/>
      <c r="I39" s="67"/>
      <c r="J39" s="41"/>
      <c r="K39" s="68"/>
      <c r="L39" s="69"/>
      <c r="M39" s="70"/>
      <c r="N39" s="71"/>
      <c r="O39" s="173"/>
      <c r="P39" s="178"/>
      <c r="Q39" s="239"/>
      <c r="R39" s="157"/>
      <c r="S39" s="167"/>
      <c r="T39" s="41"/>
      <c r="U39" s="68"/>
      <c r="V39" s="167"/>
      <c r="W39" s="41"/>
      <c r="X39" s="68"/>
      <c r="Y39" s="161"/>
      <c r="Z39" s="272"/>
      <c r="AA39" s="273"/>
      <c r="AB39" s="273"/>
      <c r="AC39" s="274"/>
    </row>
    <row r="40" spans="1:29" s="18" customFormat="1" ht="20.100000000000001" customHeight="1" x14ac:dyDescent="0.2">
      <c r="A40" s="63"/>
      <c r="B40" s="64"/>
      <c r="C40" s="63"/>
      <c r="D40" s="65"/>
      <c r="E40" s="66"/>
      <c r="F40" s="67"/>
      <c r="G40" s="41"/>
      <c r="H40" s="68"/>
      <c r="I40" s="67"/>
      <c r="J40" s="41"/>
      <c r="K40" s="68"/>
      <c r="L40" s="69"/>
      <c r="M40" s="70"/>
      <c r="N40" s="71"/>
      <c r="O40" s="173"/>
      <c r="P40" s="178"/>
      <c r="Q40" s="239"/>
      <c r="R40" s="157"/>
      <c r="S40" s="167"/>
      <c r="T40" s="41"/>
      <c r="U40" s="68"/>
      <c r="V40" s="167"/>
      <c r="W40" s="41"/>
      <c r="X40" s="68"/>
      <c r="Y40" s="161"/>
      <c r="Z40" s="272"/>
      <c r="AA40" s="273"/>
      <c r="AB40" s="273"/>
      <c r="AC40" s="274"/>
    </row>
    <row r="41" spans="1:29" s="18" customFormat="1" ht="20.100000000000001" customHeight="1" thickBot="1" x14ac:dyDescent="0.25">
      <c r="A41" s="73"/>
      <c r="B41" s="72"/>
      <c r="C41" s="73"/>
      <c r="D41" s="90"/>
      <c r="E41" s="91"/>
      <c r="F41" s="92"/>
      <c r="G41" s="93"/>
      <c r="H41" s="94"/>
      <c r="I41" s="92"/>
      <c r="J41" s="93"/>
      <c r="K41" s="94"/>
      <c r="L41" s="95"/>
      <c r="M41" s="96"/>
      <c r="N41" s="97"/>
      <c r="O41" s="174"/>
      <c r="P41" s="179"/>
      <c r="Q41" s="239"/>
      <c r="R41" s="157"/>
      <c r="S41" s="167"/>
      <c r="T41" s="41"/>
      <c r="U41" s="68"/>
      <c r="V41" s="167"/>
      <c r="W41" s="41"/>
      <c r="X41" s="68"/>
      <c r="Y41" s="161"/>
      <c r="Z41" s="272"/>
      <c r="AA41" s="273"/>
      <c r="AB41" s="273"/>
      <c r="AC41" s="274"/>
    </row>
    <row r="42" spans="1:29" s="18" customFormat="1" ht="20.100000000000001" customHeight="1" thickBot="1" x14ac:dyDescent="0.25">
      <c r="A42" s="74" t="s">
        <v>49</v>
      </c>
      <c r="B42" s="267">
        <f>SUM(B5:B41)</f>
        <v>0</v>
      </c>
      <c r="C42" s="268"/>
      <c r="D42" s="264"/>
      <c r="E42" s="265"/>
      <c r="F42" s="265"/>
      <c r="G42" s="265"/>
      <c r="H42" s="265"/>
      <c r="I42" s="265"/>
      <c r="J42" s="265"/>
      <c r="K42" s="265"/>
      <c r="L42" s="265"/>
      <c r="M42" s="265"/>
      <c r="N42" s="265"/>
      <c r="O42" s="265"/>
      <c r="P42" s="265"/>
      <c r="Q42" s="265"/>
      <c r="R42" s="265"/>
      <c r="S42" s="265"/>
      <c r="T42" s="265"/>
      <c r="U42" s="265"/>
      <c r="V42" s="265"/>
      <c r="W42" s="265"/>
      <c r="X42" s="265"/>
      <c r="Y42" s="265"/>
      <c r="Z42" s="265"/>
      <c r="AA42" s="265"/>
      <c r="AB42" s="265"/>
      <c r="AC42" s="266"/>
    </row>
    <row r="43" spans="1:29" s="18" customFormat="1" ht="20.100000000000001" customHeight="1" x14ac:dyDescent="0.2">
      <c r="A43" s="164" t="s">
        <v>25</v>
      </c>
      <c r="B43" s="279"/>
      <c r="C43" s="279"/>
      <c r="D43" s="279"/>
      <c r="E43" s="279"/>
      <c r="F43" s="279"/>
      <c r="G43" s="279"/>
      <c r="H43" s="279"/>
      <c r="I43" s="279"/>
      <c r="J43" s="279"/>
      <c r="K43" s="279"/>
      <c r="L43" s="279"/>
      <c r="M43" s="279"/>
      <c r="N43" s="279"/>
      <c r="O43" s="279"/>
      <c r="P43" s="279"/>
      <c r="Q43" s="279"/>
      <c r="R43" s="279"/>
      <c r="S43" s="279"/>
      <c r="T43" s="279"/>
      <c r="U43" s="279"/>
      <c r="V43" s="279"/>
      <c r="W43" s="279"/>
      <c r="X43" s="279"/>
      <c r="Y43" s="279"/>
      <c r="Z43" s="279"/>
      <c r="AA43" s="279"/>
      <c r="AB43" s="279"/>
      <c r="AC43" s="280"/>
    </row>
    <row r="44" spans="1:29" s="18" customFormat="1" ht="20.100000000000001" customHeight="1" x14ac:dyDescent="0.2">
      <c r="A44" s="272"/>
      <c r="B44" s="273"/>
      <c r="C44" s="273"/>
      <c r="D44" s="273"/>
      <c r="E44" s="273"/>
      <c r="F44" s="273"/>
      <c r="G44" s="273"/>
      <c r="H44" s="273"/>
      <c r="I44" s="273"/>
      <c r="J44" s="273"/>
      <c r="K44" s="273"/>
      <c r="L44" s="273"/>
      <c r="M44" s="273"/>
      <c r="N44" s="273"/>
      <c r="O44" s="273"/>
      <c r="P44" s="273"/>
      <c r="Q44" s="273"/>
      <c r="R44" s="273"/>
      <c r="S44" s="273"/>
      <c r="T44" s="273"/>
      <c r="U44" s="273"/>
      <c r="V44" s="273"/>
      <c r="W44" s="273"/>
      <c r="X44" s="273"/>
      <c r="Y44" s="273"/>
      <c r="Z44" s="273"/>
      <c r="AA44" s="273"/>
      <c r="AB44" s="273"/>
      <c r="AC44" s="274"/>
    </row>
    <row r="45" spans="1:29" s="18" customFormat="1" ht="20.100000000000001" customHeight="1" thickBot="1" x14ac:dyDescent="0.25">
      <c r="A45" s="261"/>
      <c r="B45" s="262"/>
      <c r="C45" s="262"/>
      <c r="D45" s="262"/>
      <c r="E45" s="262"/>
      <c r="F45" s="262"/>
      <c r="G45" s="262"/>
      <c r="H45" s="262"/>
      <c r="I45" s="262"/>
      <c r="J45" s="262"/>
      <c r="K45" s="262"/>
      <c r="L45" s="262"/>
      <c r="M45" s="262"/>
      <c r="N45" s="262"/>
      <c r="O45" s="262"/>
      <c r="P45" s="262"/>
      <c r="Q45" s="262"/>
      <c r="R45" s="262"/>
      <c r="S45" s="262"/>
      <c r="T45" s="262"/>
      <c r="U45" s="262"/>
      <c r="V45" s="262"/>
      <c r="W45" s="262"/>
      <c r="X45" s="262"/>
      <c r="Y45" s="262"/>
      <c r="Z45" s="262"/>
      <c r="AA45" s="262"/>
      <c r="AB45" s="262"/>
      <c r="AC45" s="263"/>
    </row>
    <row r="46" spans="1:29" s="18" customFormat="1" ht="17.45" customHeight="1" x14ac:dyDescent="0.2">
      <c r="A46" s="163"/>
      <c r="B46" s="163"/>
      <c r="C46" s="163"/>
      <c r="D46" s="163"/>
      <c r="E46" s="163"/>
      <c r="F46" s="163"/>
      <c r="G46" s="163"/>
      <c r="H46" s="163"/>
      <c r="I46" s="163"/>
      <c r="J46" s="163"/>
      <c r="K46" s="163"/>
      <c r="L46" s="163"/>
      <c r="M46" s="163"/>
      <c r="N46" s="163"/>
      <c r="O46" s="163"/>
      <c r="Z46" s="163"/>
      <c r="AA46" s="163"/>
      <c r="AB46" s="163"/>
    </row>
    <row r="47" spans="1:29" s="18" customFormat="1" ht="17.45" customHeight="1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Z47" s="17"/>
      <c r="AA47" s="17"/>
      <c r="AB47" s="17"/>
    </row>
    <row r="48" spans="1:29" s="18" customFormat="1" ht="17.45" customHeight="1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Z48" s="17"/>
      <c r="AA48" s="17"/>
      <c r="AB48" s="17"/>
    </row>
    <row r="49" spans="1:28" s="18" customFormat="1" ht="17.45" customHeight="1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Z49" s="17"/>
      <c r="AA49" s="17"/>
      <c r="AB49" s="17"/>
    </row>
    <row r="50" spans="1:28" s="18" customFormat="1" ht="17.45" customHeight="1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Z50" s="17"/>
      <c r="AA50" s="17"/>
      <c r="AB50" s="17"/>
    </row>
    <row r="51" spans="1:28" s="18" customFormat="1" ht="17.45" customHeight="1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Z51" s="17"/>
      <c r="AA51" s="17"/>
      <c r="AB51" s="17"/>
    </row>
    <row r="52" spans="1:28" s="18" customFormat="1" ht="15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Z52" s="17"/>
      <c r="AA52" s="17"/>
      <c r="AB52" s="17"/>
    </row>
    <row r="53" spans="1:28" s="18" customFormat="1" ht="15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Z53" s="17"/>
      <c r="AA53" s="17"/>
      <c r="AB53" s="17"/>
    </row>
    <row r="54" spans="1:28" s="18" customFormat="1" ht="15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Z54" s="17"/>
      <c r="AA54" s="17"/>
      <c r="AB54" s="17"/>
    </row>
    <row r="55" spans="1:28" s="18" customFormat="1" ht="15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Z55" s="17"/>
      <c r="AA55" s="17"/>
      <c r="AB55" s="17"/>
    </row>
  </sheetData>
  <sheetProtection password="FEA9" sheet="1" objects="1" scenarios="1"/>
  <dataConsolidate/>
  <mergeCells count="63">
    <mergeCell ref="B42:C42"/>
    <mergeCell ref="D42:AC42"/>
    <mergeCell ref="B43:AC43"/>
    <mergeCell ref="A44:AC44"/>
    <mergeCell ref="A45:AC45"/>
    <mergeCell ref="Z41:AC41"/>
    <mergeCell ref="Z30:AC30"/>
    <mergeCell ref="Z31:AC31"/>
    <mergeCell ref="Z32:AC32"/>
    <mergeCell ref="Z33:AC33"/>
    <mergeCell ref="Z34:AC34"/>
    <mergeCell ref="Z35:AC35"/>
    <mergeCell ref="Z36:AC36"/>
    <mergeCell ref="Z37:AC37"/>
    <mergeCell ref="Z38:AC38"/>
    <mergeCell ref="Z39:AC39"/>
    <mergeCell ref="Z40:AC40"/>
    <mergeCell ref="Z29:AC29"/>
    <mergeCell ref="Z18:AC18"/>
    <mergeCell ref="Z19:AC19"/>
    <mergeCell ref="Z20:AC20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17:AC17"/>
    <mergeCell ref="Z6:AC6"/>
    <mergeCell ref="Z7:AC7"/>
    <mergeCell ref="Z8:AC8"/>
    <mergeCell ref="Z9:AC9"/>
    <mergeCell ref="Z10:AC10"/>
    <mergeCell ref="Z11:AC11"/>
    <mergeCell ref="Z12:AC12"/>
    <mergeCell ref="Z13:AC13"/>
    <mergeCell ref="Z14:AC14"/>
    <mergeCell ref="Z15:AC15"/>
    <mergeCell ref="Z16:AC16"/>
    <mergeCell ref="Z5:AC5"/>
    <mergeCell ref="I3:K3"/>
    <mergeCell ref="L3:M3"/>
    <mergeCell ref="P3:R3"/>
    <mergeCell ref="S3:U3"/>
    <mergeCell ref="V3:X3"/>
    <mergeCell ref="Y3:Y4"/>
    <mergeCell ref="Z3:AC4"/>
    <mergeCell ref="J4:K4"/>
    <mergeCell ref="T4:U4"/>
    <mergeCell ref="W4:X4"/>
    <mergeCell ref="A1:B1"/>
    <mergeCell ref="C1:Y1"/>
    <mergeCell ref="AA1:AC1"/>
    <mergeCell ref="A2:B2"/>
    <mergeCell ref="C2:Y2"/>
    <mergeCell ref="A3:A4"/>
    <mergeCell ref="B3:B4"/>
    <mergeCell ref="C3:C4"/>
    <mergeCell ref="D3:E4"/>
    <mergeCell ref="F3:H3"/>
    <mergeCell ref="G4:H4"/>
  </mergeCells>
  <dataValidations disablePrompts="1" count="5">
    <dataValidation type="list" allowBlank="1" showInputMessage="1" showErrorMessage="1" errorTitle="Bad Input" error="Input for this cell must be one of the listed positions and all uppercase!" sqref="R5 R7:R8 R10:R11 R13:R14 R16:R18 R20:R21 R23:R24 R26:R27 R29:R30 R32:R41 R6 R9 R12 R15 R19 R22 R25 R28">
      <formula1>"TC,BC,BE,LE,RE"</formula1>
    </dataValidation>
    <dataValidation type="list" allowBlank="1" showInputMessage="1" showErrorMessage="1" errorTitle="Bad Input" error="Input for this cell must be one of the listed categories and all uppercase!" sqref="Q5 Q7:Q8 Q10:Q11 Q13:Q14 Q16:Q18 Q20:Q21 Q23:Q24 Q26:Q27 Q29:Q30 Q32:Q41 Q6 Q9 Q12 Q15 Q19 Q22 Q25 Q28">
      <formula1>"TL,DL,LL,WL,SL,CL,SM,IP"</formula1>
    </dataValidation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Q31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31">
      <formula1>"TC,BC,BE,LE,RE"</formula1>
    </dataValidation>
  </dataValidations>
  <printOptions horizontalCentered="1" verticalCentered="1"/>
  <pageMargins left="0.25" right="0.25" top="0.6" bottom="0.5" header="0.4" footer="0.25"/>
  <pageSetup scale="56" orientation="landscape" r:id="rId1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M50"/>
  <sheetViews>
    <sheetView workbookViewId="0">
      <selection activeCell="K2" sqref="K2"/>
    </sheetView>
  </sheetViews>
  <sheetFormatPr defaultRowHeight="15" x14ac:dyDescent="0.2"/>
  <cols>
    <col min="1" max="2" width="10.7109375" style="45" customWidth="1"/>
    <col min="3" max="3" width="8.7109375" style="45" customWidth="1"/>
    <col min="4" max="5" width="10.28515625" style="45" customWidth="1"/>
    <col min="6" max="6" width="18.7109375" style="46" customWidth="1"/>
    <col min="7" max="7" width="3.28515625" style="46" customWidth="1"/>
    <col min="8" max="9" width="10.7109375" style="45" customWidth="1"/>
    <col min="10" max="10" width="8.7109375" style="45" customWidth="1"/>
    <col min="11" max="12" width="10.28515625" style="45" customWidth="1"/>
    <col min="13" max="13" width="18.7109375" style="45" customWidth="1"/>
    <col min="14" max="16384" width="9.140625" style="45"/>
  </cols>
  <sheetData>
    <row r="1" spans="1:13" ht="20.100000000000001" customHeight="1" x14ac:dyDescent="0.2">
      <c r="A1" s="318" t="s">
        <v>26</v>
      </c>
      <c r="B1" s="319"/>
      <c r="C1" s="315" t="str">
        <f>IF(ISBLANK(Cover!D3),"",Cover!D3)</f>
        <v>*</v>
      </c>
      <c r="D1" s="315"/>
      <c r="E1" s="315"/>
      <c r="F1" s="315"/>
      <c r="G1" s="315"/>
      <c r="H1" s="315"/>
      <c r="I1" s="315"/>
      <c r="J1" s="231" t="s">
        <v>19</v>
      </c>
      <c r="K1" s="306" t="str">
        <f>IF(ISBLANK(Cover!O2),"",Cover!O2)</f>
        <v>*</v>
      </c>
      <c r="L1" s="306"/>
      <c r="M1" s="307"/>
    </row>
    <row r="2" spans="1:13" ht="20.100000000000001" customHeight="1" thickBot="1" x14ac:dyDescent="0.25">
      <c r="A2" s="320" t="s">
        <v>27</v>
      </c>
      <c r="B2" s="321"/>
      <c r="C2" s="314" t="str">
        <f>IF(ISBLANK(Cover!D4),"",Cover!D4)</f>
        <v>*</v>
      </c>
      <c r="D2" s="314"/>
      <c r="E2" s="314"/>
      <c r="F2" s="314"/>
      <c r="G2" s="314"/>
      <c r="H2" s="314"/>
      <c r="I2" s="314"/>
      <c r="J2" s="232" t="s">
        <v>38</v>
      </c>
      <c r="K2" s="59">
        <v>3</v>
      </c>
      <c r="L2" s="32" t="s">
        <v>45</v>
      </c>
      <c r="M2" s="33">
        <f>IF(ISBLANK(Cover!Q7),"",Cover!Q7)</f>
        <v>3</v>
      </c>
    </row>
    <row r="3" spans="1:13" ht="20.100000000000001" customHeight="1" thickBot="1" x14ac:dyDescent="0.3">
      <c r="A3" s="49" t="s">
        <v>15</v>
      </c>
      <c r="B3" s="49" t="s">
        <v>12</v>
      </c>
      <c r="C3" s="49" t="s">
        <v>21</v>
      </c>
      <c r="D3" s="49" t="s">
        <v>13</v>
      </c>
      <c r="E3" s="50" t="s">
        <v>4</v>
      </c>
      <c r="F3" s="49" t="s">
        <v>14</v>
      </c>
      <c r="G3" s="311"/>
      <c r="H3" s="49" t="s">
        <v>15</v>
      </c>
      <c r="I3" s="49" t="s">
        <v>12</v>
      </c>
      <c r="J3" s="49" t="s">
        <v>21</v>
      </c>
      <c r="K3" s="49" t="s">
        <v>13</v>
      </c>
      <c r="L3" s="50" t="s">
        <v>4</v>
      </c>
      <c r="M3" s="49" t="s">
        <v>14</v>
      </c>
    </row>
    <row r="4" spans="1:13" ht="20.100000000000001" customHeight="1" x14ac:dyDescent="0.2">
      <c r="A4" s="98"/>
      <c r="B4" s="99"/>
      <c r="C4" s="100"/>
      <c r="D4" s="101"/>
      <c r="E4" s="102"/>
      <c r="F4" s="103" t="str">
        <f>IF(ISBLANK(D4),"",D4*E4)</f>
        <v/>
      </c>
      <c r="G4" s="312"/>
      <c r="H4" s="98"/>
      <c r="I4" s="99"/>
      <c r="J4" s="100"/>
      <c r="K4" s="101"/>
      <c r="L4" s="102"/>
      <c r="M4" s="103" t="str">
        <f>IF(ISBLANK(K4),"",K4*L4)</f>
        <v/>
      </c>
    </row>
    <row r="5" spans="1:13" ht="20.100000000000001" customHeight="1" x14ac:dyDescent="0.2">
      <c r="A5" s="25"/>
      <c r="B5" s="51"/>
      <c r="C5" s="52"/>
      <c r="D5" s="43"/>
      <c r="E5" s="53"/>
      <c r="F5" s="54" t="str">
        <f t="shared" ref="F5:F24" si="0">IF(ISBLANK(D5),"",D5*E5)</f>
        <v/>
      </c>
      <c r="G5" s="312"/>
      <c r="H5" s="25"/>
      <c r="I5" s="51"/>
      <c r="J5" s="52"/>
      <c r="K5" s="43"/>
      <c r="L5" s="53"/>
      <c r="M5" s="54" t="str">
        <f t="shared" ref="M5:M24" si="1">IF(ISBLANK(K5),"",K5*L5)</f>
        <v/>
      </c>
    </row>
    <row r="6" spans="1:13" ht="20.100000000000001" customHeight="1" x14ac:dyDescent="0.2">
      <c r="A6" s="25"/>
      <c r="B6" s="51"/>
      <c r="C6" s="52"/>
      <c r="D6" s="43"/>
      <c r="E6" s="53"/>
      <c r="F6" s="54" t="str">
        <f t="shared" si="0"/>
        <v/>
      </c>
      <c r="G6" s="312"/>
      <c r="H6" s="25"/>
      <c r="I6" s="51"/>
      <c r="J6" s="52"/>
      <c r="K6" s="43"/>
      <c r="L6" s="53"/>
      <c r="M6" s="54" t="str">
        <f t="shared" si="1"/>
        <v/>
      </c>
    </row>
    <row r="7" spans="1:13" ht="20.100000000000001" customHeight="1" x14ac:dyDescent="0.2">
      <c r="A7" s="25"/>
      <c r="B7" s="51"/>
      <c r="C7" s="52"/>
      <c r="D7" s="43"/>
      <c r="E7" s="53"/>
      <c r="F7" s="54" t="str">
        <f t="shared" si="0"/>
        <v/>
      </c>
      <c r="G7" s="312"/>
      <c r="H7" s="25"/>
      <c r="I7" s="51"/>
      <c r="J7" s="52"/>
      <c r="K7" s="43"/>
      <c r="L7" s="53"/>
      <c r="M7" s="54" t="str">
        <f t="shared" si="1"/>
        <v/>
      </c>
    </row>
    <row r="8" spans="1:13" ht="20.100000000000001" customHeight="1" x14ac:dyDescent="0.2">
      <c r="A8" s="25"/>
      <c r="B8" s="51"/>
      <c r="C8" s="52"/>
      <c r="D8" s="43"/>
      <c r="E8" s="53"/>
      <c r="F8" s="54" t="str">
        <f t="shared" si="0"/>
        <v/>
      </c>
      <c r="G8" s="312"/>
      <c r="H8" s="25"/>
      <c r="I8" s="51"/>
      <c r="J8" s="52"/>
      <c r="K8" s="43"/>
      <c r="L8" s="53"/>
      <c r="M8" s="54" t="str">
        <f t="shared" si="1"/>
        <v/>
      </c>
    </row>
    <row r="9" spans="1:13" ht="20.100000000000001" customHeight="1" x14ac:dyDescent="0.2">
      <c r="A9" s="25"/>
      <c r="B9" s="51"/>
      <c r="C9" s="52"/>
      <c r="D9" s="43"/>
      <c r="E9" s="53"/>
      <c r="F9" s="54" t="str">
        <f t="shared" si="0"/>
        <v/>
      </c>
      <c r="G9" s="312"/>
      <c r="H9" s="25"/>
      <c r="I9" s="51"/>
      <c r="J9" s="52"/>
      <c r="K9" s="43"/>
      <c r="L9" s="53"/>
      <c r="M9" s="54" t="str">
        <f t="shared" si="1"/>
        <v/>
      </c>
    </row>
    <row r="10" spans="1:13" ht="20.100000000000001" customHeight="1" x14ac:dyDescent="0.2">
      <c r="A10" s="25"/>
      <c r="B10" s="51"/>
      <c r="C10" s="52"/>
      <c r="D10" s="43"/>
      <c r="E10" s="53"/>
      <c r="F10" s="54" t="str">
        <f t="shared" si="0"/>
        <v/>
      </c>
      <c r="G10" s="312"/>
      <c r="H10" s="25"/>
      <c r="I10" s="51"/>
      <c r="J10" s="52"/>
      <c r="K10" s="43"/>
      <c r="L10" s="53"/>
      <c r="M10" s="54" t="str">
        <f t="shared" si="1"/>
        <v/>
      </c>
    </row>
    <row r="11" spans="1:13" ht="20.100000000000001" customHeight="1" x14ac:dyDescent="0.2">
      <c r="A11" s="25"/>
      <c r="B11" s="51"/>
      <c r="C11" s="52"/>
      <c r="D11" s="43"/>
      <c r="E11" s="53"/>
      <c r="F11" s="54" t="str">
        <f t="shared" si="0"/>
        <v/>
      </c>
      <c r="G11" s="312"/>
      <c r="H11" s="25"/>
      <c r="I11" s="51"/>
      <c r="J11" s="52"/>
      <c r="K11" s="43"/>
      <c r="L11" s="53"/>
      <c r="M11" s="54" t="str">
        <f t="shared" si="1"/>
        <v/>
      </c>
    </row>
    <row r="12" spans="1:13" ht="20.100000000000001" customHeight="1" x14ac:dyDescent="0.2">
      <c r="A12" s="25"/>
      <c r="B12" s="51"/>
      <c r="C12" s="52"/>
      <c r="D12" s="43"/>
      <c r="E12" s="53"/>
      <c r="F12" s="54" t="str">
        <f t="shared" si="0"/>
        <v/>
      </c>
      <c r="G12" s="312"/>
      <c r="H12" s="25"/>
      <c r="I12" s="51"/>
      <c r="J12" s="52"/>
      <c r="K12" s="43"/>
      <c r="L12" s="53"/>
      <c r="M12" s="54" t="str">
        <f t="shared" si="1"/>
        <v/>
      </c>
    </row>
    <row r="13" spans="1:13" ht="20.100000000000001" customHeight="1" x14ac:dyDescent="0.2">
      <c r="A13" s="25"/>
      <c r="B13" s="51"/>
      <c r="C13" s="52"/>
      <c r="D13" s="43"/>
      <c r="E13" s="53"/>
      <c r="F13" s="54" t="str">
        <f t="shared" si="0"/>
        <v/>
      </c>
      <c r="G13" s="312"/>
      <c r="H13" s="25"/>
      <c r="I13" s="51"/>
      <c r="J13" s="52"/>
      <c r="K13" s="43"/>
      <c r="L13" s="53"/>
      <c r="M13" s="54" t="str">
        <f t="shared" si="1"/>
        <v/>
      </c>
    </row>
    <row r="14" spans="1:13" ht="20.100000000000001" customHeight="1" x14ac:dyDescent="0.2">
      <c r="A14" s="25"/>
      <c r="B14" s="51"/>
      <c r="C14" s="52"/>
      <c r="D14" s="43"/>
      <c r="E14" s="53"/>
      <c r="F14" s="54" t="str">
        <f t="shared" si="0"/>
        <v/>
      </c>
      <c r="G14" s="312"/>
      <c r="H14" s="25"/>
      <c r="I14" s="51"/>
      <c r="J14" s="52"/>
      <c r="K14" s="43"/>
      <c r="L14" s="53"/>
      <c r="M14" s="54" t="str">
        <f t="shared" si="1"/>
        <v/>
      </c>
    </row>
    <row r="15" spans="1:13" ht="20.100000000000001" customHeight="1" x14ac:dyDescent="0.2">
      <c r="A15" s="25"/>
      <c r="B15" s="51"/>
      <c r="C15" s="52"/>
      <c r="D15" s="43"/>
      <c r="E15" s="53"/>
      <c r="F15" s="54" t="str">
        <f t="shared" si="0"/>
        <v/>
      </c>
      <c r="G15" s="312"/>
      <c r="H15" s="25"/>
      <c r="I15" s="51"/>
      <c r="J15" s="52"/>
      <c r="K15" s="43"/>
      <c r="L15" s="53"/>
      <c r="M15" s="54" t="str">
        <f t="shared" si="1"/>
        <v/>
      </c>
    </row>
    <row r="16" spans="1:13" ht="20.100000000000001" customHeight="1" x14ac:dyDescent="0.2">
      <c r="A16" s="25"/>
      <c r="B16" s="51"/>
      <c r="C16" s="52"/>
      <c r="D16" s="43"/>
      <c r="E16" s="53"/>
      <c r="F16" s="54" t="str">
        <f t="shared" si="0"/>
        <v/>
      </c>
      <c r="G16" s="312"/>
      <c r="H16" s="25"/>
      <c r="I16" s="51"/>
      <c r="J16" s="52"/>
      <c r="K16" s="43"/>
      <c r="L16" s="53"/>
      <c r="M16" s="54" t="str">
        <f t="shared" si="1"/>
        <v/>
      </c>
    </row>
    <row r="17" spans="1:13" ht="20.100000000000001" customHeight="1" x14ac:dyDescent="0.2">
      <c r="A17" s="25"/>
      <c r="B17" s="51"/>
      <c r="C17" s="52"/>
      <c r="D17" s="43"/>
      <c r="E17" s="53"/>
      <c r="F17" s="54" t="str">
        <f t="shared" si="0"/>
        <v/>
      </c>
      <c r="G17" s="312"/>
      <c r="H17" s="25"/>
      <c r="I17" s="51"/>
      <c r="J17" s="52"/>
      <c r="K17" s="43"/>
      <c r="L17" s="53"/>
      <c r="M17" s="54" t="str">
        <f t="shared" si="1"/>
        <v/>
      </c>
    </row>
    <row r="18" spans="1:13" ht="20.100000000000001" customHeight="1" x14ac:dyDescent="0.2">
      <c r="A18" s="25"/>
      <c r="B18" s="51"/>
      <c r="C18" s="52"/>
      <c r="D18" s="43"/>
      <c r="E18" s="53"/>
      <c r="F18" s="54" t="str">
        <f t="shared" si="0"/>
        <v/>
      </c>
      <c r="G18" s="312"/>
      <c r="H18" s="25"/>
      <c r="I18" s="51"/>
      <c r="J18" s="52"/>
      <c r="K18" s="43"/>
      <c r="L18" s="53"/>
      <c r="M18" s="54" t="str">
        <f t="shared" si="1"/>
        <v/>
      </c>
    </row>
    <row r="19" spans="1:13" ht="20.100000000000001" customHeight="1" x14ac:dyDescent="0.2">
      <c r="A19" s="25"/>
      <c r="B19" s="51"/>
      <c r="C19" s="52"/>
      <c r="D19" s="43"/>
      <c r="E19" s="53"/>
      <c r="F19" s="54" t="str">
        <f t="shared" si="0"/>
        <v/>
      </c>
      <c r="G19" s="312"/>
      <c r="H19" s="25"/>
      <c r="I19" s="51"/>
      <c r="J19" s="52"/>
      <c r="K19" s="43"/>
      <c r="L19" s="53"/>
      <c r="M19" s="54" t="str">
        <f t="shared" si="1"/>
        <v/>
      </c>
    </row>
    <row r="20" spans="1:13" ht="20.100000000000001" customHeight="1" x14ac:dyDescent="0.2">
      <c r="A20" s="25"/>
      <c r="B20" s="51"/>
      <c r="C20" s="52"/>
      <c r="D20" s="43"/>
      <c r="E20" s="53"/>
      <c r="F20" s="54" t="str">
        <f t="shared" si="0"/>
        <v/>
      </c>
      <c r="G20" s="312"/>
      <c r="H20" s="25"/>
      <c r="I20" s="51"/>
      <c r="J20" s="52"/>
      <c r="K20" s="43"/>
      <c r="L20" s="53"/>
      <c r="M20" s="54" t="str">
        <f t="shared" si="1"/>
        <v/>
      </c>
    </row>
    <row r="21" spans="1:13" ht="20.100000000000001" customHeight="1" x14ac:dyDescent="0.2">
      <c r="A21" s="25"/>
      <c r="B21" s="51"/>
      <c r="C21" s="52"/>
      <c r="D21" s="43"/>
      <c r="E21" s="53"/>
      <c r="F21" s="54" t="str">
        <f t="shared" si="0"/>
        <v/>
      </c>
      <c r="G21" s="312"/>
      <c r="H21" s="25"/>
      <c r="I21" s="51"/>
      <c r="J21" s="52"/>
      <c r="K21" s="43"/>
      <c r="L21" s="53"/>
      <c r="M21" s="54" t="str">
        <f t="shared" si="1"/>
        <v/>
      </c>
    </row>
    <row r="22" spans="1:13" ht="20.100000000000001" customHeight="1" x14ac:dyDescent="0.2">
      <c r="A22" s="25"/>
      <c r="B22" s="51"/>
      <c r="C22" s="52"/>
      <c r="D22" s="43"/>
      <c r="E22" s="53"/>
      <c r="F22" s="54" t="str">
        <f t="shared" si="0"/>
        <v/>
      </c>
      <c r="G22" s="312"/>
      <c r="H22" s="25"/>
      <c r="I22" s="51"/>
      <c r="J22" s="52"/>
      <c r="K22" s="43"/>
      <c r="L22" s="53"/>
      <c r="M22" s="54" t="str">
        <f t="shared" si="1"/>
        <v/>
      </c>
    </row>
    <row r="23" spans="1:13" ht="20.100000000000001" customHeight="1" x14ac:dyDescent="0.2">
      <c r="A23" s="25"/>
      <c r="B23" s="51"/>
      <c r="C23" s="52"/>
      <c r="D23" s="43"/>
      <c r="E23" s="53"/>
      <c r="F23" s="54" t="str">
        <f t="shared" si="0"/>
        <v/>
      </c>
      <c r="G23" s="312"/>
      <c r="H23" s="25"/>
      <c r="I23" s="51"/>
      <c r="J23" s="52"/>
      <c r="K23" s="43"/>
      <c r="L23" s="53"/>
      <c r="M23" s="54" t="str">
        <f t="shared" si="1"/>
        <v/>
      </c>
    </row>
    <row r="24" spans="1:13" ht="20.100000000000001" customHeight="1" thickBot="1" x14ac:dyDescent="0.25">
      <c r="A24" s="104"/>
      <c r="B24" s="105"/>
      <c r="C24" s="106"/>
      <c r="D24" s="107"/>
      <c r="E24" s="108"/>
      <c r="F24" s="109" t="str">
        <f t="shared" si="0"/>
        <v/>
      </c>
      <c r="G24" s="312"/>
      <c r="H24" s="104"/>
      <c r="I24" s="105"/>
      <c r="J24" s="106"/>
      <c r="K24" s="107"/>
      <c r="L24" s="108"/>
      <c r="M24" s="109" t="str">
        <f t="shared" si="1"/>
        <v/>
      </c>
    </row>
    <row r="25" spans="1:13" ht="20.100000000000001" customHeight="1" thickBot="1" x14ac:dyDescent="0.25">
      <c r="A25" s="303"/>
      <c r="B25" s="304"/>
      <c r="C25" s="305"/>
      <c r="D25" s="301" t="s">
        <v>49</v>
      </c>
      <c r="E25" s="302"/>
      <c r="F25" s="1">
        <f>ROUNDUP(SUM(F4:F24)*1.02,-1)</f>
        <v>0</v>
      </c>
      <c r="G25" s="312"/>
      <c r="H25" s="303"/>
      <c r="I25" s="304"/>
      <c r="J25" s="305"/>
      <c r="K25" s="301" t="s">
        <v>49</v>
      </c>
      <c r="L25" s="302"/>
      <c r="M25" s="1">
        <f>ROUNDUP(SUM(M4:M24)*1.02,-1)</f>
        <v>0</v>
      </c>
    </row>
    <row r="26" spans="1:13" ht="20.100000000000001" customHeight="1" x14ac:dyDescent="0.2">
      <c r="A26" s="98"/>
      <c r="B26" s="99"/>
      <c r="C26" s="100"/>
      <c r="D26" s="101"/>
      <c r="E26" s="102"/>
      <c r="F26" s="103" t="str">
        <f t="shared" ref="F26:F46" si="2">IF(ISBLANK(D26),"",D26*E26)</f>
        <v/>
      </c>
      <c r="G26" s="312"/>
      <c r="H26" s="98"/>
      <c r="I26" s="99"/>
      <c r="J26" s="100"/>
      <c r="K26" s="101"/>
      <c r="L26" s="102"/>
      <c r="M26" s="103" t="str">
        <f t="shared" ref="M26:M46" si="3">IF(ISBLANK(K26),"",K26*L26)</f>
        <v/>
      </c>
    </row>
    <row r="27" spans="1:13" ht="20.100000000000001" customHeight="1" x14ac:dyDescent="0.2">
      <c r="A27" s="25"/>
      <c r="B27" s="51"/>
      <c r="C27" s="52"/>
      <c r="D27" s="43"/>
      <c r="E27" s="53"/>
      <c r="F27" s="54" t="str">
        <f t="shared" si="2"/>
        <v/>
      </c>
      <c r="G27" s="312"/>
      <c r="H27" s="25"/>
      <c r="I27" s="51"/>
      <c r="J27" s="52"/>
      <c r="K27" s="43"/>
      <c r="L27" s="53"/>
      <c r="M27" s="54" t="str">
        <f t="shared" si="3"/>
        <v/>
      </c>
    </row>
    <row r="28" spans="1:13" ht="20.100000000000001" customHeight="1" x14ac:dyDescent="0.2">
      <c r="A28" s="25"/>
      <c r="B28" s="51"/>
      <c r="C28" s="52"/>
      <c r="D28" s="43"/>
      <c r="E28" s="53"/>
      <c r="F28" s="54" t="str">
        <f t="shared" si="2"/>
        <v/>
      </c>
      <c r="G28" s="312"/>
      <c r="H28" s="25"/>
      <c r="I28" s="51"/>
      <c r="J28" s="52"/>
      <c r="K28" s="43"/>
      <c r="L28" s="53"/>
      <c r="M28" s="54" t="str">
        <f t="shared" si="3"/>
        <v/>
      </c>
    </row>
    <row r="29" spans="1:13" ht="20.100000000000001" customHeight="1" x14ac:dyDescent="0.2">
      <c r="A29" s="25"/>
      <c r="B29" s="51"/>
      <c r="C29" s="52"/>
      <c r="D29" s="43"/>
      <c r="E29" s="53"/>
      <c r="F29" s="54" t="str">
        <f t="shared" si="2"/>
        <v/>
      </c>
      <c r="G29" s="312"/>
      <c r="H29" s="25"/>
      <c r="I29" s="51"/>
      <c r="J29" s="52"/>
      <c r="K29" s="43"/>
      <c r="L29" s="53"/>
      <c r="M29" s="54" t="str">
        <f t="shared" si="3"/>
        <v/>
      </c>
    </row>
    <row r="30" spans="1:13" ht="20.100000000000001" customHeight="1" x14ac:dyDescent="0.2">
      <c r="A30" s="25"/>
      <c r="B30" s="51"/>
      <c r="C30" s="52"/>
      <c r="D30" s="43"/>
      <c r="E30" s="53"/>
      <c r="F30" s="54" t="str">
        <f t="shared" si="2"/>
        <v/>
      </c>
      <c r="G30" s="312"/>
      <c r="H30" s="25"/>
      <c r="I30" s="51"/>
      <c r="J30" s="52"/>
      <c r="K30" s="43"/>
      <c r="L30" s="53"/>
      <c r="M30" s="54" t="str">
        <f t="shared" si="3"/>
        <v/>
      </c>
    </row>
    <row r="31" spans="1:13" ht="20.100000000000001" customHeight="1" x14ac:dyDescent="0.2">
      <c r="A31" s="25"/>
      <c r="B31" s="51"/>
      <c r="C31" s="52"/>
      <c r="D31" s="43"/>
      <c r="E31" s="53"/>
      <c r="F31" s="54" t="str">
        <f t="shared" si="2"/>
        <v/>
      </c>
      <c r="G31" s="312"/>
      <c r="H31" s="25"/>
      <c r="I31" s="51"/>
      <c r="J31" s="52"/>
      <c r="K31" s="43"/>
      <c r="L31" s="53"/>
      <c r="M31" s="54" t="str">
        <f t="shared" si="3"/>
        <v/>
      </c>
    </row>
    <row r="32" spans="1:13" ht="20.100000000000001" customHeight="1" x14ac:dyDescent="0.2">
      <c r="A32" s="25"/>
      <c r="B32" s="51"/>
      <c r="C32" s="52"/>
      <c r="D32" s="43"/>
      <c r="E32" s="53"/>
      <c r="F32" s="54" t="str">
        <f t="shared" si="2"/>
        <v/>
      </c>
      <c r="G32" s="312"/>
      <c r="H32" s="25"/>
      <c r="I32" s="51"/>
      <c r="J32" s="52"/>
      <c r="K32" s="43"/>
      <c r="L32" s="53"/>
      <c r="M32" s="54" t="str">
        <f t="shared" si="3"/>
        <v/>
      </c>
    </row>
    <row r="33" spans="1:13" ht="20.100000000000001" customHeight="1" x14ac:dyDescent="0.2">
      <c r="A33" s="25"/>
      <c r="B33" s="51"/>
      <c r="C33" s="52"/>
      <c r="D33" s="43"/>
      <c r="E33" s="53"/>
      <c r="F33" s="54" t="str">
        <f t="shared" si="2"/>
        <v/>
      </c>
      <c r="G33" s="312"/>
      <c r="H33" s="25"/>
      <c r="I33" s="51"/>
      <c r="J33" s="52"/>
      <c r="K33" s="43"/>
      <c r="L33" s="53"/>
      <c r="M33" s="54" t="str">
        <f t="shared" si="3"/>
        <v/>
      </c>
    </row>
    <row r="34" spans="1:13" ht="20.100000000000001" customHeight="1" x14ac:dyDescent="0.2">
      <c r="A34" s="25"/>
      <c r="B34" s="51"/>
      <c r="C34" s="52"/>
      <c r="D34" s="43"/>
      <c r="E34" s="53"/>
      <c r="F34" s="54" t="str">
        <f t="shared" si="2"/>
        <v/>
      </c>
      <c r="G34" s="312"/>
      <c r="H34" s="25"/>
      <c r="I34" s="51"/>
      <c r="J34" s="52"/>
      <c r="K34" s="43"/>
      <c r="L34" s="53"/>
      <c r="M34" s="54" t="str">
        <f t="shared" si="3"/>
        <v/>
      </c>
    </row>
    <row r="35" spans="1:13" ht="20.100000000000001" customHeight="1" x14ac:dyDescent="0.2">
      <c r="A35" s="25"/>
      <c r="B35" s="51"/>
      <c r="C35" s="52"/>
      <c r="D35" s="43"/>
      <c r="E35" s="53"/>
      <c r="F35" s="54" t="str">
        <f t="shared" si="2"/>
        <v/>
      </c>
      <c r="G35" s="312"/>
      <c r="H35" s="25"/>
      <c r="I35" s="51"/>
      <c r="J35" s="52"/>
      <c r="K35" s="43"/>
      <c r="L35" s="53"/>
      <c r="M35" s="54" t="str">
        <f t="shared" si="3"/>
        <v/>
      </c>
    </row>
    <row r="36" spans="1:13" ht="20.100000000000001" customHeight="1" x14ac:dyDescent="0.2">
      <c r="A36" s="25"/>
      <c r="B36" s="51"/>
      <c r="C36" s="52"/>
      <c r="D36" s="43"/>
      <c r="E36" s="53"/>
      <c r="F36" s="54" t="str">
        <f t="shared" si="2"/>
        <v/>
      </c>
      <c r="G36" s="312"/>
      <c r="H36" s="25"/>
      <c r="I36" s="51"/>
      <c r="J36" s="52"/>
      <c r="K36" s="43"/>
      <c r="L36" s="53"/>
      <c r="M36" s="54" t="str">
        <f t="shared" si="3"/>
        <v/>
      </c>
    </row>
    <row r="37" spans="1:13" ht="20.100000000000001" customHeight="1" x14ac:dyDescent="0.2">
      <c r="A37" s="25"/>
      <c r="B37" s="51"/>
      <c r="C37" s="52"/>
      <c r="D37" s="43"/>
      <c r="E37" s="53"/>
      <c r="F37" s="54" t="str">
        <f t="shared" si="2"/>
        <v/>
      </c>
      <c r="G37" s="312"/>
      <c r="H37" s="25"/>
      <c r="I37" s="51"/>
      <c r="J37" s="52"/>
      <c r="K37" s="43"/>
      <c r="L37" s="53"/>
      <c r="M37" s="54" t="str">
        <f t="shared" si="3"/>
        <v/>
      </c>
    </row>
    <row r="38" spans="1:13" ht="20.100000000000001" customHeight="1" x14ac:dyDescent="0.2">
      <c r="A38" s="25"/>
      <c r="B38" s="51"/>
      <c r="C38" s="52"/>
      <c r="D38" s="43"/>
      <c r="E38" s="53"/>
      <c r="F38" s="54" t="str">
        <f t="shared" si="2"/>
        <v/>
      </c>
      <c r="G38" s="312"/>
      <c r="H38" s="25"/>
      <c r="I38" s="51"/>
      <c r="J38" s="52"/>
      <c r="K38" s="43"/>
      <c r="L38" s="53"/>
      <c r="M38" s="54" t="str">
        <f t="shared" si="3"/>
        <v/>
      </c>
    </row>
    <row r="39" spans="1:13" ht="20.100000000000001" customHeight="1" x14ac:dyDescent="0.2">
      <c r="A39" s="25"/>
      <c r="B39" s="51"/>
      <c r="C39" s="52"/>
      <c r="D39" s="43"/>
      <c r="E39" s="53"/>
      <c r="F39" s="54" t="str">
        <f t="shared" si="2"/>
        <v/>
      </c>
      <c r="G39" s="312"/>
      <c r="H39" s="25"/>
      <c r="I39" s="51"/>
      <c r="J39" s="52"/>
      <c r="K39" s="43"/>
      <c r="L39" s="53"/>
      <c r="M39" s="54" t="str">
        <f t="shared" si="3"/>
        <v/>
      </c>
    </row>
    <row r="40" spans="1:13" ht="20.100000000000001" customHeight="1" x14ac:dyDescent="0.2">
      <c r="A40" s="25"/>
      <c r="B40" s="51"/>
      <c r="C40" s="52"/>
      <c r="D40" s="43"/>
      <c r="E40" s="53"/>
      <c r="F40" s="54" t="str">
        <f t="shared" si="2"/>
        <v/>
      </c>
      <c r="G40" s="312"/>
      <c r="H40" s="25"/>
      <c r="I40" s="51"/>
      <c r="J40" s="52"/>
      <c r="K40" s="43"/>
      <c r="L40" s="53"/>
      <c r="M40" s="54" t="str">
        <f t="shared" si="3"/>
        <v/>
      </c>
    </row>
    <row r="41" spans="1:13" ht="20.100000000000001" customHeight="1" x14ac:dyDescent="0.2">
      <c r="A41" s="25"/>
      <c r="B41" s="51"/>
      <c r="C41" s="52"/>
      <c r="D41" s="43"/>
      <c r="E41" s="53"/>
      <c r="F41" s="54" t="str">
        <f t="shared" si="2"/>
        <v/>
      </c>
      <c r="G41" s="312"/>
      <c r="H41" s="25"/>
      <c r="I41" s="51"/>
      <c r="J41" s="52"/>
      <c r="K41" s="43"/>
      <c r="L41" s="53"/>
      <c r="M41" s="54" t="str">
        <f t="shared" si="3"/>
        <v/>
      </c>
    </row>
    <row r="42" spans="1:13" ht="20.100000000000001" customHeight="1" x14ac:dyDescent="0.2">
      <c r="A42" s="25"/>
      <c r="B42" s="51"/>
      <c r="C42" s="52"/>
      <c r="D42" s="43"/>
      <c r="E42" s="53"/>
      <c r="F42" s="54" t="str">
        <f t="shared" si="2"/>
        <v/>
      </c>
      <c r="G42" s="312"/>
      <c r="H42" s="25"/>
      <c r="I42" s="51"/>
      <c r="J42" s="52"/>
      <c r="K42" s="43"/>
      <c r="L42" s="53"/>
      <c r="M42" s="54" t="str">
        <f t="shared" si="3"/>
        <v/>
      </c>
    </row>
    <row r="43" spans="1:13" ht="20.100000000000001" customHeight="1" x14ac:dyDescent="0.2">
      <c r="A43" s="25"/>
      <c r="B43" s="51"/>
      <c r="C43" s="52"/>
      <c r="D43" s="43"/>
      <c r="E43" s="53"/>
      <c r="F43" s="54" t="str">
        <f t="shared" si="2"/>
        <v/>
      </c>
      <c r="G43" s="312"/>
      <c r="H43" s="25"/>
      <c r="I43" s="51"/>
      <c r="J43" s="52"/>
      <c r="K43" s="43"/>
      <c r="L43" s="53"/>
      <c r="M43" s="54" t="str">
        <f t="shared" si="3"/>
        <v/>
      </c>
    </row>
    <row r="44" spans="1:13" ht="20.100000000000001" customHeight="1" x14ac:dyDescent="0.2">
      <c r="A44" s="25"/>
      <c r="B44" s="51"/>
      <c r="C44" s="52"/>
      <c r="D44" s="43"/>
      <c r="E44" s="53"/>
      <c r="F44" s="54" t="str">
        <f t="shared" si="2"/>
        <v/>
      </c>
      <c r="G44" s="312"/>
      <c r="H44" s="25"/>
      <c r="I44" s="51"/>
      <c r="J44" s="52"/>
      <c r="K44" s="43"/>
      <c r="L44" s="53"/>
      <c r="M44" s="54" t="str">
        <f t="shared" si="3"/>
        <v/>
      </c>
    </row>
    <row r="45" spans="1:13" ht="20.100000000000001" customHeight="1" x14ac:dyDescent="0.2">
      <c r="A45" s="25"/>
      <c r="B45" s="51"/>
      <c r="C45" s="52"/>
      <c r="D45" s="43"/>
      <c r="E45" s="53"/>
      <c r="F45" s="54" t="str">
        <f t="shared" si="2"/>
        <v/>
      </c>
      <c r="G45" s="312"/>
      <c r="H45" s="25"/>
      <c r="I45" s="51"/>
      <c r="J45" s="52"/>
      <c r="K45" s="43"/>
      <c r="L45" s="53"/>
      <c r="M45" s="54" t="str">
        <f t="shared" si="3"/>
        <v/>
      </c>
    </row>
    <row r="46" spans="1:13" ht="20.100000000000001" customHeight="1" thickBot="1" x14ac:dyDescent="0.25">
      <c r="A46" s="104"/>
      <c r="B46" s="105"/>
      <c r="C46" s="106"/>
      <c r="D46" s="107"/>
      <c r="E46" s="108"/>
      <c r="F46" s="109" t="str">
        <f t="shared" si="2"/>
        <v/>
      </c>
      <c r="G46" s="312"/>
      <c r="H46" s="104"/>
      <c r="I46" s="105"/>
      <c r="J46" s="106"/>
      <c r="K46" s="107"/>
      <c r="L46" s="108"/>
      <c r="M46" s="109" t="str">
        <f t="shared" si="3"/>
        <v/>
      </c>
    </row>
    <row r="47" spans="1:13" ht="20.100000000000001" customHeight="1" thickBot="1" x14ac:dyDescent="0.25">
      <c r="A47" s="303"/>
      <c r="B47" s="304"/>
      <c r="C47" s="305"/>
      <c r="D47" s="301" t="s">
        <v>49</v>
      </c>
      <c r="E47" s="302"/>
      <c r="F47" s="1">
        <f>ROUNDUP(SUM(F26:F46)*1.02,-1)</f>
        <v>0</v>
      </c>
      <c r="G47" s="312"/>
      <c r="H47" s="303"/>
      <c r="I47" s="304"/>
      <c r="J47" s="305"/>
      <c r="K47" s="301" t="s">
        <v>49</v>
      </c>
      <c r="L47" s="302"/>
      <c r="M47" s="1">
        <f>ROUNDUP(SUM(M26:M46)*1.02,-1)</f>
        <v>0</v>
      </c>
    </row>
    <row r="48" spans="1:13" ht="9.9499999999999993" customHeight="1" thickBot="1" x14ac:dyDescent="0.25">
      <c r="A48" s="308"/>
      <c r="B48" s="309"/>
      <c r="C48" s="309"/>
      <c r="D48" s="309"/>
      <c r="E48" s="309"/>
      <c r="F48" s="310"/>
      <c r="G48" s="312"/>
      <c r="H48" s="308"/>
      <c r="I48" s="309"/>
      <c r="J48" s="309"/>
      <c r="K48" s="309"/>
      <c r="L48" s="309"/>
      <c r="M48" s="310"/>
    </row>
    <row r="49" spans="1:13" ht="20.100000000000001" customHeight="1" thickBot="1" x14ac:dyDescent="0.3">
      <c r="A49" s="316" t="s">
        <v>31</v>
      </c>
      <c r="B49" s="49" t="s">
        <v>12</v>
      </c>
      <c r="C49" s="2"/>
      <c r="D49" s="49" t="s">
        <v>48</v>
      </c>
      <c r="E49" s="50" t="s">
        <v>4</v>
      </c>
      <c r="F49" s="49" t="s">
        <v>14</v>
      </c>
      <c r="G49" s="312"/>
      <c r="H49" s="316" t="s">
        <v>32</v>
      </c>
      <c r="I49" s="49" t="s">
        <v>12</v>
      </c>
      <c r="J49" s="2"/>
      <c r="K49" s="49" t="s">
        <v>48</v>
      </c>
      <c r="L49" s="50" t="s">
        <v>4</v>
      </c>
      <c r="M49" s="49" t="s">
        <v>14</v>
      </c>
    </row>
    <row r="50" spans="1:13" ht="20.100000000000001" customHeight="1" thickBot="1" x14ac:dyDescent="0.25">
      <c r="A50" s="317"/>
      <c r="B50" s="55"/>
      <c r="C50" s="3"/>
      <c r="D50" s="56"/>
      <c r="E50" s="57"/>
      <c r="F50" s="58" t="str">
        <f>IF(ISBLANK(D50),"",ROUNDUP((D50*E50)*0.5*1.02,-1))</f>
        <v/>
      </c>
      <c r="G50" s="313"/>
      <c r="H50" s="317"/>
      <c r="I50" s="55"/>
      <c r="J50" s="3"/>
      <c r="K50" s="56"/>
      <c r="L50" s="57"/>
      <c r="M50" s="58" t="str">
        <f>IF(ISBLANK(K50),"",ROUNDUP((K50*L50)*0.5*1.02,-1))</f>
        <v/>
      </c>
    </row>
  </sheetData>
  <sheetProtection password="FEA9" sheet="1" objects="1" scenarios="1"/>
  <mergeCells count="18">
    <mergeCell ref="A1:B1"/>
    <mergeCell ref="C1:I1"/>
    <mergeCell ref="K1:M1"/>
    <mergeCell ref="A2:B2"/>
    <mergeCell ref="C2:I2"/>
    <mergeCell ref="D47:E47"/>
    <mergeCell ref="H47:J47"/>
    <mergeCell ref="K47:L47"/>
    <mergeCell ref="A48:F48"/>
    <mergeCell ref="H48:M48"/>
    <mergeCell ref="G3:G50"/>
    <mergeCell ref="A25:C25"/>
    <mergeCell ref="D25:E25"/>
    <mergeCell ref="H25:J25"/>
    <mergeCell ref="K25:L25"/>
    <mergeCell ref="A49:A50"/>
    <mergeCell ref="H49:H50"/>
    <mergeCell ref="A47:C47"/>
  </mergeCells>
  <printOptions horizontalCentered="1"/>
  <pageMargins left="0.25" right="0.25" top="0.75" bottom="0.5" header="0.5" footer="0.25"/>
  <pageSetup scale="70" orientation="portrait" horizontalDpi="300" verticalDpi="300" r:id="rId1"/>
  <headerFooter alignWithMargins="0">
    <oddHeader xml:space="preserve">&amp;C&amp;"Arial,Bold"&amp;16NMBS BRIDGING WORKSHEET&amp;R
</oddHeader>
    <oddFooter>&amp;L&amp;9Form Revised: 2/12/2008
File: &amp;F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indexed="47"/>
  </sheetPr>
  <dimension ref="A1:F47"/>
  <sheetViews>
    <sheetView zoomScaleNormal="100" workbookViewId="0">
      <selection activeCell="D3" sqref="D3"/>
    </sheetView>
  </sheetViews>
  <sheetFormatPr defaultRowHeight="15" customHeight="1" x14ac:dyDescent="0.2"/>
  <cols>
    <col min="1" max="3" width="5.7109375" style="209" customWidth="1"/>
    <col min="4" max="4" width="41.28515625" style="209" customWidth="1"/>
    <col min="5" max="5" width="11.42578125" style="209" customWidth="1"/>
    <col min="6" max="6" width="25.140625" style="209" customWidth="1"/>
    <col min="7" max="16384" width="9.140625" style="209"/>
  </cols>
  <sheetData>
    <row r="1" spans="1:6" ht="19.5" customHeight="1" x14ac:dyDescent="0.2">
      <c r="A1" s="422" t="s">
        <v>91</v>
      </c>
      <c r="B1" s="422"/>
      <c r="C1" s="422"/>
      <c r="D1" s="422"/>
      <c r="E1" s="422"/>
      <c r="F1" s="422"/>
    </row>
    <row r="2" spans="1:6" ht="47.25" customHeight="1" x14ac:dyDescent="0.2">
      <c r="A2" s="422"/>
      <c r="B2" s="422"/>
      <c r="C2" s="422"/>
      <c r="D2" s="422"/>
      <c r="E2" s="422"/>
      <c r="F2" s="422"/>
    </row>
    <row r="3" spans="1:6" ht="18" customHeight="1" x14ac:dyDescent="0.2">
      <c r="A3" s="433" t="s">
        <v>119</v>
      </c>
      <c r="B3" s="433"/>
      <c r="C3" s="433"/>
      <c r="D3" s="211"/>
      <c r="E3" s="210" t="s">
        <v>92</v>
      </c>
      <c r="F3" s="212"/>
    </row>
    <row r="4" spans="1:6" ht="18" customHeight="1" x14ac:dyDescent="0.2">
      <c r="A4" s="433" t="s">
        <v>120</v>
      </c>
      <c r="B4" s="433"/>
      <c r="C4" s="433"/>
      <c r="D4" s="213"/>
      <c r="E4" s="210" t="s">
        <v>93</v>
      </c>
      <c r="F4" s="212"/>
    </row>
    <row r="5" spans="1:6" ht="18.75" customHeight="1" thickBot="1" x14ac:dyDescent="0.25">
      <c r="A5" s="430"/>
      <c r="B5" s="430"/>
      <c r="C5" s="430"/>
      <c r="D5" s="214"/>
      <c r="E5" s="215"/>
      <c r="F5" s="216"/>
    </row>
    <row r="6" spans="1:6" ht="19.5" customHeight="1" thickBot="1" x14ac:dyDescent="0.25">
      <c r="A6" s="217" t="s">
        <v>94</v>
      </c>
      <c r="B6" s="218" t="s">
        <v>95</v>
      </c>
      <c r="C6" s="218" t="s">
        <v>96</v>
      </c>
      <c r="D6" s="427" t="s">
        <v>97</v>
      </c>
      <c r="E6" s="428"/>
      <c r="F6" s="429"/>
    </row>
    <row r="7" spans="1:6" ht="15" customHeight="1" thickTop="1" x14ac:dyDescent="0.2">
      <c r="A7" s="219"/>
      <c r="B7" s="220"/>
      <c r="C7" s="220"/>
      <c r="D7" s="434" t="s">
        <v>98</v>
      </c>
      <c r="E7" s="434"/>
      <c r="F7" s="435"/>
    </row>
    <row r="8" spans="1:6" ht="15" customHeight="1" x14ac:dyDescent="0.2">
      <c r="A8" s="221"/>
      <c r="B8" s="222"/>
      <c r="C8" s="222"/>
      <c r="D8" s="423" t="s">
        <v>99</v>
      </c>
      <c r="E8" s="423"/>
      <c r="F8" s="424"/>
    </row>
    <row r="9" spans="1:6" ht="15" customHeight="1" x14ac:dyDescent="0.2">
      <c r="A9" s="221"/>
      <c r="B9" s="222"/>
      <c r="C9" s="222"/>
      <c r="D9" s="423" t="s">
        <v>100</v>
      </c>
      <c r="E9" s="423"/>
      <c r="F9" s="424"/>
    </row>
    <row r="10" spans="1:6" ht="15" customHeight="1" x14ac:dyDescent="0.2">
      <c r="A10" s="221"/>
      <c r="B10" s="222"/>
      <c r="C10" s="222"/>
      <c r="D10" s="423" t="s">
        <v>101</v>
      </c>
      <c r="E10" s="423"/>
      <c r="F10" s="424"/>
    </row>
    <row r="11" spans="1:6" ht="15" customHeight="1" x14ac:dyDescent="0.2">
      <c r="A11" s="221"/>
      <c r="B11" s="222"/>
      <c r="C11" s="222"/>
      <c r="D11" s="423" t="s">
        <v>102</v>
      </c>
      <c r="E11" s="423"/>
      <c r="F11" s="424"/>
    </row>
    <row r="12" spans="1:6" ht="15" customHeight="1" x14ac:dyDescent="0.2">
      <c r="A12" s="221"/>
      <c r="B12" s="222"/>
      <c r="C12" s="222"/>
      <c r="D12" s="423" t="s">
        <v>103</v>
      </c>
      <c r="E12" s="423"/>
      <c r="F12" s="424"/>
    </row>
    <row r="13" spans="1:6" ht="15" customHeight="1" x14ac:dyDescent="0.2">
      <c r="A13" s="221"/>
      <c r="B13" s="222"/>
      <c r="C13" s="222"/>
      <c r="D13" s="423" t="s">
        <v>104</v>
      </c>
      <c r="E13" s="423"/>
      <c r="F13" s="424"/>
    </row>
    <row r="14" spans="1:6" ht="15" customHeight="1" x14ac:dyDescent="0.2">
      <c r="A14" s="221"/>
      <c r="B14" s="222"/>
      <c r="C14" s="222"/>
      <c r="D14" s="423" t="s">
        <v>105</v>
      </c>
      <c r="E14" s="423"/>
      <c r="F14" s="424"/>
    </row>
    <row r="15" spans="1:6" ht="15" customHeight="1" x14ac:dyDescent="0.2">
      <c r="A15" s="221"/>
      <c r="B15" s="222"/>
      <c r="C15" s="222"/>
      <c r="D15" s="423" t="s">
        <v>106</v>
      </c>
      <c r="E15" s="423"/>
      <c r="F15" s="424"/>
    </row>
    <row r="16" spans="1:6" ht="15" customHeight="1" x14ac:dyDescent="0.2">
      <c r="A16" s="221"/>
      <c r="B16" s="222"/>
      <c r="C16" s="222"/>
      <c r="D16" s="423" t="s">
        <v>107</v>
      </c>
      <c r="E16" s="423"/>
      <c r="F16" s="424"/>
    </row>
    <row r="17" spans="1:6" ht="15" customHeight="1" x14ac:dyDescent="0.2">
      <c r="A17" s="221"/>
      <c r="B17" s="222"/>
      <c r="C17" s="222"/>
      <c r="D17" s="423" t="s">
        <v>108</v>
      </c>
      <c r="E17" s="423"/>
      <c r="F17" s="424"/>
    </row>
    <row r="18" spans="1:6" ht="15" customHeight="1" x14ac:dyDescent="0.2">
      <c r="A18" s="221"/>
      <c r="B18" s="222"/>
      <c r="C18" s="222"/>
      <c r="D18" s="423" t="s">
        <v>109</v>
      </c>
      <c r="E18" s="423"/>
      <c r="F18" s="424"/>
    </row>
    <row r="19" spans="1:6" ht="15" customHeight="1" x14ac:dyDescent="0.2">
      <c r="A19" s="221"/>
      <c r="B19" s="222"/>
      <c r="C19" s="222"/>
      <c r="D19" s="423" t="s">
        <v>110</v>
      </c>
      <c r="E19" s="423"/>
      <c r="F19" s="424"/>
    </row>
    <row r="20" spans="1:6" ht="15" customHeight="1" x14ac:dyDescent="0.2">
      <c r="A20" s="221"/>
      <c r="B20" s="222"/>
      <c r="C20" s="222"/>
      <c r="D20" s="423" t="s">
        <v>111</v>
      </c>
      <c r="E20" s="423"/>
      <c r="F20" s="424"/>
    </row>
    <row r="21" spans="1:6" ht="15" customHeight="1" x14ac:dyDescent="0.2">
      <c r="A21" s="221"/>
      <c r="B21" s="222"/>
      <c r="C21" s="222"/>
      <c r="D21" s="423" t="s">
        <v>112</v>
      </c>
      <c r="E21" s="423"/>
      <c r="F21" s="424"/>
    </row>
    <row r="22" spans="1:6" ht="15" customHeight="1" x14ac:dyDescent="0.2">
      <c r="A22" s="221"/>
      <c r="B22" s="222"/>
      <c r="C22" s="222"/>
      <c r="D22" s="423" t="s">
        <v>113</v>
      </c>
      <c r="E22" s="423"/>
      <c r="F22" s="424"/>
    </row>
    <row r="23" spans="1:6" ht="15" customHeight="1" x14ac:dyDescent="0.2">
      <c r="A23" s="221"/>
      <c r="B23" s="222"/>
      <c r="C23" s="222"/>
      <c r="D23" s="423" t="s">
        <v>114</v>
      </c>
      <c r="E23" s="423"/>
      <c r="F23" s="424"/>
    </row>
    <row r="24" spans="1:6" ht="15" customHeight="1" x14ac:dyDescent="0.2">
      <c r="A24" s="221"/>
      <c r="B24" s="222"/>
      <c r="C24" s="222"/>
      <c r="D24" s="423" t="s">
        <v>115</v>
      </c>
      <c r="E24" s="423"/>
      <c r="F24" s="424"/>
    </row>
    <row r="25" spans="1:6" ht="15" customHeight="1" x14ac:dyDescent="0.2">
      <c r="A25" s="221"/>
      <c r="B25" s="222"/>
      <c r="C25" s="222"/>
      <c r="D25" s="423" t="s">
        <v>116</v>
      </c>
      <c r="E25" s="423"/>
      <c r="F25" s="424"/>
    </row>
    <row r="26" spans="1:6" ht="15" customHeight="1" x14ac:dyDescent="0.2">
      <c r="A26" s="221"/>
      <c r="B26" s="222"/>
      <c r="C26" s="222"/>
      <c r="D26" s="423" t="s">
        <v>117</v>
      </c>
      <c r="E26" s="423"/>
      <c r="F26" s="424"/>
    </row>
    <row r="27" spans="1:6" ht="15" customHeight="1" x14ac:dyDescent="0.2">
      <c r="A27" s="221"/>
      <c r="B27" s="222"/>
      <c r="C27" s="222"/>
      <c r="D27" s="423" t="s">
        <v>118</v>
      </c>
      <c r="E27" s="423"/>
      <c r="F27" s="424"/>
    </row>
    <row r="28" spans="1:6" ht="15" customHeight="1" x14ac:dyDescent="0.2">
      <c r="A28" s="221"/>
      <c r="B28" s="222"/>
      <c r="C28" s="222"/>
      <c r="D28" s="423"/>
      <c r="E28" s="423"/>
      <c r="F28" s="424"/>
    </row>
    <row r="29" spans="1:6" ht="15" customHeight="1" x14ac:dyDescent="0.2">
      <c r="A29" s="221"/>
      <c r="B29" s="222"/>
      <c r="C29" s="222"/>
      <c r="D29" s="423"/>
      <c r="E29" s="423"/>
      <c r="F29" s="424"/>
    </row>
    <row r="30" spans="1:6" ht="15" customHeight="1" x14ac:dyDescent="0.2">
      <c r="A30" s="221"/>
      <c r="B30" s="222"/>
      <c r="C30" s="222"/>
      <c r="D30" s="423"/>
      <c r="E30" s="423"/>
      <c r="F30" s="424"/>
    </row>
    <row r="31" spans="1:6" ht="15" customHeight="1" x14ac:dyDescent="0.2">
      <c r="A31" s="221"/>
      <c r="B31" s="222"/>
      <c r="C31" s="222"/>
      <c r="D31" s="423"/>
      <c r="E31" s="423"/>
      <c r="F31" s="424"/>
    </row>
    <row r="32" spans="1:6" ht="15" customHeight="1" x14ac:dyDescent="0.2">
      <c r="A32" s="221"/>
      <c r="B32" s="222"/>
      <c r="C32" s="222"/>
      <c r="D32" s="423"/>
      <c r="E32" s="423"/>
      <c r="F32" s="424"/>
    </row>
    <row r="33" spans="1:6" ht="15" customHeight="1" x14ac:dyDescent="0.2">
      <c r="A33" s="221"/>
      <c r="B33" s="222"/>
      <c r="C33" s="222"/>
      <c r="D33" s="423"/>
      <c r="E33" s="423"/>
      <c r="F33" s="424"/>
    </row>
    <row r="34" spans="1:6" ht="15" customHeight="1" x14ac:dyDescent="0.2">
      <c r="A34" s="221"/>
      <c r="B34" s="222"/>
      <c r="C34" s="222"/>
      <c r="D34" s="423"/>
      <c r="E34" s="423"/>
      <c r="F34" s="424"/>
    </row>
    <row r="35" spans="1:6" ht="15" customHeight="1" x14ac:dyDescent="0.2">
      <c r="A35" s="221"/>
      <c r="B35" s="222"/>
      <c r="C35" s="222"/>
      <c r="D35" s="423"/>
      <c r="E35" s="423"/>
      <c r="F35" s="424"/>
    </row>
    <row r="36" spans="1:6" ht="15" customHeight="1" x14ac:dyDescent="0.2">
      <c r="A36" s="221"/>
      <c r="B36" s="222"/>
      <c r="C36" s="222"/>
      <c r="D36" s="423"/>
      <c r="E36" s="423"/>
      <c r="F36" s="424"/>
    </row>
    <row r="37" spans="1:6" ht="15" customHeight="1" x14ac:dyDescent="0.2">
      <c r="A37" s="221"/>
      <c r="B37" s="222"/>
      <c r="C37" s="222"/>
      <c r="D37" s="423"/>
      <c r="E37" s="423"/>
      <c r="F37" s="424"/>
    </row>
    <row r="38" spans="1:6" ht="15" customHeight="1" x14ac:dyDescent="0.2">
      <c r="A38" s="221"/>
      <c r="B38" s="222"/>
      <c r="C38" s="222"/>
      <c r="D38" s="423"/>
      <c r="E38" s="423"/>
      <c r="F38" s="424"/>
    </row>
    <row r="39" spans="1:6" ht="15" customHeight="1" x14ac:dyDescent="0.2">
      <c r="A39" s="221"/>
      <c r="B39" s="222"/>
      <c r="C39" s="222"/>
      <c r="D39" s="423"/>
      <c r="E39" s="423"/>
      <c r="F39" s="424"/>
    </row>
    <row r="40" spans="1:6" ht="15" customHeight="1" x14ac:dyDescent="0.2">
      <c r="A40" s="221"/>
      <c r="B40" s="222"/>
      <c r="C40" s="222"/>
      <c r="D40" s="423"/>
      <c r="E40" s="423"/>
      <c r="F40" s="424"/>
    </row>
    <row r="41" spans="1:6" ht="15" customHeight="1" x14ac:dyDescent="0.2">
      <c r="A41" s="221"/>
      <c r="B41" s="222"/>
      <c r="C41" s="222"/>
      <c r="D41" s="423"/>
      <c r="E41" s="423"/>
      <c r="F41" s="424"/>
    </row>
    <row r="42" spans="1:6" ht="15" customHeight="1" x14ac:dyDescent="0.2">
      <c r="A42" s="221"/>
      <c r="B42" s="222"/>
      <c r="C42" s="222"/>
      <c r="D42" s="423"/>
      <c r="E42" s="423"/>
      <c r="F42" s="424"/>
    </row>
    <row r="43" spans="1:6" ht="15" customHeight="1" x14ac:dyDescent="0.2">
      <c r="A43" s="221"/>
      <c r="B43" s="223"/>
      <c r="C43" s="223"/>
      <c r="D43" s="423"/>
      <c r="E43" s="423"/>
      <c r="F43" s="424"/>
    </row>
    <row r="44" spans="1:6" ht="15" customHeight="1" x14ac:dyDescent="0.2">
      <c r="A44" s="224"/>
      <c r="B44" s="225"/>
      <c r="C44" s="225"/>
      <c r="D44" s="425"/>
      <c r="E44" s="425"/>
      <c r="F44" s="426"/>
    </row>
    <row r="45" spans="1:6" ht="15" customHeight="1" x14ac:dyDescent="0.2">
      <c r="A45" s="226"/>
      <c r="B45" s="223"/>
      <c r="C45" s="223"/>
      <c r="D45" s="423"/>
      <c r="E45" s="423"/>
      <c r="F45" s="424"/>
    </row>
    <row r="46" spans="1:6" ht="15" customHeight="1" x14ac:dyDescent="0.2">
      <c r="A46" s="224"/>
      <c r="B46" s="225"/>
      <c r="C46" s="225"/>
      <c r="D46" s="425"/>
      <c r="E46" s="425"/>
      <c r="F46" s="426"/>
    </row>
    <row r="47" spans="1:6" ht="15" customHeight="1" thickBot="1" x14ac:dyDescent="0.25">
      <c r="A47" s="227"/>
      <c r="B47" s="228"/>
      <c r="C47" s="228"/>
      <c r="D47" s="431"/>
      <c r="E47" s="431"/>
      <c r="F47" s="432"/>
    </row>
  </sheetData>
  <sheetProtection password="BC6B" sheet="1" objects="1" scenarios="1" selectLockedCells="1"/>
  <mergeCells count="46">
    <mergeCell ref="A3:C3"/>
    <mergeCell ref="D7:F7"/>
    <mergeCell ref="D9:F9"/>
    <mergeCell ref="D8:F8"/>
    <mergeCell ref="D28:F28"/>
    <mergeCell ref="A4:C4"/>
    <mergeCell ref="D10:F10"/>
    <mergeCell ref="D11:F11"/>
    <mergeCell ref="D29:F29"/>
    <mergeCell ref="D12:F12"/>
    <mergeCell ref="D13:F13"/>
    <mergeCell ref="D14:F14"/>
    <mergeCell ref="D15:F15"/>
    <mergeCell ref="D22:F22"/>
    <mergeCell ref="D23:F23"/>
    <mergeCell ref="D16:F16"/>
    <mergeCell ref="D17:F17"/>
    <mergeCell ref="D18:F18"/>
    <mergeCell ref="D19:F19"/>
    <mergeCell ref="D20:F20"/>
    <mergeCell ref="D21:F21"/>
    <mergeCell ref="D47:F47"/>
    <mergeCell ref="D38:F38"/>
    <mergeCell ref="D39:F39"/>
    <mergeCell ref="D32:F32"/>
    <mergeCell ref="D33:F33"/>
    <mergeCell ref="D34:F34"/>
    <mergeCell ref="D35:F35"/>
    <mergeCell ref="D45:F45"/>
    <mergeCell ref="D46:F46"/>
    <mergeCell ref="A1:F2"/>
    <mergeCell ref="D42:F42"/>
    <mergeCell ref="D43:F43"/>
    <mergeCell ref="D44:F44"/>
    <mergeCell ref="D6:F6"/>
    <mergeCell ref="D40:F40"/>
    <mergeCell ref="D41:F41"/>
    <mergeCell ref="D36:F36"/>
    <mergeCell ref="D37:F37"/>
    <mergeCell ref="D30:F30"/>
    <mergeCell ref="D31:F31"/>
    <mergeCell ref="D24:F24"/>
    <mergeCell ref="D25:F25"/>
    <mergeCell ref="D26:F26"/>
    <mergeCell ref="D27:F27"/>
    <mergeCell ref="A5:C5"/>
  </mergeCells>
  <phoneticPr fontId="40" type="noConversion"/>
  <pageMargins left="0.75" right="0.75" top="0.5" bottom="1" header="0.5" footer="0.5"/>
  <pageSetup scale="93" orientation="portrait" r:id="rId1"/>
  <headerFooter alignWithMargins="0">
    <oddFooter>&amp;RV2012.8.14</oddFooter>
  </headerFooter>
  <drawing r:id="rId2"/>
  <legacyDrawing r:id="rId3"/>
  <controls>
    <mc:AlternateContent xmlns:mc="http://schemas.openxmlformats.org/markup-compatibility/2006">
      <mc:Choice Requires="x14">
        <control shapeId="7293" r:id="rId4" name="CheckBox124">
          <controlPr autoLine="0" r:id="rId5">
            <anchor moveWithCells="1">
              <from>
                <xdr:col>1</xdr:col>
                <xdr:colOff>123825</xdr:colOff>
                <xdr:row>46</xdr:row>
                <xdr:rowOff>38100</xdr:rowOff>
              </from>
              <to>
                <xdr:col>1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3" r:id="rId4" name="CheckBox124"/>
      </mc:Fallback>
    </mc:AlternateContent>
    <mc:AlternateContent xmlns:mc="http://schemas.openxmlformats.org/markup-compatibility/2006">
      <mc:Choice Requires="x14">
        <control shapeId="7292" r:id="rId6" name="CheckBox83">
          <controlPr autoLine="0" r:id="rId5">
            <anchor moveWithCells="1">
              <from>
                <xdr:col>2</xdr:col>
                <xdr:colOff>123825</xdr:colOff>
                <xdr:row>46</xdr:row>
                <xdr:rowOff>38100</xdr:rowOff>
              </from>
              <to>
                <xdr:col>2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2" r:id="rId6" name="CheckBox83"/>
      </mc:Fallback>
    </mc:AlternateContent>
    <mc:AlternateContent xmlns:mc="http://schemas.openxmlformats.org/markup-compatibility/2006">
      <mc:Choice Requires="x14">
        <control shapeId="7291" r:id="rId7" name="CheckBox82">
          <controlPr autoLine="0" r:id="rId5">
            <anchor moveWithCells="1">
              <from>
                <xdr:col>0</xdr:col>
                <xdr:colOff>133350</xdr:colOff>
                <xdr:row>46</xdr:row>
                <xdr:rowOff>38100</xdr:rowOff>
              </from>
              <to>
                <xdr:col>0</xdr:col>
                <xdr:colOff>266700</xdr:colOff>
                <xdr:row>47</xdr:row>
                <xdr:rowOff>0</xdr:rowOff>
              </to>
            </anchor>
          </controlPr>
        </control>
      </mc:Choice>
      <mc:Fallback>
        <control shapeId="7291" r:id="rId7" name="CheckBox82"/>
      </mc:Fallback>
    </mc:AlternateContent>
    <mc:AlternateContent xmlns:mc="http://schemas.openxmlformats.org/markup-compatibility/2006">
      <mc:Choice Requires="x14">
        <control shapeId="7290" r:id="rId8" name="CheckBox123">
          <controlPr autoLine="0" r:id="rId5">
            <anchor moveWithCells="1">
              <from>
                <xdr:col>1</xdr:col>
                <xdr:colOff>123825</xdr:colOff>
                <xdr:row>45</xdr:row>
                <xdr:rowOff>38100</xdr:rowOff>
              </from>
              <to>
                <xdr:col>1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90" r:id="rId8" name="CheckBox123"/>
      </mc:Fallback>
    </mc:AlternateContent>
    <mc:AlternateContent xmlns:mc="http://schemas.openxmlformats.org/markup-compatibility/2006">
      <mc:Choice Requires="x14">
        <control shapeId="7289" r:id="rId9" name="CheckBox122">
          <controlPr autoLine="0" r:id="rId5">
            <anchor moveWithCells="1">
              <from>
                <xdr:col>1</xdr:col>
                <xdr:colOff>123825</xdr:colOff>
                <xdr:row>44</xdr:row>
                <xdr:rowOff>38100</xdr:rowOff>
              </from>
              <to>
                <xdr:col>1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89" r:id="rId9" name="CheckBox122"/>
      </mc:Fallback>
    </mc:AlternateContent>
    <mc:AlternateContent xmlns:mc="http://schemas.openxmlformats.org/markup-compatibility/2006">
      <mc:Choice Requires="x14">
        <control shapeId="7288" r:id="rId10" name="CheckBox121">
          <controlPr autoLine="0" r:id="rId5">
            <anchor moveWithCells="1">
              <from>
                <xdr:col>1</xdr:col>
                <xdr:colOff>123825</xdr:colOff>
                <xdr:row>43</xdr:row>
                <xdr:rowOff>38100</xdr:rowOff>
              </from>
              <to>
                <xdr:col>1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88" r:id="rId10" name="CheckBox121"/>
      </mc:Fallback>
    </mc:AlternateContent>
    <mc:AlternateContent xmlns:mc="http://schemas.openxmlformats.org/markup-compatibility/2006">
      <mc:Choice Requires="x14">
        <control shapeId="7287" r:id="rId11" name="CheckBox120">
          <controlPr autoLine="0" r:id="rId5">
            <anchor moveWithCells="1">
              <from>
                <xdr:col>1</xdr:col>
                <xdr:colOff>123825</xdr:colOff>
                <xdr:row>42</xdr:row>
                <xdr:rowOff>38100</xdr:rowOff>
              </from>
              <to>
                <xdr:col>1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87" r:id="rId11" name="CheckBox120"/>
      </mc:Fallback>
    </mc:AlternateContent>
    <mc:AlternateContent xmlns:mc="http://schemas.openxmlformats.org/markup-compatibility/2006">
      <mc:Choice Requires="x14">
        <control shapeId="7286" r:id="rId12" name="CheckBox119">
          <controlPr autoLine="0" r:id="rId5">
            <anchor moveWithCells="1">
              <from>
                <xdr:col>1</xdr:col>
                <xdr:colOff>123825</xdr:colOff>
                <xdr:row>41</xdr:row>
                <xdr:rowOff>38100</xdr:rowOff>
              </from>
              <to>
                <xdr:col>1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86" r:id="rId12" name="CheckBox119"/>
      </mc:Fallback>
    </mc:AlternateContent>
    <mc:AlternateContent xmlns:mc="http://schemas.openxmlformats.org/markup-compatibility/2006">
      <mc:Choice Requires="x14">
        <control shapeId="7285" r:id="rId13" name="CheckBox118">
          <controlPr autoLine="0" r:id="rId5">
            <anchor moveWithCells="1">
              <from>
                <xdr:col>1</xdr:col>
                <xdr:colOff>123825</xdr:colOff>
                <xdr:row>40</xdr:row>
                <xdr:rowOff>38100</xdr:rowOff>
              </from>
              <to>
                <xdr:col>1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85" r:id="rId13" name="CheckBox118"/>
      </mc:Fallback>
    </mc:AlternateContent>
    <mc:AlternateContent xmlns:mc="http://schemas.openxmlformats.org/markup-compatibility/2006">
      <mc:Choice Requires="x14">
        <control shapeId="7284" r:id="rId14" name="CheckBox117">
          <controlPr autoLine="0" r:id="rId5">
            <anchor moveWithCells="1">
              <from>
                <xdr:col>1</xdr:col>
                <xdr:colOff>123825</xdr:colOff>
                <xdr:row>39</xdr:row>
                <xdr:rowOff>38100</xdr:rowOff>
              </from>
              <to>
                <xdr:col>1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84" r:id="rId14" name="CheckBox117"/>
      </mc:Fallback>
    </mc:AlternateContent>
    <mc:AlternateContent xmlns:mc="http://schemas.openxmlformats.org/markup-compatibility/2006">
      <mc:Choice Requires="x14">
        <control shapeId="7283" r:id="rId15" name="CheckBox116">
          <controlPr autoLine="0" r:id="rId5">
            <anchor moveWithCells="1">
              <from>
                <xdr:col>1</xdr:col>
                <xdr:colOff>123825</xdr:colOff>
                <xdr:row>38</xdr:row>
                <xdr:rowOff>38100</xdr:rowOff>
              </from>
              <to>
                <xdr:col>1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83" r:id="rId15" name="CheckBox116"/>
      </mc:Fallback>
    </mc:AlternateContent>
    <mc:AlternateContent xmlns:mc="http://schemas.openxmlformats.org/markup-compatibility/2006">
      <mc:Choice Requires="x14">
        <control shapeId="7282" r:id="rId16" name="CheckBox115">
          <controlPr autoLine="0" r:id="rId5">
            <anchor moveWithCells="1">
              <from>
                <xdr:col>1</xdr:col>
                <xdr:colOff>123825</xdr:colOff>
                <xdr:row>36</xdr:row>
                <xdr:rowOff>38100</xdr:rowOff>
              </from>
              <to>
                <xdr:col>1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82" r:id="rId16" name="CheckBox115"/>
      </mc:Fallback>
    </mc:AlternateContent>
    <mc:AlternateContent xmlns:mc="http://schemas.openxmlformats.org/markup-compatibility/2006">
      <mc:Choice Requires="x14">
        <control shapeId="7281" r:id="rId17" name="CheckBox114">
          <controlPr autoLine="0" r:id="rId5">
            <anchor moveWithCells="1">
              <from>
                <xdr:col>1</xdr:col>
                <xdr:colOff>123825</xdr:colOff>
                <xdr:row>37</xdr:row>
                <xdr:rowOff>38100</xdr:rowOff>
              </from>
              <to>
                <xdr:col>1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81" r:id="rId17" name="CheckBox114"/>
      </mc:Fallback>
    </mc:AlternateContent>
    <mc:AlternateContent xmlns:mc="http://schemas.openxmlformats.org/markup-compatibility/2006">
      <mc:Choice Requires="x14">
        <control shapeId="7280" r:id="rId18" name="CheckBox113">
          <controlPr autoLine="0" r:id="rId5">
            <anchor moveWithCells="1">
              <from>
                <xdr:col>1</xdr:col>
                <xdr:colOff>123825</xdr:colOff>
                <xdr:row>35</xdr:row>
                <xdr:rowOff>38100</xdr:rowOff>
              </from>
              <to>
                <xdr:col>1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80" r:id="rId18" name="CheckBox113"/>
      </mc:Fallback>
    </mc:AlternateContent>
    <mc:AlternateContent xmlns:mc="http://schemas.openxmlformats.org/markup-compatibility/2006">
      <mc:Choice Requires="x14">
        <control shapeId="7279" r:id="rId19" name="CheckBox112">
          <controlPr autoLine="0" r:id="rId5">
            <anchor moveWithCells="1">
              <from>
                <xdr:col>1</xdr:col>
                <xdr:colOff>123825</xdr:colOff>
                <xdr:row>34</xdr:row>
                <xdr:rowOff>38100</xdr:rowOff>
              </from>
              <to>
                <xdr:col>1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79" r:id="rId19" name="CheckBox112"/>
      </mc:Fallback>
    </mc:AlternateContent>
    <mc:AlternateContent xmlns:mc="http://schemas.openxmlformats.org/markup-compatibility/2006">
      <mc:Choice Requires="x14">
        <control shapeId="7278" r:id="rId20" name="CheckBox111">
          <controlPr autoLine="0" r:id="rId5">
            <anchor moveWithCells="1">
              <from>
                <xdr:col>1</xdr:col>
                <xdr:colOff>123825</xdr:colOff>
                <xdr:row>33</xdr:row>
                <xdr:rowOff>38100</xdr:rowOff>
              </from>
              <to>
                <xdr:col>1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78" r:id="rId20" name="CheckBox111"/>
      </mc:Fallback>
    </mc:AlternateContent>
    <mc:AlternateContent xmlns:mc="http://schemas.openxmlformats.org/markup-compatibility/2006">
      <mc:Choice Requires="x14">
        <control shapeId="7277" r:id="rId21" name="CheckBox110">
          <controlPr autoLine="0" r:id="rId5">
            <anchor moveWithCells="1">
              <from>
                <xdr:col>1</xdr:col>
                <xdr:colOff>123825</xdr:colOff>
                <xdr:row>32</xdr:row>
                <xdr:rowOff>38100</xdr:rowOff>
              </from>
              <to>
                <xdr:col>1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77" r:id="rId21" name="CheckBox110"/>
      </mc:Fallback>
    </mc:AlternateContent>
    <mc:AlternateContent xmlns:mc="http://schemas.openxmlformats.org/markup-compatibility/2006">
      <mc:Choice Requires="x14">
        <control shapeId="7276" r:id="rId22" name="CheckBox109">
          <controlPr autoLine="0" r:id="rId5">
            <anchor moveWithCells="1">
              <from>
                <xdr:col>1</xdr:col>
                <xdr:colOff>123825</xdr:colOff>
                <xdr:row>31</xdr:row>
                <xdr:rowOff>38100</xdr:rowOff>
              </from>
              <to>
                <xdr:col>1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76" r:id="rId22" name="CheckBox109"/>
      </mc:Fallback>
    </mc:AlternateContent>
    <mc:AlternateContent xmlns:mc="http://schemas.openxmlformats.org/markup-compatibility/2006">
      <mc:Choice Requires="x14">
        <control shapeId="7275" r:id="rId23" name="CheckBox108">
          <controlPr autoLine="0" r:id="rId5">
            <anchor moveWithCells="1">
              <from>
                <xdr:col>1</xdr:col>
                <xdr:colOff>123825</xdr:colOff>
                <xdr:row>29</xdr:row>
                <xdr:rowOff>38100</xdr:rowOff>
              </from>
              <to>
                <xdr:col>1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75" r:id="rId23" name="CheckBox108"/>
      </mc:Fallback>
    </mc:AlternateContent>
    <mc:AlternateContent xmlns:mc="http://schemas.openxmlformats.org/markup-compatibility/2006">
      <mc:Choice Requires="x14">
        <control shapeId="7274" r:id="rId24" name="CheckBox107">
          <controlPr autoLine="0" r:id="rId5">
            <anchor moveWithCells="1">
              <from>
                <xdr:col>1</xdr:col>
                <xdr:colOff>123825</xdr:colOff>
                <xdr:row>30</xdr:row>
                <xdr:rowOff>38100</xdr:rowOff>
              </from>
              <to>
                <xdr:col>1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74" r:id="rId24" name="CheckBox107"/>
      </mc:Fallback>
    </mc:AlternateContent>
    <mc:AlternateContent xmlns:mc="http://schemas.openxmlformats.org/markup-compatibility/2006">
      <mc:Choice Requires="x14">
        <control shapeId="7273" r:id="rId25" name="CheckBox106">
          <controlPr autoLine="0" r:id="rId5">
            <anchor moveWithCells="1">
              <from>
                <xdr:col>1</xdr:col>
                <xdr:colOff>123825</xdr:colOff>
                <xdr:row>28</xdr:row>
                <xdr:rowOff>38100</xdr:rowOff>
              </from>
              <to>
                <xdr:col>1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73" r:id="rId25" name="CheckBox106"/>
      </mc:Fallback>
    </mc:AlternateContent>
    <mc:AlternateContent xmlns:mc="http://schemas.openxmlformats.org/markup-compatibility/2006">
      <mc:Choice Requires="x14">
        <control shapeId="7272" r:id="rId26" name="CheckBox105">
          <controlPr autoLine="0" r:id="rId5">
            <anchor moveWithCells="1">
              <from>
                <xdr:col>1</xdr:col>
                <xdr:colOff>123825</xdr:colOff>
                <xdr:row>27</xdr:row>
                <xdr:rowOff>38100</xdr:rowOff>
              </from>
              <to>
                <xdr:col>1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72" r:id="rId26" name="CheckBox105"/>
      </mc:Fallback>
    </mc:AlternateContent>
    <mc:AlternateContent xmlns:mc="http://schemas.openxmlformats.org/markup-compatibility/2006">
      <mc:Choice Requires="x14">
        <control shapeId="7271" r:id="rId27" name="CheckBox104">
          <controlPr autoLine="0" r:id="rId5">
            <anchor moveWithCells="1">
              <from>
                <xdr:col>1</xdr:col>
                <xdr:colOff>123825</xdr:colOff>
                <xdr:row>26</xdr:row>
                <xdr:rowOff>38100</xdr:rowOff>
              </from>
              <to>
                <xdr:col>1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71" r:id="rId27" name="CheckBox104"/>
      </mc:Fallback>
    </mc:AlternateContent>
    <mc:AlternateContent xmlns:mc="http://schemas.openxmlformats.org/markup-compatibility/2006">
      <mc:Choice Requires="x14">
        <control shapeId="7270" r:id="rId28" name="CheckBox103">
          <controlPr autoLine="0" r:id="rId5">
            <anchor moveWithCells="1">
              <from>
                <xdr:col>1</xdr:col>
                <xdr:colOff>123825</xdr:colOff>
                <xdr:row>25</xdr:row>
                <xdr:rowOff>38100</xdr:rowOff>
              </from>
              <to>
                <xdr:col>1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70" r:id="rId28" name="CheckBox103"/>
      </mc:Fallback>
    </mc:AlternateContent>
    <mc:AlternateContent xmlns:mc="http://schemas.openxmlformats.org/markup-compatibility/2006">
      <mc:Choice Requires="x14">
        <control shapeId="7269" r:id="rId29" name="CheckBox102">
          <controlPr autoLine="0" r:id="rId5">
            <anchor moveWithCells="1">
              <from>
                <xdr:col>1</xdr:col>
                <xdr:colOff>123825</xdr:colOff>
                <xdr:row>24</xdr:row>
                <xdr:rowOff>38100</xdr:rowOff>
              </from>
              <to>
                <xdr:col>1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69" r:id="rId29" name="CheckBox102"/>
      </mc:Fallback>
    </mc:AlternateContent>
    <mc:AlternateContent xmlns:mc="http://schemas.openxmlformats.org/markup-compatibility/2006">
      <mc:Choice Requires="x14">
        <control shapeId="7268" r:id="rId30" name="CheckBox101">
          <controlPr autoLine="0" r:id="rId5">
            <anchor moveWithCells="1">
              <from>
                <xdr:col>1</xdr:col>
                <xdr:colOff>123825</xdr:colOff>
                <xdr:row>23</xdr:row>
                <xdr:rowOff>38100</xdr:rowOff>
              </from>
              <to>
                <xdr:col>1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68" r:id="rId30" name="CheckBox101"/>
      </mc:Fallback>
    </mc:AlternateContent>
    <mc:AlternateContent xmlns:mc="http://schemas.openxmlformats.org/markup-compatibility/2006">
      <mc:Choice Requires="x14">
        <control shapeId="7267" r:id="rId31" name="CheckBox100">
          <controlPr autoLine="0" r:id="rId5">
            <anchor moveWithCells="1">
              <from>
                <xdr:col>1</xdr:col>
                <xdr:colOff>123825</xdr:colOff>
                <xdr:row>22</xdr:row>
                <xdr:rowOff>38100</xdr:rowOff>
              </from>
              <to>
                <xdr:col>1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67" r:id="rId31" name="CheckBox100"/>
      </mc:Fallback>
    </mc:AlternateContent>
    <mc:AlternateContent xmlns:mc="http://schemas.openxmlformats.org/markup-compatibility/2006">
      <mc:Choice Requires="x14">
        <control shapeId="7266" r:id="rId32" name="CheckBox99">
          <controlPr autoLine="0" r:id="rId5">
            <anchor moveWithCells="1">
              <from>
                <xdr:col>1</xdr:col>
                <xdr:colOff>123825</xdr:colOff>
                <xdr:row>21</xdr:row>
                <xdr:rowOff>38100</xdr:rowOff>
              </from>
              <to>
                <xdr:col>1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66" r:id="rId32" name="CheckBox99"/>
      </mc:Fallback>
    </mc:AlternateContent>
    <mc:AlternateContent xmlns:mc="http://schemas.openxmlformats.org/markup-compatibility/2006">
      <mc:Choice Requires="x14">
        <control shapeId="7265" r:id="rId33" name="CheckBox98">
          <controlPr autoLine="0" r:id="rId5">
            <anchor moveWithCells="1">
              <from>
                <xdr:col>1</xdr:col>
                <xdr:colOff>123825</xdr:colOff>
                <xdr:row>20</xdr:row>
                <xdr:rowOff>38100</xdr:rowOff>
              </from>
              <to>
                <xdr:col>1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65" r:id="rId33" name="CheckBox98"/>
      </mc:Fallback>
    </mc:AlternateContent>
    <mc:AlternateContent xmlns:mc="http://schemas.openxmlformats.org/markup-compatibility/2006">
      <mc:Choice Requires="x14">
        <control shapeId="7264" r:id="rId34" name="CheckBox97">
          <controlPr autoLine="0" r:id="rId5">
            <anchor moveWithCells="1">
              <from>
                <xdr:col>1</xdr:col>
                <xdr:colOff>123825</xdr:colOff>
                <xdr:row>19</xdr:row>
                <xdr:rowOff>38100</xdr:rowOff>
              </from>
              <to>
                <xdr:col>1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264" r:id="rId34" name="CheckBox97"/>
      </mc:Fallback>
    </mc:AlternateContent>
    <mc:AlternateContent xmlns:mc="http://schemas.openxmlformats.org/markup-compatibility/2006">
      <mc:Choice Requires="x14">
        <control shapeId="7263" r:id="rId35" name="CheckBox96">
          <controlPr autoLine="0" r:id="rId5">
            <anchor moveWithCells="1">
              <from>
                <xdr:col>1</xdr:col>
                <xdr:colOff>123825</xdr:colOff>
                <xdr:row>18</xdr:row>
                <xdr:rowOff>38100</xdr:rowOff>
              </from>
              <to>
                <xdr:col>1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263" r:id="rId35" name="CheckBox96"/>
      </mc:Fallback>
    </mc:AlternateContent>
    <mc:AlternateContent xmlns:mc="http://schemas.openxmlformats.org/markup-compatibility/2006">
      <mc:Choice Requires="x14">
        <control shapeId="7262" r:id="rId36" name="CheckBox95">
          <controlPr autoLine="0" r:id="rId5">
            <anchor moveWithCells="1">
              <from>
                <xdr:col>1</xdr:col>
                <xdr:colOff>123825</xdr:colOff>
                <xdr:row>17</xdr:row>
                <xdr:rowOff>38100</xdr:rowOff>
              </from>
              <to>
                <xdr:col>1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262" r:id="rId36" name="CheckBox95"/>
      </mc:Fallback>
    </mc:AlternateContent>
    <mc:AlternateContent xmlns:mc="http://schemas.openxmlformats.org/markup-compatibility/2006">
      <mc:Choice Requires="x14">
        <control shapeId="7261" r:id="rId37" name="CheckBox94">
          <controlPr autoLine="0" r:id="rId5">
            <anchor moveWithCells="1">
              <from>
                <xdr:col>1</xdr:col>
                <xdr:colOff>123825</xdr:colOff>
                <xdr:row>16</xdr:row>
                <xdr:rowOff>38100</xdr:rowOff>
              </from>
              <to>
                <xdr:col>1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261" r:id="rId37" name="CheckBox94"/>
      </mc:Fallback>
    </mc:AlternateContent>
    <mc:AlternateContent xmlns:mc="http://schemas.openxmlformats.org/markup-compatibility/2006">
      <mc:Choice Requires="x14">
        <control shapeId="7260" r:id="rId38" name="CheckBox93">
          <controlPr autoLine="0" r:id="rId5">
            <anchor moveWithCells="1">
              <from>
                <xdr:col>1</xdr:col>
                <xdr:colOff>123825</xdr:colOff>
                <xdr:row>15</xdr:row>
                <xdr:rowOff>38100</xdr:rowOff>
              </from>
              <to>
                <xdr:col>1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260" r:id="rId38" name="CheckBox93"/>
      </mc:Fallback>
    </mc:AlternateContent>
    <mc:AlternateContent xmlns:mc="http://schemas.openxmlformats.org/markup-compatibility/2006">
      <mc:Choice Requires="x14">
        <control shapeId="7259" r:id="rId39" name="CheckBox92">
          <controlPr autoLine="0" r:id="rId5">
            <anchor moveWithCells="1">
              <from>
                <xdr:col>1</xdr:col>
                <xdr:colOff>123825</xdr:colOff>
                <xdr:row>14</xdr:row>
                <xdr:rowOff>38100</xdr:rowOff>
              </from>
              <to>
                <xdr:col>1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259" r:id="rId39" name="CheckBox92"/>
      </mc:Fallback>
    </mc:AlternateContent>
    <mc:AlternateContent xmlns:mc="http://schemas.openxmlformats.org/markup-compatibility/2006">
      <mc:Choice Requires="x14">
        <control shapeId="7258" r:id="rId40" name="CheckBox91">
          <controlPr autoLine="0" r:id="rId5">
            <anchor moveWithCells="1">
              <from>
                <xdr:col>1</xdr:col>
                <xdr:colOff>123825</xdr:colOff>
                <xdr:row>13</xdr:row>
                <xdr:rowOff>38100</xdr:rowOff>
              </from>
              <to>
                <xdr:col>1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258" r:id="rId40" name="CheckBox91"/>
      </mc:Fallback>
    </mc:AlternateContent>
    <mc:AlternateContent xmlns:mc="http://schemas.openxmlformats.org/markup-compatibility/2006">
      <mc:Choice Requires="x14">
        <control shapeId="7257" r:id="rId41" name="CheckBox90">
          <controlPr autoLine="0" r:id="rId5">
            <anchor moveWithCells="1">
              <from>
                <xdr:col>1</xdr:col>
                <xdr:colOff>123825</xdr:colOff>
                <xdr:row>12</xdr:row>
                <xdr:rowOff>38100</xdr:rowOff>
              </from>
              <to>
                <xdr:col>1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257" r:id="rId41" name="CheckBox90"/>
      </mc:Fallback>
    </mc:AlternateContent>
    <mc:AlternateContent xmlns:mc="http://schemas.openxmlformats.org/markup-compatibility/2006">
      <mc:Choice Requires="x14">
        <control shapeId="7256" r:id="rId42" name="CheckBox89">
          <controlPr autoLine="0" r:id="rId5">
            <anchor moveWithCells="1">
              <from>
                <xdr:col>1</xdr:col>
                <xdr:colOff>123825</xdr:colOff>
                <xdr:row>11</xdr:row>
                <xdr:rowOff>38100</xdr:rowOff>
              </from>
              <to>
                <xdr:col>1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256" r:id="rId42" name="CheckBox89"/>
      </mc:Fallback>
    </mc:AlternateContent>
    <mc:AlternateContent xmlns:mc="http://schemas.openxmlformats.org/markup-compatibility/2006">
      <mc:Choice Requires="x14">
        <control shapeId="7255" r:id="rId43" name="CheckBox88">
          <controlPr autoLine="0" r:id="rId5">
            <anchor moveWithCells="1">
              <from>
                <xdr:col>1</xdr:col>
                <xdr:colOff>123825</xdr:colOff>
                <xdr:row>10</xdr:row>
                <xdr:rowOff>38100</xdr:rowOff>
              </from>
              <to>
                <xdr:col>1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255" r:id="rId43" name="CheckBox88"/>
      </mc:Fallback>
    </mc:AlternateContent>
    <mc:AlternateContent xmlns:mc="http://schemas.openxmlformats.org/markup-compatibility/2006">
      <mc:Choice Requires="x14">
        <control shapeId="7254" r:id="rId44" name="CheckBox87">
          <controlPr autoLine="0" r:id="rId5">
            <anchor moveWithCells="1">
              <from>
                <xdr:col>1</xdr:col>
                <xdr:colOff>123825</xdr:colOff>
                <xdr:row>9</xdr:row>
                <xdr:rowOff>38100</xdr:rowOff>
              </from>
              <to>
                <xdr:col>1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254" r:id="rId44" name="CheckBox87"/>
      </mc:Fallback>
    </mc:AlternateContent>
    <mc:AlternateContent xmlns:mc="http://schemas.openxmlformats.org/markup-compatibility/2006">
      <mc:Choice Requires="x14">
        <control shapeId="7253" r:id="rId45" name="CheckBox86">
          <controlPr autoLine="0" r:id="rId5">
            <anchor moveWithCells="1">
              <from>
                <xdr:col>1</xdr:col>
                <xdr:colOff>123825</xdr:colOff>
                <xdr:row>8</xdr:row>
                <xdr:rowOff>38100</xdr:rowOff>
              </from>
              <to>
                <xdr:col>1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253" r:id="rId45" name="CheckBox86"/>
      </mc:Fallback>
    </mc:AlternateContent>
    <mc:AlternateContent xmlns:mc="http://schemas.openxmlformats.org/markup-compatibility/2006">
      <mc:Choice Requires="x14">
        <control shapeId="7252" r:id="rId46" name="CheckBox85">
          <controlPr autoLine="0" r:id="rId5">
            <anchor moveWithCells="1">
              <from>
                <xdr:col>1</xdr:col>
                <xdr:colOff>123825</xdr:colOff>
                <xdr:row>7</xdr:row>
                <xdr:rowOff>47625</xdr:rowOff>
              </from>
              <to>
                <xdr:col>1</xdr:col>
                <xdr:colOff>257175</xdr:colOff>
                <xdr:row>8</xdr:row>
                <xdr:rowOff>9525</xdr:rowOff>
              </to>
            </anchor>
          </controlPr>
        </control>
      </mc:Choice>
      <mc:Fallback>
        <control shapeId="7252" r:id="rId46" name="CheckBox85"/>
      </mc:Fallback>
    </mc:AlternateContent>
    <mc:AlternateContent xmlns:mc="http://schemas.openxmlformats.org/markup-compatibility/2006">
      <mc:Choice Requires="x14">
        <control shapeId="7251" r:id="rId47" name="CheckBox84">
          <controlPr autoLine="0" r:id="rId5">
            <anchor moveWithCells="1">
              <from>
                <xdr:col>1</xdr:col>
                <xdr:colOff>123825</xdr:colOff>
                <xdr:row>6</xdr:row>
                <xdr:rowOff>38100</xdr:rowOff>
              </from>
              <to>
                <xdr:col>1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251" r:id="rId47" name="CheckBox84"/>
      </mc:Fallback>
    </mc:AlternateContent>
    <mc:AlternateContent xmlns:mc="http://schemas.openxmlformats.org/markup-compatibility/2006">
      <mc:Choice Requires="x14">
        <control shapeId="7250" r:id="rId48" name="CheckBox81">
          <controlPr autoLine="0" r:id="rId5">
            <anchor moveWithCells="1">
              <from>
                <xdr:col>2</xdr:col>
                <xdr:colOff>123825</xdr:colOff>
                <xdr:row>45</xdr:row>
                <xdr:rowOff>38100</xdr:rowOff>
              </from>
              <to>
                <xdr:col>2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50" r:id="rId48" name="CheckBox81"/>
      </mc:Fallback>
    </mc:AlternateContent>
    <mc:AlternateContent xmlns:mc="http://schemas.openxmlformats.org/markup-compatibility/2006">
      <mc:Choice Requires="x14">
        <control shapeId="7249" r:id="rId49" name="CheckBox80">
          <controlPr autoLine="0" r:id="rId5">
            <anchor moveWithCells="1">
              <from>
                <xdr:col>0</xdr:col>
                <xdr:colOff>123825</xdr:colOff>
                <xdr:row>45</xdr:row>
                <xdr:rowOff>38100</xdr:rowOff>
              </from>
              <to>
                <xdr:col>0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49" r:id="rId49" name="CheckBox80"/>
      </mc:Fallback>
    </mc:AlternateContent>
    <mc:AlternateContent xmlns:mc="http://schemas.openxmlformats.org/markup-compatibility/2006">
      <mc:Choice Requires="x14">
        <control shapeId="7248" r:id="rId50" name="CheckBox79">
          <controlPr autoLine="0" r:id="rId5">
            <anchor moveWithCells="1">
              <from>
                <xdr:col>2</xdr:col>
                <xdr:colOff>123825</xdr:colOff>
                <xdr:row>44</xdr:row>
                <xdr:rowOff>38100</xdr:rowOff>
              </from>
              <to>
                <xdr:col>2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8" r:id="rId50" name="CheckBox79"/>
      </mc:Fallback>
    </mc:AlternateContent>
    <mc:AlternateContent xmlns:mc="http://schemas.openxmlformats.org/markup-compatibility/2006">
      <mc:Choice Requires="x14">
        <control shapeId="7247" r:id="rId51" name="CheckBox78">
          <controlPr autoLine="0" r:id="rId5">
            <anchor moveWithCells="1">
              <from>
                <xdr:col>0</xdr:col>
                <xdr:colOff>123825</xdr:colOff>
                <xdr:row>44</xdr:row>
                <xdr:rowOff>38100</xdr:rowOff>
              </from>
              <to>
                <xdr:col>0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7" r:id="rId51" name="CheckBox78"/>
      </mc:Fallback>
    </mc:AlternateContent>
    <mc:AlternateContent xmlns:mc="http://schemas.openxmlformats.org/markup-compatibility/2006">
      <mc:Choice Requires="x14">
        <control shapeId="7246" r:id="rId52" name="CheckBox77">
          <controlPr autoLine="0" r:id="rId5">
            <anchor moveWithCells="1">
              <from>
                <xdr:col>2</xdr:col>
                <xdr:colOff>123825</xdr:colOff>
                <xdr:row>43</xdr:row>
                <xdr:rowOff>38100</xdr:rowOff>
              </from>
              <to>
                <xdr:col>2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6" r:id="rId52" name="CheckBox77"/>
      </mc:Fallback>
    </mc:AlternateContent>
    <mc:AlternateContent xmlns:mc="http://schemas.openxmlformats.org/markup-compatibility/2006">
      <mc:Choice Requires="x14">
        <control shapeId="7245" r:id="rId53" name="CheckBox76">
          <controlPr autoLine="0" r:id="rId5">
            <anchor moveWithCells="1">
              <from>
                <xdr:col>0</xdr:col>
                <xdr:colOff>123825</xdr:colOff>
                <xdr:row>43</xdr:row>
                <xdr:rowOff>38100</xdr:rowOff>
              </from>
              <to>
                <xdr:col>0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5" r:id="rId53" name="CheckBox76"/>
      </mc:Fallback>
    </mc:AlternateContent>
    <mc:AlternateContent xmlns:mc="http://schemas.openxmlformats.org/markup-compatibility/2006">
      <mc:Choice Requires="x14">
        <control shapeId="7244" r:id="rId54" name="CheckBox75">
          <controlPr autoLine="0" r:id="rId5">
            <anchor moveWithCells="1">
              <from>
                <xdr:col>2</xdr:col>
                <xdr:colOff>123825</xdr:colOff>
                <xdr:row>42</xdr:row>
                <xdr:rowOff>38100</xdr:rowOff>
              </from>
              <to>
                <xdr:col>2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4" r:id="rId54" name="CheckBox75"/>
      </mc:Fallback>
    </mc:AlternateContent>
    <mc:AlternateContent xmlns:mc="http://schemas.openxmlformats.org/markup-compatibility/2006">
      <mc:Choice Requires="x14">
        <control shapeId="7243" r:id="rId55" name="CheckBox74">
          <controlPr autoLine="0" r:id="rId5">
            <anchor moveWithCells="1">
              <from>
                <xdr:col>0</xdr:col>
                <xdr:colOff>123825</xdr:colOff>
                <xdr:row>42</xdr:row>
                <xdr:rowOff>38100</xdr:rowOff>
              </from>
              <to>
                <xdr:col>0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3" r:id="rId55" name="CheckBox74"/>
      </mc:Fallback>
    </mc:AlternateContent>
    <mc:AlternateContent xmlns:mc="http://schemas.openxmlformats.org/markup-compatibility/2006">
      <mc:Choice Requires="x14">
        <control shapeId="7242" r:id="rId56" name="CheckBox73">
          <controlPr autoLine="0" r:id="rId5">
            <anchor moveWithCells="1">
              <from>
                <xdr:col>2</xdr:col>
                <xdr:colOff>123825</xdr:colOff>
                <xdr:row>41</xdr:row>
                <xdr:rowOff>38100</xdr:rowOff>
              </from>
              <to>
                <xdr:col>2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2" r:id="rId56" name="CheckBox73"/>
      </mc:Fallback>
    </mc:AlternateContent>
    <mc:AlternateContent xmlns:mc="http://schemas.openxmlformats.org/markup-compatibility/2006">
      <mc:Choice Requires="x14">
        <control shapeId="7241" r:id="rId57" name="CheckBox72">
          <controlPr autoLine="0" r:id="rId5">
            <anchor moveWithCells="1">
              <from>
                <xdr:col>0</xdr:col>
                <xdr:colOff>123825</xdr:colOff>
                <xdr:row>41</xdr:row>
                <xdr:rowOff>38100</xdr:rowOff>
              </from>
              <to>
                <xdr:col>0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1" r:id="rId57" name="CheckBox72"/>
      </mc:Fallback>
    </mc:AlternateContent>
    <mc:AlternateContent xmlns:mc="http://schemas.openxmlformats.org/markup-compatibility/2006">
      <mc:Choice Requires="x14">
        <control shapeId="7240" r:id="rId58" name="CheckBox71">
          <controlPr autoLine="0" r:id="rId5">
            <anchor moveWithCells="1">
              <from>
                <xdr:col>2</xdr:col>
                <xdr:colOff>123825</xdr:colOff>
                <xdr:row>40</xdr:row>
                <xdr:rowOff>38100</xdr:rowOff>
              </from>
              <to>
                <xdr:col>2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40" r:id="rId58" name="CheckBox71"/>
      </mc:Fallback>
    </mc:AlternateContent>
    <mc:AlternateContent xmlns:mc="http://schemas.openxmlformats.org/markup-compatibility/2006">
      <mc:Choice Requires="x14">
        <control shapeId="7239" r:id="rId59" name="CheckBox70">
          <controlPr autoLine="0" r:id="rId5">
            <anchor moveWithCells="1">
              <from>
                <xdr:col>0</xdr:col>
                <xdr:colOff>123825</xdr:colOff>
                <xdr:row>40</xdr:row>
                <xdr:rowOff>38100</xdr:rowOff>
              </from>
              <to>
                <xdr:col>0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39" r:id="rId59" name="CheckBox70"/>
      </mc:Fallback>
    </mc:AlternateContent>
    <mc:AlternateContent xmlns:mc="http://schemas.openxmlformats.org/markup-compatibility/2006">
      <mc:Choice Requires="x14">
        <control shapeId="7238" r:id="rId60" name="CheckBox69">
          <controlPr autoLine="0" r:id="rId5">
            <anchor moveWithCells="1">
              <from>
                <xdr:col>2</xdr:col>
                <xdr:colOff>123825</xdr:colOff>
                <xdr:row>39</xdr:row>
                <xdr:rowOff>38100</xdr:rowOff>
              </from>
              <to>
                <xdr:col>2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8" r:id="rId60" name="CheckBox69"/>
      </mc:Fallback>
    </mc:AlternateContent>
    <mc:AlternateContent xmlns:mc="http://schemas.openxmlformats.org/markup-compatibility/2006">
      <mc:Choice Requires="x14">
        <control shapeId="7237" r:id="rId61" name="CheckBox68">
          <controlPr autoLine="0" r:id="rId5">
            <anchor moveWithCells="1">
              <from>
                <xdr:col>0</xdr:col>
                <xdr:colOff>123825</xdr:colOff>
                <xdr:row>39</xdr:row>
                <xdr:rowOff>38100</xdr:rowOff>
              </from>
              <to>
                <xdr:col>0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7" r:id="rId61" name="CheckBox68"/>
      </mc:Fallback>
    </mc:AlternateContent>
    <mc:AlternateContent xmlns:mc="http://schemas.openxmlformats.org/markup-compatibility/2006">
      <mc:Choice Requires="x14">
        <control shapeId="7236" r:id="rId62" name="CheckBox67">
          <controlPr autoLine="0" r:id="rId5">
            <anchor moveWithCells="1">
              <from>
                <xdr:col>2</xdr:col>
                <xdr:colOff>123825</xdr:colOff>
                <xdr:row>38</xdr:row>
                <xdr:rowOff>38100</xdr:rowOff>
              </from>
              <to>
                <xdr:col>2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6" r:id="rId62" name="CheckBox67"/>
      </mc:Fallback>
    </mc:AlternateContent>
    <mc:AlternateContent xmlns:mc="http://schemas.openxmlformats.org/markup-compatibility/2006">
      <mc:Choice Requires="x14">
        <control shapeId="7235" r:id="rId63" name="CheckBox66">
          <controlPr autoLine="0" r:id="rId5">
            <anchor moveWithCells="1">
              <from>
                <xdr:col>0</xdr:col>
                <xdr:colOff>123825</xdr:colOff>
                <xdr:row>38</xdr:row>
                <xdr:rowOff>38100</xdr:rowOff>
              </from>
              <to>
                <xdr:col>0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5" r:id="rId63" name="CheckBox66"/>
      </mc:Fallback>
    </mc:AlternateContent>
    <mc:AlternateContent xmlns:mc="http://schemas.openxmlformats.org/markup-compatibility/2006">
      <mc:Choice Requires="x14">
        <control shapeId="7234" r:id="rId64" name="CheckBox65">
          <controlPr autoLine="0" r:id="rId5">
            <anchor moveWithCells="1">
              <from>
                <xdr:col>2</xdr:col>
                <xdr:colOff>123825</xdr:colOff>
                <xdr:row>37</xdr:row>
                <xdr:rowOff>38100</xdr:rowOff>
              </from>
              <to>
                <xdr:col>2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4" r:id="rId64" name="CheckBox65"/>
      </mc:Fallback>
    </mc:AlternateContent>
    <mc:AlternateContent xmlns:mc="http://schemas.openxmlformats.org/markup-compatibility/2006">
      <mc:Choice Requires="x14">
        <control shapeId="7233" r:id="rId65" name="CheckBox64">
          <controlPr autoLine="0" r:id="rId5">
            <anchor moveWithCells="1">
              <from>
                <xdr:col>0</xdr:col>
                <xdr:colOff>123825</xdr:colOff>
                <xdr:row>37</xdr:row>
                <xdr:rowOff>38100</xdr:rowOff>
              </from>
              <to>
                <xdr:col>0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3" r:id="rId65" name="CheckBox64"/>
      </mc:Fallback>
    </mc:AlternateContent>
    <mc:AlternateContent xmlns:mc="http://schemas.openxmlformats.org/markup-compatibility/2006">
      <mc:Choice Requires="x14">
        <control shapeId="7232" r:id="rId66" name="CheckBox63">
          <controlPr autoLine="0" r:id="rId5">
            <anchor moveWithCells="1">
              <from>
                <xdr:col>2</xdr:col>
                <xdr:colOff>123825</xdr:colOff>
                <xdr:row>36</xdr:row>
                <xdr:rowOff>38100</xdr:rowOff>
              </from>
              <to>
                <xdr:col>2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2" r:id="rId66" name="CheckBox63"/>
      </mc:Fallback>
    </mc:AlternateContent>
    <mc:AlternateContent xmlns:mc="http://schemas.openxmlformats.org/markup-compatibility/2006">
      <mc:Choice Requires="x14">
        <control shapeId="7231" r:id="rId67" name="CheckBox62">
          <controlPr autoLine="0" r:id="rId5">
            <anchor moveWithCells="1">
              <from>
                <xdr:col>0</xdr:col>
                <xdr:colOff>123825</xdr:colOff>
                <xdr:row>36</xdr:row>
                <xdr:rowOff>38100</xdr:rowOff>
              </from>
              <to>
                <xdr:col>0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1" r:id="rId67" name="CheckBox62"/>
      </mc:Fallback>
    </mc:AlternateContent>
    <mc:AlternateContent xmlns:mc="http://schemas.openxmlformats.org/markup-compatibility/2006">
      <mc:Choice Requires="x14">
        <control shapeId="7230" r:id="rId68" name="CheckBox61">
          <controlPr autoLine="0" r:id="rId5">
            <anchor moveWithCells="1">
              <from>
                <xdr:col>2</xdr:col>
                <xdr:colOff>123825</xdr:colOff>
                <xdr:row>35</xdr:row>
                <xdr:rowOff>38100</xdr:rowOff>
              </from>
              <to>
                <xdr:col>2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30" r:id="rId68" name="CheckBox61"/>
      </mc:Fallback>
    </mc:AlternateContent>
    <mc:AlternateContent xmlns:mc="http://schemas.openxmlformats.org/markup-compatibility/2006">
      <mc:Choice Requires="x14">
        <control shapeId="7229" r:id="rId69" name="CheckBox60">
          <controlPr autoLine="0" r:id="rId5">
            <anchor moveWithCells="1">
              <from>
                <xdr:col>0</xdr:col>
                <xdr:colOff>123825</xdr:colOff>
                <xdr:row>35</xdr:row>
                <xdr:rowOff>38100</xdr:rowOff>
              </from>
              <to>
                <xdr:col>0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29" r:id="rId69" name="CheckBox60"/>
      </mc:Fallback>
    </mc:AlternateContent>
    <mc:AlternateContent xmlns:mc="http://schemas.openxmlformats.org/markup-compatibility/2006">
      <mc:Choice Requires="x14">
        <control shapeId="7228" r:id="rId70" name="CheckBox59">
          <controlPr autoLine="0" r:id="rId5">
            <anchor moveWithCells="1">
              <from>
                <xdr:col>2</xdr:col>
                <xdr:colOff>123825</xdr:colOff>
                <xdr:row>34</xdr:row>
                <xdr:rowOff>38100</xdr:rowOff>
              </from>
              <to>
                <xdr:col>2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8" r:id="rId70" name="CheckBox59"/>
      </mc:Fallback>
    </mc:AlternateContent>
    <mc:AlternateContent xmlns:mc="http://schemas.openxmlformats.org/markup-compatibility/2006">
      <mc:Choice Requires="x14">
        <control shapeId="7227" r:id="rId71" name="CheckBox58">
          <controlPr autoLine="0" r:id="rId5">
            <anchor moveWithCells="1">
              <from>
                <xdr:col>0</xdr:col>
                <xdr:colOff>123825</xdr:colOff>
                <xdr:row>34</xdr:row>
                <xdr:rowOff>38100</xdr:rowOff>
              </from>
              <to>
                <xdr:col>0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7" r:id="rId71" name="CheckBox58"/>
      </mc:Fallback>
    </mc:AlternateContent>
    <mc:AlternateContent xmlns:mc="http://schemas.openxmlformats.org/markup-compatibility/2006">
      <mc:Choice Requires="x14">
        <control shapeId="7226" r:id="rId72" name="CheckBox57">
          <controlPr autoLine="0" r:id="rId5">
            <anchor moveWithCells="1">
              <from>
                <xdr:col>2</xdr:col>
                <xdr:colOff>123825</xdr:colOff>
                <xdr:row>33</xdr:row>
                <xdr:rowOff>38100</xdr:rowOff>
              </from>
              <to>
                <xdr:col>2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6" r:id="rId72" name="CheckBox57"/>
      </mc:Fallback>
    </mc:AlternateContent>
    <mc:AlternateContent xmlns:mc="http://schemas.openxmlformats.org/markup-compatibility/2006">
      <mc:Choice Requires="x14">
        <control shapeId="7225" r:id="rId73" name="CheckBox56">
          <controlPr autoLine="0" r:id="rId5">
            <anchor moveWithCells="1">
              <from>
                <xdr:col>0</xdr:col>
                <xdr:colOff>123825</xdr:colOff>
                <xdr:row>33</xdr:row>
                <xdr:rowOff>38100</xdr:rowOff>
              </from>
              <to>
                <xdr:col>0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5" r:id="rId73" name="CheckBox56"/>
      </mc:Fallback>
    </mc:AlternateContent>
    <mc:AlternateContent xmlns:mc="http://schemas.openxmlformats.org/markup-compatibility/2006">
      <mc:Choice Requires="x14">
        <control shapeId="7224" r:id="rId74" name="CheckBox55">
          <controlPr autoLine="0" r:id="rId5">
            <anchor moveWithCells="1">
              <from>
                <xdr:col>2</xdr:col>
                <xdr:colOff>123825</xdr:colOff>
                <xdr:row>32</xdr:row>
                <xdr:rowOff>38100</xdr:rowOff>
              </from>
              <to>
                <xdr:col>2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4" r:id="rId74" name="CheckBox55"/>
      </mc:Fallback>
    </mc:AlternateContent>
    <mc:AlternateContent xmlns:mc="http://schemas.openxmlformats.org/markup-compatibility/2006">
      <mc:Choice Requires="x14">
        <control shapeId="7223" r:id="rId75" name="CheckBox54">
          <controlPr autoLine="0" r:id="rId5">
            <anchor moveWithCells="1">
              <from>
                <xdr:col>0</xdr:col>
                <xdr:colOff>123825</xdr:colOff>
                <xdr:row>32</xdr:row>
                <xdr:rowOff>38100</xdr:rowOff>
              </from>
              <to>
                <xdr:col>0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3" r:id="rId75" name="CheckBox54"/>
      </mc:Fallback>
    </mc:AlternateContent>
    <mc:AlternateContent xmlns:mc="http://schemas.openxmlformats.org/markup-compatibility/2006">
      <mc:Choice Requires="x14">
        <control shapeId="7222" r:id="rId76" name="CheckBox53">
          <controlPr autoLine="0" r:id="rId5">
            <anchor moveWithCells="1">
              <from>
                <xdr:col>2</xdr:col>
                <xdr:colOff>123825</xdr:colOff>
                <xdr:row>31</xdr:row>
                <xdr:rowOff>38100</xdr:rowOff>
              </from>
              <to>
                <xdr:col>2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2" r:id="rId76" name="CheckBox53"/>
      </mc:Fallback>
    </mc:AlternateContent>
    <mc:AlternateContent xmlns:mc="http://schemas.openxmlformats.org/markup-compatibility/2006">
      <mc:Choice Requires="x14">
        <control shapeId="7221" r:id="rId77" name="CheckBox52">
          <controlPr autoLine="0" r:id="rId5">
            <anchor moveWithCells="1">
              <from>
                <xdr:col>0</xdr:col>
                <xdr:colOff>123825</xdr:colOff>
                <xdr:row>31</xdr:row>
                <xdr:rowOff>38100</xdr:rowOff>
              </from>
              <to>
                <xdr:col>0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1" r:id="rId77" name="CheckBox52"/>
      </mc:Fallback>
    </mc:AlternateContent>
    <mc:AlternateContent xmlns:mc="http://schemas.openxmlformats.org/markup-compatibility/2006">
      <mc:Choice Requires="x14">
        <control shapeId="7220" r:id="rId78" name="CheckBox51">
          <controlPr autoLine="0" r:id="rId5">
            <anchor moveWithCells="1">
              <from>
                <xdr:col>2</xdr:col>
                <xdr:colOff>123825</xdr:colOff>
                <xdr:row>30</xdr:row>
                <xdr:rowOff>38100</xdr:rowOff>
              </from>
              <to>
                <xdr:col>2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20" r:id="rId78" name="CheckBox51"/>
      </mc:Fallback>
    </mc:AlternateContent>
    <mc:AlternateContent xmlns:mc="http://schemas.openxmlformats.org/markup-compatibility/2006">
      <mc:Choice Requires="x14">
        <control shapeId="7219" r:id="rId79" name="CheckBox50">
          <controlPr autoLine="0" r:id="rId5">
            <anchor moveWithCells="1">
              <from>
                <xdr:col>0</xdr:col>
                <xdr:colOff>123825</xdr:colOff>
                <xdr:row>30</xdr:row>
                <xdr:rowOff>38100</xdr:rowOff>
              </from>
              <to>
                <xdr:col>0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19" r:id="rId79" name="CheckBox50"/>
      </mc:Fallback>
    </mc:AlternateContent>
    <mc:AlternateContent xmlns:mc="http://schemas.openxmlformats.org/markup-compatibility/2006">
      <mc:Choice Requires="x14">
        <control shapeId="7218" r:id="rId80" name="CheckBox49">
          <controlPr autoLine="0" r:id="rId5">
            <anchor moveWithCells="1">
              <from>
                <xdr:col>2</xdr:col>
                <xdr:colOff>123825</xdr:colOff>
                <xdr:row>29</xdr:row>
                <xdr:rowOff>38100</xdr:rowOff>
              </from>
              <to>
                <xdr:col>2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8" r:id="rId80" name="CheckBox49"/>
      </mc:Fallback>
    </mc:AlternateContent>
    <mc:AlternateContent xmlns:mc="http://schemas.openxmlformats.org/markup-compatibility/2006">
      <mc:Choice Requires="x14">
        <control shapeId="7217" r:id="rId81" name="CheckBox48">
          <controlPr autoLine="0" r:id="rId5">
            <anchor moveWithCells="1">
              <from>
                <xdr:col>0</xdr:col>
                <xdr:colOff>123825</xdr:colOff>
                <xdr:row>29</xdr:row>
                <xdr:rowOff>38100</xdr:rowOff>
              </from>
              <to>
                <xdr:col>0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7" r:id="rId81" name="CheckBox48"/>
      </mc:Fallback>
    </mc:AlternateContent>
    <mc:AlternateContent xmlns:mc="http://schemas.openxmlformats.org/markup-compatibility/2006">
      <mc:Choice Requires="x14">
        <control shapeId="7216" r:id="rId82" name="CheckBox47">
          <controlPr autoLine="0" r:id="rId5">
            <anchor moveWithCells="1">
              <from>
                <xdr:col>2</xdr:col>
                <xdr:colOff>123825</xdr:colOff>
                <xdr:row>28</xdr:row>
                <xdr:rowOff>38100</xdr:rowOff>
              </from>
              <to>
                <xdr:col>2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6" r:id="rId82" name="CheckBox47"/>
      </mc:Fallback>
    </mc:AlternateContent>
    <mc:AlternateContent xmlns:mc="http://schemas.openxmlformats.org/markup-compatibility/2006">
      <mc:Choice Requires="x14">
        <control shapeId="7215" r:id="rId83" name="CheckBox46">
          <controlPr autoLine="0" r:id="rId5">
            <anchor moveWithCells="1">
              <from>
                <xdr:col>0</xdr:col>
                <xdr:colOff>123825</xdr:colOff>
                <xdr:row>28</xdr:row>
                <xdr:rowOff>38100</xdr:rowOff>
              </from>
              <to>
                <xdr:col>0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5" r:id="rId83" name="CheckBox46"/>
      </mc:Fallback>
    </mc:AlternateContent>
    <mc:AlternateContent xmlns:mc="http://schemas.openxmlformats.org/markup-compatibility/2006">
      <mc:Choice Requires="x14">
        <control shapeId="7214" r:id="rId84" name="CheckBox45">
          <controlPr autoLine="0" r:id="rId5">
            <anchor moveWithCells="1">
              <from>
                <xdr:col>2</xdr:col>
                <xdr:colOff>123825</xdr:colOff>
                <xdr:row>27</xdr:row>
                <xdr:rowOff>38100</xdr:rowOff>
              </from>
              <to>
                <xdr:col>2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4" r:id="rId84" name="CheckBox45"/>
      </mc:Fallback>
    </mc:AlternateContent>
    <mc:AlternateContent xmlns:mc="http://schemas.openxmlformats.org/markup-compatibility/2006">
      <mc:Choice Requires="x14">
        <control shapeId="7213" r:id="rId85" name="CheckBox44">
          <controlPr autoLine="0" r:id="rId5">
            <anchor moveWithCells="1">
              <from>
                <xdr:col>0</xdr:col>
                <xdr:colOff>123825</xdr:colOff>
                <xdr:row>27</xdr:row>
                <xdr:rowOff>38100</xdr:rowOff>
              </from>
              <to>
                <xdr:col>0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3" r:id="rId85" name="CheckBox44"/>
      </mc:Fallback>
    </mc:AlternateContent>
    <mc:AlternateContent xmlns:mc="http://schemas.openxmlformats.org/markup-compatibility/2006">
      <mc:Choice Requires="x14">
        <control shapeId="7212" r:id="rId86" name="CheckBox43">
          <controlPr autoLine="0" r:id="rId5">
            <anchor moveWithCells="1">
              <from>
                <xdr:col>2</xdr:col>
                <xdr:colOff>123825</xdr:colOff>
                <xdr:row>26</xdr:row>
                <xdr:rowOff>38100</xdr:rowOff>
              </from>
              <to>
                <xdr:col>2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2" r:id="rId86" name="CheckBox43"/>
      </mc:Fallback>
    </mc:AlternateContent>
    <mc:AlternateContent xmlns:mc="http://schemas.openxmlformats.org/markup-compatibility/2006">
      <mc:Choice Requires="x14">
        <control shapeId="7211" r:id="rId87" name="CheckBox42">
          <controlPr autoLine="0" r:id="rId5">
            <anchor moveWithCells="1">
              <from>
                <xdr:col>0</xdr:col>
                <xdr:colOff>123825</xdr:colOff>
                <xdr:row>26</xdr:row>
                <xdr:rowOff>38100</xdr:rowOff>
              </from>
              <to>
                <xdr:col>0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1" r:id="rId87" name="CheckBox42"/>
      </mc:Fallback>
    </mc:AlternateContent>
    <mc:AlternateContent xmlns:mc="http://schemas.openxmlformats.org/markup-compatibility/2006">
      <mc:Choice Requires="x14">
        <control shapeId="7210" r:id="rId88" name="CheckBox41">
          <controlPr autoLine="0" r:id="rId5">
            <anchor moveWithCells="1">
              <from>
                <xdr:col>2</xdr:col>
                <xdr:colOff>123825</xdr:colOff>
                <xdr:row>25</xdr:row>
                <xdr:rowOff>38100</xdr:rowOff>
              </from>
              <to>
                <xdr:col>2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10" r:id="rId88" name="CheckBox41"/>
      </mc:Fallback>
    </mc:AlternateContent>
    <mc:AlternateContent xmlns:mc="http://schemas.openxmlformats.org/markup-compatibility/2006">
      <mc:Choice Requires="x14">
        <control shapeId="7209" r:id="rId89" name="CheckBox40">
          <controlPr autoLine="0" r:id="rId5">
            <anchor moveWithCells="1">
              <from>
                <xdr:col>0</xdr:col>
                <xdr:colOff>123825</xdr:colOff>
                <xdr:row>25</xdr:row>
                <xdr:rowOff>38100</xdr:rowOff>
              </from>
              <to>
                <xdr:col>0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09" r:id="rId89" name="CheckBox40"/>
      </mc:Fallback>
    </mc:AlternateContent>
    <mc:AlternateContent xmlns:mc="http://schemas.openxmlformats.org/markup-compatibility/2006">
      <mc:Choice Requires="x14">
        <control shapeId="7208" r:id="rId90" name="CheckBox39">
          <controlPr autoLine="0" r:id="rId5">
            <anchor moveWithCells="1">
              <from>
                <xdr:col>2</xdr:col>
                <xdr:colOff>123825</xdr:colOff>
                <xdr:row>24</xdr:row>
                <xdr:rowOff>38100</xdr:rowOff>
              </from>
              <to>
                <xdr:col>2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8" r:id="rId90" name="CheckBox39"/>
      </mc:Fallback>
    </mc:AlternateContent>
    <mc:AlternateContent xmlns:mc="http://schemas.openxmlformats.org/markup-compatibility/2006">
      <mc:Choice Requires="x14">
        <control shapeId="7207" r:id="rId91" name="CheckBox38">
          <controlPr autoLine="0" r:id="rId5">
            <anchor moveWithCells="1">
              <from>
                <xdr:col>0</xdr:col>
                <xdr:colOff>123825</xdr:colOff>
                <xdr:row>24</xdr:row>
                <xdr:rowOff>38100</xdr:rowOff>
              </from>
              <to>
                <xdr:col>0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7" r:id="rId91" name="CheckBox38"/>
      </mc:Fallback>
    </mc:AlternateContent>
    <mc:AlternateContent xmlns:mc="http://schemas.openxmlformats.org/markup-compatibility/2006">
      <mc:Choice Requires="x14">
        <control shapeId="7206" r:id="rId92" name="CheckBox37">
          <controlPr autoLine="0" r:id="rId5">
            <anchor moveWithCells="1">
              <from>
                <xdr:col>2</xdr:col>
                <xdr:colOff>123825</xdr:colOff>
                <xdr:row>23</xdr:row>
                <xdr:rowOff>38100</xdr:rowOff>
              </from>
              <to>
                <xdr:col>2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6" r:id="rId92" name="CheckBox37"/>
      </mc:Fallback>
    </mc:AlternateContent>
    <mc:AlternateContent xmlns:mc="http://schemas.openxmlformats.org/markup-compatibility/2006">
      <mc:Choice Requires="x14">
        <control shapeId="7205" r:id="rId93" name="CheckBox36">
          <controlPr autoLine="0" r:id="rId5">
            <anchor moveWithCells="1">
              <from>
                <xdr:col>0</xdr:col>
                <xdr:colOff>123825</xdr:colOff>
                <xdr:row>23</xdr:row>
                <xdr:rowOff>38100</xdr:rowOff>
              </from>
              <to>
                <xdr:col>0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5" r:id="rId93" name="CheckBox36"/>
      </mc:Fallback>
    </mc:AlternateContent>
    <mc:AlternateContent xmlns:mc="http://schemas.openxmlformats.org/markup-compatibility/2006">
      <mc:Choice Requires="x14">
        <control shapeId="7204" r:id="rId94" name="CheckBox35">
          <controlPr autoLine="0" r:id="rId5">
            <anchor moveWithCells="1">
              <from>
                <xdr:col>2</xdr:col>
                <xdr:colOff>123825</xdr:colOff>
                <xdr:row>22</xdr:row>
                <xdr:rowOff>38100</xdr:rowOff>
              </from>
              <to>
                <xdr:col>2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4" r:id="rId94" name="CheckBox35"/>
      </mc:Fallback>
    </mc:AlternateContent>
    <mc:AlternateContent xmlns:mc="http://schemas.openxmlformats.org/markup-compatibility/2006">
      <mc:Choice Requires="x14">
        <control shapeId="7203" r:id="rId95" name="CheckBox34">
          <controlPr autoLine="0" r:id="rId5">
            <anchor moveWithCells="1">
              <from>
                <xdr:col>0</xdr:col>
                <xdr:colOff>123825</xdr:colOff>
                <xdr:row>22</xdr:row>
                <xdr:rowOff>38100</xdr:rowOff>
              </from>
              <to>
                <xdr:col>0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3" r:id="rId95" name="CheckBox34"/>
      </mc:Fallback>
    </mc:AlternateContent>
    <mc:AlternateContent xmlns:mc="http://schemas.openxmlformats.org/markup-compatibility/2006">
      <mc:Choice Requires="x14">
        <control shapeId="7202" r:id="rId96" name="CheckBox33">
          <controlPr autoLine="0" r:id="rId5">
            <anchor moveWithCells="1">
              <from>
                <xdr:col>2</xdr:col>
                <xdr:colOff>123825</xdr:colOff>
                <xdr:row>21</xdr:row>
                <xdr:rowOff>38100</xdr:rowOff>
              </from>
              <to>
                <xdr:col>2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2" r:id="rId96" name="CheckBox33"/>
      </mc:Fallback>
    </mc:AlternateContent>
    <mc:AlternateContent xmlns:mc="http://schemas.openxmlformats.org/markup-compatibility/2006">
      <mc:Choice Requires="x14">
        <control shapeId="7201" r:id="rId97" name="CheckBox32">
          <controlPr autoLine="0" r:id="rId5">
            <anchor moveWithCells="1">
              <from>
                <xdr:col>0</xdr:col>
                <xdr:colOff>123825</xdr:colOff>
                <xdr:row>21</xdr:row>
                <xdr:rowOff>38100</xdr:rowOff>
              </from>
              <to>
                <xdr:col>0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1" r:id="rId97" name="CheckBox32"/>
      </mc:Fallback>
    </mc:AlternateContent>
    <mc:AlternateContent xmlns:mc="http://schemas.openxmlformats.org/markup-compatibility/2006">
      <mc:Choice Requires="x14">
        <control shapeId="7200" r:id="rId98" name="CheckBox31">
          <controlPr autoLine="0" r:id="rId5">
            <anchor moveWithCells="1">
              <from>
                <xdr:col>2</xdr:col>
                <xdr:colOff>123825</xdr:colOff>
                <xdr:row>20</xdr:row>
                <xdr:rowOff>38100</xdr:rowOff>
              </from>
              <to>
                <xdr:col>2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00" r:id="rId98" name="CheckBox31"/>
      </mc:Fallback>
    </mc:AlternateContent>
    <mc:AlternateContent xmlns:mc="http://schemas.openxmlformats.org/markup-compatibility/2006">
      <mc:Choice Requires="x14">
        <control shapeId="7199" r:id="rId99" name="CheckBox30">
          <controlPr autoLine="0" r:id="rId5">
            <anchor moveWithCells="1">
              <from>
                <xdr:col>0</xdr:col>
                <xdr:colOff>123825</xdr:colOff>
                <xdr:row>20</xdr:row>
                <xdr:rowOff>38100</xdr:rowOff>
              </from>
              <to>
                <xdr:col>0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199" r:id="rId99" name="CheckBox30"/>
      </mc:Fallback>
    </mc:AlternateContent>
    <mc:AlternateContent xmlns:mc="http://schemas.openxmlformats.org/markup-compatibility/2006">
      <mc:Choice Requires="x14">
        <control shapeId="7198" r:id="rId100" name="CheckBox29">
          <controlPr autoLine="0" r:id="rId5">
            <anchor moveWithCells="1">
              <from>
                <xdr:col>2</xdr:col>
                <xdr:colOff>123825</xdr:colOff>
                <xdr:row>19</xdr:row>
                <xdr:rowOff>38100</xdr:rowOff>
              </from>
              <to>
                <xdr:col>2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8" r:id="rId100" name="CheckBox29"/>
      </mc:Fallback>
    </mc:AlternateContent>
    <mc:AlternateContent xmlns:mc="http://schemas.openxmlformats.org/markup-compatibility/2006">
      <mc:Choice Requires="x14">
        <control shapeId="7197" r:id="rId101" name="CheckBox28">
          <controlPr autoLine="0" r:id="rId5">
            <anchor moveWithCells="1">
              <from>
                <xdr:col>0</xdr:col>
                <xdr:colOff>123825</xdr:colOff>
                <xdr:row>19</xdr:row>
                <xdr:rowOff>38100</xdr:rowOff>
              </from>
              <to>
                <xdr:col>0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7" r:id="rId101" name="CheckBox28"/>
      </mc:Fallback>
    </mc:AlternateContent>
    <mc:AlternateContent xmlns:mc="http://schemas.openxmlformats.org/markup-compatibility/2006">
      <mc:Choice Requires="x14">
        <control shapeId="7196" r:id="rId102" name="CheckBox27">
          <controlPr autoLine="0" r:id="rId5">
            <anchor moveWithCells="1">
              <from>
                <xdr:col>2</xdr:col>
                <xdr:colOff>123825</xdr:colOff>
                <xdr:row>18</xdr:row>
                <xdr:rowOff>38100</xdr:rowOff>
              </from>
              <to>
                <xdr:col>2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6" r:id="rId102" name="CheckBox27"/>
      </mc:Fallback>
    </mc:AlternateContent>
    <mc:AlternateContent xmlns:mc="http://schemas.openxmlformats.org/markup-compatibility/2006">
      <mc:Choice Requires="x14">
        <control shapeId="7195" r:id="rId103" name="CheckBox26">
          <controlPr autoLine="0" r:id="rId5">
            <anchor moveWithCells="1">
              <from>
                <xdr:col>0</xdr:col>
                <xdr:colOff>123825</xdr:colOff>
                <xdr:row>18</xdr:row>
                <xdr:rowOff>38100</xdr:rowOff>
              </from>
              <to>
                <xdr:col>0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5" r:id="rId103" name="CheckBox26"/>
      </mc:Fallback>
    </mc:AlternateContent>
    <mc:AlternateContent xmlns:mc="http://schemas.openxmlformats.org/markup-compatibility/2006">
      <mc:Choice Requires="x14">
        <control shapeId="7194" r:id="rId104" name="CheckBox25">
          <controlPr autoLine="0" r:id="rId5">
            <anchor moveWithCells="1">
              <from>
                <xdr:col>2</xdr:col>
                <xdr:colOff>123825</xdr:colOff>
                <xdr:row>17</xdr:row>
                <xdr:rowOff>38100</xdr:rowOff>
              </from>
              <to>
                <xdr:col>2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4" r:id="rId104" name="CheckBox25"/>
      </mc:Fallback>
    </mc:AlternateContent>
    <mc:AlternateContent xmlns:mc="http://schemas.openxmlformats.org/markup-compatibility/2006">
      <mc:Choice Requires="x14">
        <control shapeId="7193" r:id="rId105" name="CheckBox24">
          <controlPr autoLine="0" r:id="rId5">
            <anchor moveWithCells="1">
              <from>
                <xdr:col>0</xdr:col>
                <xdr:colOff>123825</xdr:colOff>
                <xdr:row>17</xdr:row>
                <xdr:rowOff>38100</xdr:rowOff>
              </from>
              <to>
                <xdr:col>0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3" r:id="rId105" name="CheckBox24"/>
      </mc:Fallback>
    </mc:AlternateContent>
    <mc:AlternateContent xmlns:mc="http://schemas.openxmlformats.org/markup-compatibility/2006">
      <mc:Choice Requires="x14">
        <control shapeId="7192" r:id="rId106" name="CheckBox23">
          <controlPr autoLine="0" r:id="rId5">
            <anchor moveWithCells="1">
              <from>
                <xdr:col>2</xdr:col>
                <xdr:colOff>123825</xdr:colOff>
                <xdr:row>16</xdr:row>
                <xdr:rowOff>38100</xdr:rowOff>
              </from>
              <to>
                <xdr:col>2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2" r:id="rId106" name="CheckBox23"/>
      </mc:Fallback>
    </mc:AlternateContent>
    <mc:AlternateContent xmlns:mc="http://schemas.openxmlformats.org/markup-compatibility/2006">
      <mc:Choice Requires="x14">
        <control shapeId="7191" r:id="rId107" name="CheckBox22">
          <controlPr autoLine="0" r:id="rId5">
            <anchor moveWithCells="1">
              <from>
                <xdr:col>0</xdr:col>
                <xdr:colOff>123825</xdr:colOff>
                <xdr:row>16</xdr:row>
                <xdr:rowOff>38100</xdr:rowOff>
              </from>
              <to>
                <xdr:col>0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1" r:id="rId107" name="CheckBox22"/>
      </mc:Fallback>
    </mc:AlternateContent>
    <mc:AlternateContent xmlns:mc="http://schemas.openxmlformats.org/markup-compatibility/2006">
      <mc:Choice Requires="x14">
        <control shapeId="7190" r:id="rId108" name="CheckBox21">
          <controlPr autoLine="0" r:id="rId5">
            <anchor moveWithCells="1">
              <from>
                <xdr:col>2</xdr:col>
                <xdr:colOff>123825</xdr:colOff>
                <xdr:row>15</xdr:row>
                <xdr:rowOff>38100</xdr:rowOff>
              </from>
              <to>
                <xdr:col>2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90" r:id="rId108" name="CheckBox21"/>
      </mc:Fallback>
    </mc:AlternateContent>
    <mc:AlternateContent xmlns:mc="http://schemas.openxmlformats.org/markup-compatibility/2006">
      <mc:Choice Requires="x14">
        <control shapeId="7189" r:id="rId109" name="CheckBox20">
          <controlPr autoLine="0" r:id="rId5">
            <anchor moveWithCells="1">
              <from>
                <xdr:col>0</xdr:col>
                <xdr:colOff>123825</xdr:colOff>
                <xdr:row>15</xdr:row>
                <xdr:rowOff>38100</xdr:rowOff>
              </from>
              <to>
                <xdr:col>0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89" r:id="rId109" name="CheckBox20"/>
      </mc:Fallback>
    </mc:AlternateContent>
    <mc:AlternateContent xmlns:mc="http://schemas.openxmlformats.org/markup-compatibility/2006">
      <mc:Choice Requires="x14">
        <control shapeId="7188" r:id="rId110" name="CheckBox19">
          <controlPr autoLine="0" r:id="rId5">
            <anchor moveWithCells="1">
              <from>
                <xdr:col>2</xdr:col>
                <xdr:colOff>123825</xdr:colOff>
                <xdr:row>14</xdr:row>
                <xdr:rowOff>38100</xdr:rowOff>
              </from>
              <to>
                <xdr:col>2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8" r:id="rId110" name="CheckBox19"/>
      </mc:Fallback>
    </mc:AlternateContent>
    <mc:AlternateContent xmlns:mc="http://schemas.openxmlformats.org/markup-compatibility/2006">
      <mc:Choice Requires="x14">
        <control shapeId="7187" r:id="rId111" name="CheckBox18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7" r:id="rId111" name="CheckBox18"/>
      </mc:Fallback>
    </mc:AlternateContent>
    <mc:AlternateContent xmlns:mc="http://schemas.openxmlformats.org/markup-compatibility/2006">
      <mc:Choice Requires="x14">
        <control shapeId="7186" r:id="rId112" name="CheckBox17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6" r:id="rId112" name="CheckBox17"/>
      </mc:Fallback>
    </mc:AlternateContent>
    <mc:AlternateContent xmlns:mc="http://schemas.openxmlformats.org/markup-compatibility/2006">
      <mc:Choice Requires="x14">
        <control shapeId="7185" r:id="rId113" name="CheckBox16">
          <controlPr autoLine="0" r:id="rId5">
            <anchor moveWithCells="1">
              <from>
                <xdr:col>2</xdr:col>
                <xdr:colOff>123825</xdr:colOff>
                <xdr:row>13</xdr:row>
                <xdr:rowOff>38100</xdr:rowOff>
              </from>
              <to>
                <xdr:col>2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5" r:id="rId113" name="CheckBox16"/>
      </mc:Fallback>
    </mc:AlternateContent>
    <mc:AlternateContent xmlns:mc="http://schemas.openxmlformats.org/markup-compatibility/2006">
      <mc:Choice Requires="x14">
        <control shapeId="7184" r:id="rId114" name="CheckBox15">
          <controlPr autoLine="0" r:id="rId5">
            <anchor moveWithCells="1">
              <from>
                <xdr:col>0</xdr:col>
                <xdr:colOff>123825</xdr:colOff>
                <xdr:row>13</xdr:row>
                <xdr:rowOff>38100</xdr:rowOff>
              </from>
              <to>
                <xdr:col>0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4" r:id="rId114" name="CheckBox15"/>
      </mc:Fallback>
    </mc:AlternateContent>
    <mc:AlternateContent xmlns:mc="http://schemas.openxmlformats.org/markup-compatibility/2006">
      <mc:Choice Requires="x14">
        <control shapeId="7183" r:id="rId115" name="CheckBox14">
          <controlPr autoLine="0" r:id="rId5">
            <anchor moveWithCells="1">
              <from>
                <xdr:col>2</xdr:col>
                <xdr:colOff>123825</xdr:colOff>
                <xdr:row>12</xdr:row>
                <xdr:rowOff>38100</xdr:rowOff>
              </from>
              <to>
                <xdr:col>2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3" r:id="rId115" name="CheckBox14"/>
      </mc:Fallback>
    </mc:AlternateContent>
    <mc:AlternateContent xmlns:mc="http://schemas.openxmlformats.org/markup-compatibility/2006">
      <mc:Choice Requires="x14">
        <control shapeId="7182" r:id="rId116" name="CheckBox13">
          <controlPr autoLine="0" r:id="rId5">
            <anchor moveWithCells="1">
              <from>
                <xdr:col>0</xdr:col>
                <xdr:colOff>123825</xdr:colOff>
                <xdr:row>12</xdr:row>
                <xdr:rowOff>38100</xdr:rowOff>
              </from>
              <to>
                <xdr:col>0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2" r:id="rId116" name="CheckBox13"/>
      </mc:Fallback>
    </mc:AlternateContent>
    <mc:AlternateContent xmlns:mc="http://schemas.openxmlformats.org/markup-compatibility/2006">
      <mc:Choice Requires="x14">
        <control shapeId="7181" r:id="rId117" name="CheckBox12">
          <controlPr autoLine="0" r:id="rId5">
            <anchor moveWithCells="1">
              <from>
                <xdr:col>2</xdr:col>
                <xdr:colOff>123825</xdr:colOff>
                <xdr:row>11</xdr:row>
                <xdr:rowOff>38100</xdr:rowOff>
              </from>
              <to>
                <xdr:col>2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1" r:id="rId117" name="CheckBox12"/>
      </mc:Fallback>
    </mc:AlternateContent>
    <mc:AlternateContent xmlns:mc="http://schemas.openxmlformats.org/markup-compatibility/2006">
      <mc:Choice Requires="x14">
        <control shapeId="7180" r:id="rId118" name="CheckBox11">
          <controlPr autoLine="0" r:id="rId5">
            <anchor moveWithCells="1">
              <from>
                <xdr:col>0</xdr:col>
                <xdr:colOff>123825</xdr:colOff>
                <xdr:row>11</xdr:row>
                <xdr:rowOff>38100</xdr:rowOff>
              </from>
              <to>
                <xdr:col>0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0" r:id="rId118" name="CheckBox11"/>
      </mc:Fallback>
    </mc:AlternateContent>
    <mc:AlternateContent xmlns:mc="http://schemas.openxmlformats.org/markup-compatibility/2006">
      <mc:Choice Requires="x14">
        <control shapeId="7179" r:id="rId119" name="CheckBox10">
          <controlPr autoLine="0" r:id="rId5">
            <anchor moveWithCells="1">
              <from>
                <xdr:col>2</xdr:col>
                <xdr:colOff>123825</xdr:colOff>
                <xdr:row>10</xdr:row>
                <xdr:rowOff>38100</xdr:rowOff>
              </from>
              <to>
                <xdr:col>2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9" r:id="rId119" name="CheckBox10"/>
      </mc:Fallback>
    </mc:AlternateContent>
    <mc:AlternateContent xmlns:mc="http://schemas.openxmlformats.org/markup-compatibility/2006">
      <mc:Choice Requires="x14">
        <control shapeId="7178" r:id="rId120" name="CheckBox9">
          <controlPr autoLine="0" r:id="rId5">
            <anchor moveWithCells="1">
              <from>
                <xdr:col>0</xdr:col>
                <xdr:colOff>123825</xdr:colOff>
                <xdr:row>10</xdr:row>
                <xdr:rowOff>38100</xdr:rowOff>
              </from>
              <to>
                <xdr:col>0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8" r:id="rId120" name="CheckBox9"/>
      </mc:Fallback>
    </mc:AlternateContent>
    <mc:AlternateContent xmlns:mc="http://schemas.openxmlformats.org/markup-compatibility/2006">
      <mc:Choice Requires="x14">
        <control shapeId="7177" r:id="rId121" name="CheckBox8">
          <controlPr autoLine="0" r:id="rId5">
            <anchor moveWithCells="1">
              <from>
                <xdr:col>2</xdr:col>
                <xdr:colOff>123825</xdr:colOff>
                <xdr:row>9</xdr:row>
                <xdr:rowOff>38100</xdr:rowOff>
              </from>
              <to>
                <xdr:col>2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7" r:id="rId121" name="CheckBox8"/>
      </mc:Fallback>
    </mc:AlternateContent>
    <mc:AlternateContent xmlns:mc="http://schemas.openxmlformats.org/markup-compatibility/2006">
      <mc:Choice Requires="x14">
        <control shapeId="7176" r:id="rId122" name="CheckBox7">
          <controlPr autoLine="0" r:id="rId5">
            <anchor moveWithCells="1">
              <from>
                <xdr:col>0</xdr:col>
                <xdr:colOff>123825</xdr:colOff>
                <xdr:row>9</xdr:row>
                <xdr:rowOff>38100</xdr:rowOff>
              </from>
              <to>
                <xdr:col>0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6" r:id="rId122" name="CheckBox7"/>
      </mc:Fallback>
    </mc:AlternateContent>
    <mc:AlternateContent xmlns:mc="http://schemas.openxmlformats.org/markup-compatibility/2006">
      <mc:Choice Requires="x14">
        <control shapeId="7175" r:id="rId123" name="CheckBox6">
          <controlPr autoLine="0" r:id="rId5">
            <anchor moveWithCells="1">
              <from>
                <xdr:col>2</xdr:col>
                <xdr:colOff>123825</xdr:colOff>
                <xdr:row>8</xdr:row>
                <xdr:rowOff>38100</xdr:rowOff>
              </from>
              <to>
                <xdr:col>2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5" r:id="rId123" name="CheckBox6"/>
      </mc:Fallback>
    </mc:AlternateContent>
    <mc:AlternateContent xmlns:mc="http://schemas.openxmlformats.org/markup-compatibility/2006">
      <mc:Choice Requires="x14">
        <control shapeId="7174" r:id="rId124" name="CheckBox5">
          <controlPr autoLine="0" r:id="rId5">
            <anchor moveWithCells="1">
              <from>
                <xdr:col>0</xdr:col>
                <xdr:colOff>123825</xdr:colOff>
                <xdr:row>8</xdr:row>
                <xdr:rowOff>38100</xdr:rowOff>
              </from>
              <to>
                <xdr:col>0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4" r:id="rId124" name="CheckBox5"/>
      </mc:Fallback>
    </mc:AlternateContent>
    <mc:AlternateContent xmlns:mc="http://schemas.openxmlformats.org/markup-compatibility/2006">
      <mc:Choice Requires="x14">
        <control shapeId="7173" r:id="rId125" name="CheckBox4">
          <controlPr autoLine="0" r:id="rId5">
            <anchor moveWithCells="1">
              <from>
                <xdr:col>2</xdr:col>
                <xdr:colOff>123825</xdr:colOff>
                <xdr:row>7</xdr:row>
                <xdr:rowOff>38100</xdr:rowOff>
              </from>
              <to>
                <xdr:col>2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3" r:id="rId125" name="CheckBox4"/>
      </mc:Fallback>
    </mc:AlternateContent>
    <mc:AlternateContent xmlns:mc="http://schemas.openxmlformats.org/markup-compatibility/2006">
      <mc:Choice Requires="x14">
        <control shapeId="7172" r:id="rId126" name="CheckBox3">
          <controlPr autoLine="0" r:id="rId5">
            <anchor moveWithCells="1">
              <from>
                <xdr:col>0</xdr:col>
                <xdr:colOff>123825</xdr:colOff>
                <xdr:row>7</xdr:row>
                <xdr:rowOff>38100</xdr:rowOff>
              </from>
              <to>
                <xdr:col>0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2" r:id="rId126" name="CheckBox3"/>
      </mc:Fallback>
    </mc:AlternateContent>
    <mc:AlternateContent xmlns:mc="http://schemas.openxmlformats.org/markup-compatibility/2006">
      <mc:Choice Requires="x14">
        <control shapeId="7171" r:id="rId127" name="CheckBox2">
          <controlPr autoLine="0" r:id="rId5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1" r:id="rId127" name="CheckBox2"/>
      </mc:Fallback>
    </mc:AlternateContent>
    <mc:AlternateContent xmlns:mc="http://schemas.openxmlformats.org/markup-compatibility/2006">
      <mc:Choice Requires="x14">
        <control shapeId="7170" r:id="rId128" name="CheckBox1">
          <controlPr autoLine="0" r:id="rId5">
            <anchor moveWithCells="1">
              <from>
                <xdr:col>0</xdr:col>
                <xdr:colOff>123825</xdr:colOff>
                <xdr:row>6</xdr:row>
                <xdr:rowOff>38100</xdr:rowOff>
              </from>
              <to>
                <xdr:col>0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0" r:id="rId128" name="CheckBox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C55"/>
  <sheetViews>
    <sheetView zoomScale="75" zoomScaleNormal="75" workbookViewId="0">
      <selection activeCell="H35" sqref="H35"/>
    </sheetView>
  </sheetViews>
  <sheetFormatPr defaultRowHeight="12.75" x14ac:dyDescent="0.2"/>
  <cols>
    <col min="1" max="1" width="9.7109375" style="8" customWidth="1"/>
    <col min="2" max="2" width="8.7109375" style="8" customWidth="1"/>
    <col min="3" max="3" width="22.7109375" style="8" customWidth="1"/>
    <col min="4" max="4" width="6.7109375" style="8" customWidth="1"/>
    <col min="5" max="5" width="7.7109375" style="8" customWidth="1"/>
    <col min="6" max="6" width="6.28515625" style="8" customWidth="1"/>
    <col min="7" max="7" width="5.7109375" style="8" customWidth="1"/>
    <col min="8" max="8" width="7.7109375" style="8" customWidth="1"/>
    <col min="9" max="9" width="6.28515625" style="8" customWidth="1"/>
    <col min="10" max="10" width="5.7109375" style="8" customWidth="1"/>
    <col min="11" max="15" width="7.7109375" style="8" customWidth="1"/>
    <col min="16" max="18" width="6.7109375" style="8" customWidth="1"/>
    <col min="19" max="19" width="10.7109375" style="8" customWidth="1"/>
    <col min="20" max="20" width="6.7109375" style="8" customWidth="1"/>
    <col min="21" max="21" width="7.7109375" style="8" customWidth="1"/>
    <col min="22" max="22" width="10.7109375" style="8" customWidth="1"/>
    <col min="23" max="23" width="6.7109375" style="8" customWidth="1"/>
    <col min="24" max="24" width="7.7109375" style="8" customWidth="1"/>
    <col min="25" max="25" width="7.5703125" style="8" bestFit="1" customWidth="1"/>
    <col min="26" max="27" width="7.7109375" style="8" customWidth="1"/>
    <col min="28" max="28" width="6.7109375" style="8" customWidth="1"/>
    <col min="29" max="29" width="7.7109375" style="8" customWidth="1"/>
    <col min="30" max="16384" width="9.140625" style="8"/>
  </cols>
  <sheetData>
    <row r="1" spans="1:29" s="9" customFormat="1" ht="20.100000000000001" customHeight="1" x14ac:dyDescent="0.2">
      <c r="A1" s="252" t="s">
        <v>26</v>
      </c>
      <c r="B1" s="253"/>
      <c r="C1" s="275" t="str">
        <f>IF(ISBLANK(Cover!D3),"",Cover!D3)</f>
        <v>*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75"/>
      <c r="O1" s="275"/>
      <c r="P1" s="275"/>
      <c r="Q1" s="275"/>
      <c r="R1" s="275"/>
      <c r="S1" s="275"/>
      <c r="T1" s="275"/>
      <c r="U1" s="275"/>
      <c r="V1" s="275"/>
      <c r="W1" s="275"/>
      <c r="X1" s="275"/>
      <c r="Y1" s="275"/>
      <c r="Z1" s="240" t="s">
        <v>28</v>
      </c>
      <c r="AA1" s="293" t="str">
        <f>IF(ISBLANK(Cover!O2),"",Cover!O2)</f>
        <v>*</v>
      </c>
      <c r="AB1" s="293"/>
      <c r="AC1" s="294"/>
    </row>
    <row r="2" spans="1:29" s="9" customFormat="1" ht="20.100000000000001" customHeight="1" thickBot="1" x14ac:dyDescent="0.25">
      <c r="A2" s="254" t="s">
        <v>27</v>
      </c>
      <c r="B2" s="255"/>
      <c r="C2" s="286" t="str">
        <f>IF(ISBLANK(Cover!D4),"",Cover!D4)</f>
        <v>*</v>
      </c>
      <c r="D2" s="286"/>
      <c r="E2" s="286"/>
      <c r="F2" s="286"/>
      <c r="G2" s="286"/>
      <c r="H2" s="286"/>
      <c r="I2" s="286"/>
      <c r="J2" s="286"/>
      <c r="K2" s="286"/>
      <c r="L2" s="286"/>
      <c r="M2" s="286"/>
      <c r="N2" s="286"/>
      <c r="O2" s="286"/>
      <c r="P2" s="286"/>
      <c r="Q2" s="286"/>
      <c r="R2" s="286"/>
      <c r="S2" s="286"/>
      <c r="T2" s="286"/>
      <c r="U2" s="286"/>
      <c r="V2" s="286"/>
      <c r="W2" s="286"/>
      <c r="X2" s="286"/>
      <c r="Y2" s="286"/>
      <c r="Z2" s="241" t="s">
        <v>38</v>
      </c>
      <c r="AA2" s="59">
        <v>2</v>
      </c>
      <c r="AB2" s="32" t="s">
        <v>45</v>
      </c>
      <c r="AC2" s="165">
        <f>IF(ISBLANK(Cover!Q7),"",Cover!Q7)</f>
        <v>3</v>
      </c>
    </row>
    <row r="3" spans="1:29" s="9" customFormat="1" ht="20.100000000000001" customHeight="1" x14ac:dyDescent="0.2">
      <c r="A3" s="284" t="s">
        <v>46</v>
      </c>
      <c r="B3" s="284" t="s">
        <v>0</v>
      </c>
      <c r="C3" s="284" t="s">
        <v>1</v>
      </c>
      <c r="D3" s="287" t="s">
        <v>83</v>
      </c>
      <c r="E3" s="288"/>
      <c r="F3" s="276" t="s">
        <v>2</v>
      </c>
      <c r="G3" s="277"/>
      <c r="H3" s="277"/>
      <c r="I3" s="276" t="s">
        <v>5</v>
      </c>
      <c r="J3" s="277"/>
      <c r="K3" s="277"/>
      <c r="L3" s="276" t="s">
        <v>8</v>
      </c>
      <c r="M3" s="278"/>
      <c r="N3" s="242" t="s">
        <v>6</v>
      </c>
      <c r="O3" s="242" t="s">
        <v>22</v>
      </c>
      <c r="P3" s="283" t="s">
        <v>81</v>
      </c>
      <c r="Q3" s="277"/>
      <c r="R3" s="278"/>
      <c r="S3" s="276" t="s">
        <v>77</v>
      </c>
      <c r="T3" s="277"/>
      <c r="U3" s="277"/>
      <c r="V3" s="276" t="s">
        <v>78</v>
      </c>
      <c r="W3" s="277"/>
      <c r="X3" s="278"/>
      <c r="Y3" s="291" t="s">
        <v>82</v>
      </c>
      <c r="Z3" s="295" t="s">
        <v>11</v>
      </c>
      <c r="AA3" s="296"/>
      <c r="AB3" s="296"/>
      <c r="AC3" s="297"/>
    </row>
    <row r="4" spans="1:29" s="9" customFormat="1" ht="20.100000000000001" customHeight="1" thickBot="1" x14ac:dyDescent="0.25">
      <c r="A4" s="285"/>
      <c r="B4" s="285"/>
      <c r="C4" s="285"/>
      <c r="D4" s="289"/>
      <c r="E4" s="290"/>
      <c r="F4" s="61" t="s">
        <v>3</v>
      </c>
      <c r="G4" s="281" t="s">
        <v>4</v>
      </c>
      <c r="H4" s="282"/>
      <c r="I4" s="61" t="s">
        <v>3</v>
      </c>
      <c r="J4" s="281" t="s">
        <v>4</v>
      </c>
      <c r="K4" s="282"/>
      <c r="L4" s="61" t="s">
        <v>9</v>
      </c>
      <c r="M4" s="245" t="s">
        <v>10</v>
      </c>
      <c r="N4" s="243" t="s">
        <v>7</v>
      </c>
      <c r="O4" s="244" t="s">
        <v>23</v>
      </c>
      <c r="P4" s="158" t="s">
        <v>16</v>
      </c>
      <c r="Q4" s="175" t="s">
        <v>75</v>
      </c>
      <c r="R4" s="155" t="s">
        <v>76</v>
      </c>
      <c r="S4" s="61" t="s">
        <v>80</v>
      </c>
      <c r="T4" s="281" t="s">
        <v>79</v>
      </c>
      <c r="U4" s="282"/>
      <c r="V4" s="61" t="s">
        <v>80</v>
      </c>
      <c r="W4" s="281" t="s">
        <v>79</v>
      </c>
      <c r="X4" s="282"/>
      <c r="Y4" s="292"/>
      <c r="Z4" s="298"/>
      <c r="AA4" s="299"/>
      <c r="AB4" s="299"/>
      <c r="AC4" s="300"/>
    </row>
    <row r="5" spans="1:29" s="9" customFormat="1" ht="20.100000000000001" customHeight="1" x14ac:dyDescent="0.2">
      <c r="A5" s="80"/>
      <c r="B5" s="81"/>
      <c r="C5" s="80"/>
      <c r="D5" s="82"/>
      <c r="E5" s="83"/>
      <c r="F5" s="168"/>
      <c r="G5" s="85"/>
      <c r="H5" s="86"/>
      <c r="I5" s="84"/>
      <c r="J5" s="85"/>
      <c r="K5" s="86"/>
      <c r="L5" s="87"/>
      <c r="M5" s="88"/>
      <c r="N5" s="89"/>
      <c r="O5" s="249"/>
      <c r="P5" s="177"/>
      <c r="Q5" s="176"/>
      <c r="R5" s="156"/>
      <c r="S5" s="166"/>
      <c r="T5" s="159"/>
      <c r="U5" s="160"/>
      <c r="V5" s="166"/>
      <c r="W5" s="159"/>
      <c r="X5" s="160"/>
      <c r="Y5" s="162"/>
      <c r="Z5" s="269"/>
      <c r="AA5" s="270"/>
      <c r="AB5" s="270"/>
      <c r="AC5" s="271"/>
    </row>
    <row r="6" spans="1:29" s="9" customFormat="1" ht="20.100000000000001" customHeight="1" x14ac:dyDescent="0.2">
      <c r="A6" s="63"/>
      <c r="B6" s="64"/>
      <c r="C6" s="63"/>
      <c r="D6" s="65"/>
      <c r="E6" s="66"/>
      <c r="F6" s="67"/>
      <c r="G6" s="41"/>
      <c r="H6" s="68"/>
      <c r="I6" s="67"/>
      <c r="J6" s="41"/>
      <c r="K6" s="68"/>
      <c r="L6" s="69"/>
      <c r="M6" s="70"/>
      <c r="N6" s="71"/>
      <c r="O6" s="173"/>
      <c r="P6" s="178"/>
      <c r="Q6" s="246"/>
      <c r="R6" s="157"/>
      <c r="S6" s="167"/>
      <c r="T6" s="41"/>
      <c r="U6" s="68"/>
      <c r="V6" s="167"/>
      <c r="W6" s="41"/>
      <c r="X6" s="68"/>
      <c r="Y6" s="161"/>
      <c r="Z6" s="272"/>
      <c r="AA6" s="273"/>
      <c r="AB6" s="273"/>
      <c r="AC6" s="274"/>
    </row>
    <row r="7" spans="1:29" s="18" customFormat="1" ht="20.100000000000001" customHeight="1" x14ac:dyDescent="0.2">
      <c r="A7" s="63"/>
      <c r="B7" s="64"/>
      <c r="C7" s="63"/>
      <c r="D7" s="65"/>
      <c r="E7" s="66"/>
      <c r="F7" s="67"/>
      <c r="G7" s="41"/>
      <c r="H7" s="68"/>
      <c r="I7" s="67"/>
      <c r="J7" s="41"/>
      <c r="K7" s="68"/>
      <c r="L7" s="69"/>
      <c r="M7" s="70"/>
      <c r="N7" s="71"/>
      <c r="O7" s="173"/>
      <c r="P7" s="178"/>
      <c r="Q7" s="246"/>
      <c r="R7" s="157"/>
      <c r="S7" s="167"/>
      <c r="T7" s="41"/>
      <c r="U7" s="68"/>
      <c r="V7" s="167"/>
      <c r="W7" s="41"/>
      <c r="X7" s="68"/>
      <c r="Y7" s="161"/>
      <c r="Z7" s="272"/>
      <c r="AA7" s="273"/>
      <c r="AB7" s="273"/>
      <c r="AC7" s="274"/>
    </row>
    <row r="8" spans="1:29" s="18" customFormat="1" ht="20.100000000000001" customHeight="1" x14ac:dyDescent="0.2">
      <c r="A8" s="63"/>
      <c r="B8" s="64"/>
      <c r="C8" s="63"/>
      <c r="D8" s="65"/>
      <c r="E8" s="66"/>
      <c r="F8" s="67"/>
      <c r="G8" s="41"/>
      <c r="H8" s="68"/>
      <c r="I8" s="67"/>
      <c r="J8" s="41"/>
      <c r="K8" s="68"/>
      <c r="L8" s="69"/>
      <c r="M8" s="70"/>
      <c r="N8" s="71"/>
      <c r="O8" s="173"/>
      <c r="P8" s="178"/>
      <c r="Q8" s="246"/>
      <c r="R8" s="157"/>
      <c r="S8" s="167"/>
      <c r="T8" s="41"/>
      <c r="U8" s="68"/>
      <c r="V8" s="167"/>
      <c r="W8" s="41"/>
      <c r="X8" s="68"/>
      <c r="Y8" s="161"/>
      <c r="Z8" s="272"/>
      <c r="AA8" s="273"/>
      <c r="AB8" s="273"/>
      <c r="AC8" s="274"/>
    </row>
    <row r="9" spans="1:29" s="18" customFormat="1" ht="20.100000000000001" customHeight="1" x14ac:dyDescent="0.2">
      <c r="A9" s="63"/>
      <c r="B9" s="64"/>
      <c r="C9" s="63"/>
      <c r="D9" s="65"/>
      <c r="E9" s="66"/>
      <c r="F9" s="67"/>
      <c r="G9" s="41"/>
      <c r="H9" s="68"/>
      <c r="I9" s="67"/>
      <c r="J9" s="41"/>
      <c r="K9" s="68"/>
      <c r="L9" s="69"/>
      <c r="M9" s="70"/>
      <c r="N9" s="71"/>
      <c r="O9" s="173"/>
      <c r="P9" s="178"/>
      <c r="Q9" s="246"/>
      <c r="R9" s="157"/>
      <c r="S9" s="167"/>
      <c r="T9" s="41"/>
      <c r="U9" s="68"/>
      <c r="V9" s="167"/>
      <c r="W9" s="41"/>
      <c r="X9" s="68"/>
      <c r="Y9" s="161"/>
      <c r="Z9" s="272"/>
      <c r="AA9" s="273"/>
      <c r="AB9" s="273"/>
      <c r="AC9" s="274"/>
    </row>
    <row r="10" spans="1:29" s="18" customFormat="1" ht="19.5" customHeight="1" x14ac:dyDescent="0.2">
      <c r="A10" s="63"/>
      <c r="B10" s="64"/>
      <c r="C10" s="63"/>
      <c r="D10" s="65"/>
      <c r="E10" s="66"/>
      <c r="F10" s="67"/>
      <c r="G10" s="41"/>
      <c r="H10" s="68"/>
      <c r="I10" s="67"/>
      <c r="J10" s="41"/>
      <c r="K10" s="68"/>
      <c r="L10" s="69"/>
      <c r="M10" s="70"/>
      <c r="N10" s="71"/>
      <c r="O10" s="173"/>
      <c r="P10" s="178"/>
      <c r="Q10" s="246"/>
      <c r="R10" s="157"/>
      <c r="S10" s="167"/>
      <c r="T10" s="41"/>
      <c r="U10" s="68"/>
      <c r="V10" s="167"/>
      <c r="W10" s="41"/>
      <c r="X10" s="68"/>
      <c r="Y10" s="161"/>
      <c r="Z10" s="272"/>
      <c r="AA10" s="273"/>
      <c r="AB10" s="273"/>
      <c r="AC10" s="274"/>
    </row>
    <row r="11" spans="1:29" s="18" customFormat="1" ht="20.100000000000001" customHeight="1" x14ac:dyDescent="0.2">
      <c r="A11" s="63"/>
      <c r="B11" s="64"/>
      <c r="C11" s="63"/>
      <c r="D11" s="65"/>
      <c r="E11" s="66"/>
      <c r="F11" s="67"/>
      <c r="G11" s="41"/>
      <c r="H11" s="68"/>
      <c r="I11" s="67"/>
      <c r="J11" s="41"/>
      <c r="K11" s="68"/>
      <c r="L11" s="69"/>
      <c r="M11" s="70"/>
      <c r="N11" s="71"/>
      <c r="O11" s="173"/>
      <c r="P11" s="178"/>
      <c r="Q11" s="246"/>
      <c r="R11" s="157"/>
      <c r="S11" s="167"/>
      <c r="T11" s="41"/>
      <c r="U11" s="68"/>
      <c r="V11" s="167"/>
      <c r="W11" s="41"/>
      <c r="X11" s="68"/>
      <c r="Y11" s="161"/>
      <c r="Z11" s="272"/>
      <c r="AA11" s="273"/>
      <c r="AB11" s="273"/>
      <c r="AC11" s="274"/>
    </row>
    <row r="12" spans="1:29" s="18" customFormat="1" ht="20.100000000000001" customHeight="1" x14ac:dyDescent="0.2">
      <c r="A12" s="63"/>
      <c r="B12" s="64"/>
      <c r="C12" s="63"/>
      <c r="D12" s="65"/>
      <c r="E12" s="66"/>
      <c r="F12" s="67"/>
      <c r="G12" s="41"/>
      <c r="H12" s="68"/>
      <c r="I12" s="67"/>
      <c r="J12" s="41"/>
      <c r="K12" s="68"/>
      <c r="L12" s="69"/>
      <c r="M12" s="70"/>
      <c r="N12" s="71"/>
      <c r="O12" s="173"/>
      <c r="P12" s="178"/>
      <c r="Q12" s="246"/>
      <c r="R12" s="157"/>
      <c r="S12" s="167"/>
      <c r="T12" s="41"/>
      <c r="U12" s="68"/>
      <c r="V12" s="167"/>
      <c r="W12" s="41"/>
      <c r="X12" s="68"/>
      <c r="Y12" s="161"/>
      <c r="Z12" s="272"/>
      <c r="AA12" s="273"/>
      <c r="AB12" s="273"/>
      <c r="AC12" s="274"/>
    </row>
    <row r="13" spans="1:29" s="18" customFormat="1" ht="20.100000000000001" customHeight="1" x14ac:dyDescent="0.2">
      <c r="A13" s="63"/>
      <c r="B13" s="64"/>
      <c r="C13" s="63"/>
      <c r="D13" s="65"/>
      <c r="E13" s="66"/>
      <c r="F13" s="67"/>
      <c r="G13" s="41"/>
      <c r="H13" s="68"/>
      <c r="I13" s="67"/>
      <c r="J13" s="41"/>
      <c r="K13" s="68"/>
      <c r="L13" s="69"/>
      <c r="M13" s="70"/>
      <c r="N13" s="71"/>
      <c r="O13" s="173"/>
      <c r="P13" s="178"/>
      <c r="Q13" s="246"/>
      <c r="R13" s="157"/>
      <c r="S13" s="167"/>
      <c r="T13" s="41"/>
      <c r="U13" s="68"/>
      <c r="V13" s="167"/>
      <c r="W13" s="41"/>
      <c r="X13" s="68"/>
      <c r="Y13" s="161"/>
      <c r="Z13" s="272"/>
      <c r="AA13" s="273"/>
      <c r="AB13" s="273"/>
      <c r="AC13" s="274"/>
    </row>
    <row r="14" spans="1:29" s="18" customFormat="1" ht="20.100000000000001" customHeight="1" x14ac:dyDescent="0.2">
      <c r="A14" s="63"/>
      <c r="B14" s="64"/>
      <c r="C14" s="63"/>
      <c r="D14" s="65"/>
      <c r="E14" s="66"/>
      <c r="F14" s="67"/>
      <c r="G14" s="41"/>
      <c r="H14" s="68"/>
      <c r="I14" s="67"/>
      <c r="J14" s="41"/>
      <c r="K14" s="68"/>
      <c r="L14" s="69"/>
      <c r="M14" s="70"/>
      <c r="N14" s="71"/>
      <c r="O14" s="173"/>
      <c r="P14" s="178"/>
      <c r="Q14" s="246"/>
      <c r="R14" s="157"/>
      <c r="S14" s="167"/>
      <c r="T14" s="41"/>
      <c r="U14" s="68"/>
      <c r="V14" s="167"/>
      <c r="W14" s="41"/>
      <c r="X14" s="68"/>
      <c r="Y14" s="161"/>
      <c r="Z14" s="272"/>
      <c r="AA14" s="273"/>
      <c r="AB14" s="273"/>
      <c r="AC14" s="274"/>
    </row>
    <row r="15" spans="1:29" s="18" customFormat="1" ht="20.100000000000001" customHeight="1" x14ac:dyDescent="0.2">
      <c r="A15" s="63"/>
      <c r="B15" s="64"/>
      <c r="C15" s="63"/>
      <c r="D15" s="65"/>
      <c r="E15" s="66"/>
      <c r="F15" s="67"/>
      <c r="G15" s="41"/>
      <c r="H15" s="68"/>
      <c r="I15" s="67"/>
      <c r="J15" s="41"/>
      <c r="K15" s="68"/>
      <c r="L15" s="69"/>
      <c r="M15" s="70"/>
      <c r="N15" s="71"/>
      <c r="O15" s="173"/>
      <c r="P15" s="178"/>
      <c r="Q15" s="246"/>
      <c r="R15" s="157"/>
      <c r="S15" s="167"/>
      <c r="T15" s="41"/>
      <c r="U15" s="68"/>
      <c r="V15" s="167"/>
      <c r="W15" s="41"/>
      <c r="X15" s="68"/>
      <c r="Y15" s="161"/>
      <c r="Z15" s="272"/>
      <c r="AA15" s="273"/>
      <c r="AB15" s="273"/>
      <c r="AC15" s="274"/>
    </row>
    <row r="16" spans="1:29" s="18" customFormat="1" ht="20.100000000000001" customHeight="1" x14ac:dyDescent="0.2">
      <c r="A16" s="63"/>
      <c r="B16" s="64"/>
      <c r="C16" s="63"/>
      <c r="D16" s="65"/>
      <c r="E16" s="66"/>
      <c r="F16" s="67"/>
      <c r="G16" s="41"/>
      <c r="H16" s="68"/>
      <c r="I16" s="67"/>
      <c r="J16" s="41"/>
      <c r="K16" s="68"/>
      <c r="L16" s="69"/>
      <c r="M16" s="70"/>
      <c r="N16" s="71"/>
      <c r="O16" s="173"/>
      <c r="P16" s="178"/>
      <c r="Q16" s="246"/>
      <c r="R16" s="157"/>
      <c r="S16" s="167"/>
      <c r="T16" s="41"/>
      <c r="U16" s="68"/>
      <c r="V16" s="167"/>
      <c r="W16" s="41"/>
      <c r="X16" s="68"/>
      <c r="Y16" s="161"/>
      <c r="Z16" s="272"/>
      <c r="AA16" s="273"/>
      <c r="AB16" s="273"/>
      <c r="AC16" s="274"/>
    </row>
    <row r="17" spans="1:29" s="18" customFormat="1" ht="20.100000000000001" customHeight="1" x14ac:dyDescent="0.2">
      <c r="A17" s="63"/>
      <c r="B17" s="64"/>
      <c r="C17" s="63"/>
      <c r="D17" s="65"/>
      <c r="E17" s="66"/>
      <c r="F17" s="67"/>
      <c r="G17" s="41"/>
      <c r="H17" s="68"/>
      <c r="I17" s="67"/>
      <c r="J17" s="41"/>
      <c r="K17" s="68"/>
      <c r="L17" s="69"/>
      <c r="M17" s="70"/>
      <c r="N17" s="71"/>
      <c r="O17" s="173"/>
      <c r="P17" s="178"/>
      <c r="Q17" s="246"/>
      <c r="R17" s="157"/>
      <c r="S17" s="167"/>
      <c r="T17" s="41"/>
      <c r="U17" s="68"/>
      <c r="V17" s="167"/>
      <c r="W17" s="41"/>
      <c r="X17" s="68"/>
      <c r="Y17" s="161"/>
      <c r="Z17" s="272"/>
      <c r="AA17" s="273"/>
      <c r="AB17" s="273"/>
      <c r="AC17" s="274"/>
    </row>
    <row r="18" spans="1:29" s="18" customFormat="1" ht="20.100000000000001" customHeight="1" x14ac:dyDescent="0.2">
      <c r="A18" s="63"/>
      <c r="B18" s="64"/>
      <c r="C18" s="63"/>
      <c r="D18" s="65"/>
      <c r="E18" s="66"/>
      <c r="F18" s="67"/>
      <c r="G18" s="41"/>
      <c r="H18" s="68"/>
      <c r="I18" s="67"/>
      <c r="J18" s="41"/>
      <c r="K18" s="68"/>
      <c r="L18" s="69"/>
      <c r="M18" s="70"/>
      <c r="N18" s="71"/>
      <c r="O18" s="173"/>
      <c r="P18" s="178"/>
      <c r="Q18" s="246"/>
      <c r="R18" s="157"/>
      <c r="S18" s="167"/>
      <c r="T18" s="41"/>
      <c r="U18" s="68"/>
      <c r="V18" s="167"/>
      <c r="W18" s="41"/>
      <c r="X18" s="68"/>
      <c r="Y18" s="161"/>
      <c r="Z18" s="272"/>
      <c r="AA18" s="273"/>
      <c r="AB18" s="273"/>
      <c r="AC18" s="274"/>
    </row>
    <row r="19" spans="1:29" s="18" customFormat="1" ht="20.100000000000001" customHeight="1" x14ac:dyDescent="0.2">
      <c r="A19" s="63"/>
      <c r="B19" s="64"/>
      <c r="C19" s="63"/>
      <c r="D19" s="65"/>
      <c r="E19" s="66"/>
      <c r="F19" s="67"/>
      <c r="G19" s="41"/>
      <c r="H19" s="68"/>
      <c r="I19" s="67"/>
      <c r="J19" s="41"/>
      <c r="K19" s="68"/>
      <c r="L19" s="69"/>
      <c r="M19" s="70"/>
      <c r="N19" s="71"/>
      <c r="O19" s="173"/>
      <c r="P19" s="178"/>
      <c r="Q19" s="246"/>
      <c r="R19" s="157"/>
      <c r="S19" s="167"/>
      <c r="T19" s="41"/>
      <c r="U19" s="68"/>
      <c r="V19" s="167"/>
      <c r="W19" s="41"/>
      <c r="X19" s="68"/>
      <c r="Y19" s="161"/>
      <c r="Z19" s="272"/>
      <c r="AA19" s="273"/>
      <c r="AB19" s="273"/>
      <c r="AC19" s="274"/>
    </row>
    <row r="20" spans="1:29" s="18" customFormat="1" ht="20.100000000000001" customHeight="1" x14ac:dyDescent="0.2">
      <c r="A20" s="63"/>
      <c r="B20" s="64"/>
      <c r="C20" s="63"/>
      <c r="D20" s="65"/>
      <c r="E20" s="66"/>
      <c r="F20" s="67"/>
      <c r="G20" s="41"/>
      <c r="H20" s="68"/>
      <c r="I20" s="67"/>
      <c r="J20" s="41"/>
      <c r="K20" s="68"/>
      <c r="L20" s="69"/>
      <c r="M20" s="70"/>
      <c r="N20" s="71"/>
      <c r="O20" s="173"/>
      <c r="P20" s="178"/>
      <c r="Q20" s="246"/>
      <c r="R20" s="157"/>
      <c r="S20" s="167"/>
      <c r="T20" s="41"/>
      <c r="U20" s="68"/>
      <c r="V20" s="167"/>
      <c r="W20" s="41"/>
      <c r="X20" s="68"/>
      <c r="Y20" s="161"/>
      <c r="Z20" s="272"/>
      <c r="AA20" s="273"/>
      <c r="AB20" s="273"/>
      <c r="AC20" s="274"/>
    </row>
    <row r="21" spans="1:29" s="18" customFormat="1" ht="20.100000000000001" customHeight="1" x14ac:dyDescent="0.2">
      <c r="A21" s="63"/>
      <c r="B21" s="64"/>
      <c r="C21" s="63"/>
      <c r="D21" s="65"/>
      <c r="E21" s="66"/>
      <c r="F21" s="67"/>
      <c r="G21" s="41"/>
      <c r="H21" s="68"/>
      <c r="I21" s="67"/>
      <c r="J21" s="41"/>
      <c r="K21" s="68"/>
      <c r="L21" s="69"/>
      <c r="M21" s="70"/>
      <c r="N21" s="71"/>
      <c r="O21" s="173"/>
      <c r="P21" s="178"/>
      <c r="Q21" s="246"/>
      <c r="R21" s="157"/>
      <c r="S21" s="167"/>
      <c r="T21" s="41"/>
      <c r="U21" s="68"/>
      <c r="V21" s="167"/>
      <c r="W21" s="41"/>
      <c r="X21" s="68"/>
      <c r="Y21" s="161"/>
      <c r="Z21" s="272"/>
      <c r="AA21" s="273"/>
      <c r="AB21" s="273"/>
      <c r="AC21" s="274"/>
    </row>
    <row r="22" spans="1:29" s="18" customFormat="1" ht="20.100000000000001" customHeight="1" x14ac:dyDescent="0.2">
      <c r="A22" s="63"/>
      <c r="B22" s="64"/>
      <c r="C22" s="63"/>
      <c r="D22" s="65"/>
      <c r="E22" s="66"/>
      <c r="F22" s="67"/>
      <c r="G22" s="41"/>
      <c r="H22" s="68"/>
      <c r="I22" s="67"/>
      <c r="J22" s="41"/>
      <c r="K22" s="68"/>
      <c r="L22" s="69"/>
      <c r="M22" s="70"/>
      <c r="N22" s="71"/>
      <c r="O22" s="173"/>
      <c r="P22" s="178"/>
      <c r="Q22" s="246"/>
      <c r="R22" s="157"/>
      <c r="S22" s="167"/>
      <c r="T22" s="41"/>
      <c r="U22" s="68"/>
      <c r="V22" s="167"/>
      <c r="W22" s="41"/>
      <c r="X22" s="68"/>
      <c r="Y22" s="161"/>
      <c r="Z22" s="272"/>
      <c r="AA22" s="273"/>
      <c r="AB22" s="273"/>
      <c r="AC22" s="274"/>
    </row>
    <row r="23" spans="1:29" s="18" customFormat="1" ht="20.100000000000001" customHeight="1" x14ac:dyDescent="0.2">
      <c r="A23" s="63"/>
      <c r="B23" s="64"/>
      <c r="C23" s="63"/>
      <c r="D23" s="65"/>
      <c r="E23" s="66"/>
      <c r="F23" s="67"/>
      <c r="G23" s="41"/>
      <c r="H23" s="68"/>
      <c r="I23" s="67"/>
      <c r="J23" s="41"/>
      <c r="K23" s="68"/>
      <c r="L23" s="69"/>
      <c r="M23" s="70"/>
      <c r="N23" s="71"/>
      <c r="O23" s="173"/>
      <c r="P23" s="178"/>
      <c r="Q23" s="246"/>
      <c r="R23" s="157"/>
      <c r="S23" s="167"/>
      <c r="T23" s="41"/>
      <c r="U23" s="68"/>
      <c r="V23" s="167"/>
      <c r="W23" s="41"/>
      <c r="X23" s="68"/>
      <c r="Y23" s="161"/>
      <c r="Z23" s="272"/>
      <c r="AA23" s="273"/>
      <c r="AB23" s="273"/>
      <c r="AC23" s="274"/>
    </row>
    <row r="24" spans="1:29" s="18" customFormat="1" ht="20.100000000000001" customHeight="1" x14ac:dyDescent="0.2">
      <c r="A24" s="63"/>
      <c r="B24" s="64"/>
      <c r="C24" s="63"/>
      <c r="D24" s="65"/>
      <c r="E24" s="66"/>
      <c r="F24" s="67"/>
      <c r="G24" s="41"/>
      <c r="H24" s="68"/>
      <c r="I24" s="67"/>
      <c r="J24" s="41"/>
      <c r="K24" s="68"/>
      <c r="L24" s="69"/>
      <c r="M24" s="70"/>
      <c r="N24" s="71"/>
      <c r="O24" s="173"/>
      <c r="P24" s="178"/>
      <c r="Q24" s="246"/>
      <c r="R24" s="157"/>
      <c r="S24" s="167"/>
      <c r="T24" s="41"/>
      <c r="U24" s="68"/>
      <c r="V24" s="167"/>
      <c r="W24" s="41"/>
      <c r="X24" s="68"/>
      <c r="Y24" s="161"/>
      <c r="Z24" s="272"/>
      <c r="AA24" s="273"/>
      <c r="AB24" s="273"/>
      <c r="AC24" s="274"/>
    </row>
    <row r="25" spans="1:29" s="18" customFormat="1" ht="20.100000000000001" customHeight="1" x14ac:dyDescent="0.2">
      <c r="A25" s="63"/>
      <c r="B25" s="64"/>
      <c r="C25" s="63"/>
      <c r="D25" s="65"/>
      <c r="E25" s="66"/>
      <c r="F25" s="67"/>
      <c r="G25" s="41"/>
      <c r="H25" s="68"/>
      <c r="I25" s="67"/>
      <c r="J25" s="41"/>
      <c r="K25" s="68"/>
      <c r="L25" s="69"/>
      <c r="M25" s="70"/>
      <c r="N25" s="71"/>
      <c r="O25" s="173"/>
      <c r="P25" s="178"/>
      <c r="Q25" s="246"/>
      <c r="R25" s="157"/>
      <c r="S25" s="167"/>
      <c r="T25" s="41"/>
      <c r="U25" s="68"/>
      <c r="V25" s="167"/>
      <c r="W25" s="41"/>
      <c r="X25" s="68"/>
      <c r="Y25" s="161"/>
      <c r="Z25" s="272"/>
      <c r="AA25" s="273"/>
      <c r="AB25" s="273"/>
      <c r="AC25" s="274"/>
    </row>
    <row r="26" spans="1:29" s="18" customFormat="1" ht="20.100000000000001" customHeight="1" x14ac:dyDescent="0.2">
      <c r="A26" s="63"/>
      <c r="B26" s="64"/>
      <c r="C26" s="63"/>
      <c r="D26" s="65"/>
      <c r="E26" s="66"/>
      <c r="F26" s="67"/>
      <c r="G26" s="41"/>
      <c r="H26" s="68"/>
      <c r="I26" s="67"/>
      <c r="J26" s="41"/>
      <c r="K26" s="68"/>
      <c r="L26" s="69"/>
      <c r="M26" s="70"/>
      <c r="N26" s="71"/>
      <c r="O26" s="173"/>
      <c r="P26" s="178"/>
      <c r="Q26" s="246"/>
      <c r="R26" s="157"/>
      <c r="S26" s="167"/>
      <c r="T26" s="41"/>
      <c r="U26" s="68"/>
      <c r="V26" s="167"/>
      <c r="W26" s="41"/>
      <c r="X26" s="68"/>
      <c r="Y26" s="161"/>
      <c r="Z26" s="272"/>
      <c r="AA26" s="273"/>
      <c r="AB26" s="273"/>
      <c r="AC26" s="274"/>
    </row>
    <row r="27" spans="1:29" s="18" customFormat="1" ht="20.100000000000001" customHeight="1" x14ac:dyDescent="0.2">
      <c r="A27" s="63"/>
      <c r="B27" s="64"/>
      <c r="C27" s="63"/>
      <c r="D27" s="65"/>
      <c r="E27" s="66"/>
      <c r="F27" s="67"/>
      <c r="G27" s="41"/>
      <c r="H27" s="68"/>
      <c r="I27" s="67"/>
      <c r="J27" s="41"/>
      <c r="K27" s="68"/>
      <c r="L27" s="69"/>
      <c r="M27" s="70"/>
      <c r="N27" s="71"/>
      <c r="O27" s="173"/>
      <c r="P27" s="178"/>
      <c r="Q27" s="246"/>
      <c r="R27" s="157"/>
      <c r="S27" s="167"/>
      <c r="T27" s="41"/>
      <c r="U27" s="68"/>
      <c r="V27" s="167"/>
      <c r="W27" s="41"/>
      <c r="X27" s="68"/>
      <c r="Y27" s="161"/>
      <c r="Z27" s="272"/>
      <c r="AA27" s="273"/>
      <c r="AB27" s="273"/>
      <c r="AC27" s="274"/>
    </row>
    <row r="28" spans="1:29" s="18" customFormat="1" ht="20.100000000000001" customHeight="1" x14ac:dyDescent="0.2">
      <c r="A28" s="63"/>
      <c r="B28" s="64"/>
      <c r="C28" s="63"/>
      <c r="D28" s="65"/>
      <c r="E28" s="66"/>
      <c r="F28" s="67"/>
      <c r="G28" s="41"/>
      <c r="H28" s="68"/>
      <c r="I28" s="67"/>
      <c r="J28" s="41"/>
      <c r="K28" s="68"/>
      <c r="L28" s="69"/>
      <c r="M28" s="70"/>
      <c r="N28" s="71"/>
      <c r="O28" s="173"/>
      <c r="P28" s="178"/>
      <c r="Q28" s="246"/>
      <c r="R28" s="157"/>
      <c r="S28" s="167"/>
      <c r="T28" s="41"/>
      <c r="U28" s="68"/>
      <c r="V28" s="167"/>
      <c r="W28" s="41"/>
      <c r="X28" s="68"/>
      <c r="Y28" s="161"/>
      <c r="Z28" s="272"/>
      <c r="AA28" s="273"/>
      <c r="AB28" s="273"/>
      <c r="AC28" s="274"/>
    </row>
    <row r="29" spans="1:29" s="18" customFormat="1" ht="20.100000000000001" customHeight="1" x14ac:dyDescent="0.2">
      <c r="A29" s="63"/>
      <c r="B29" s="64"/>
      <c r="C29" s="63"/>
      <c r="D29" s="65"/>
      <c r="E29" s="66"/>
      <c r="F29" s="67"/>
      <c r="G29" s="41"/>
      <c r="H29" s="68"/>
      <c r="I29" s="67"/>
      <c r="J29" s="41"/>
      <c r="K29" s="68"/>
      <c r="L29" s="69"/>
      <c r="M29" s="70"/>
      <c r="N29" s="71"/>
      <c r="O29" s="173"/>
      <c r="P29" s="178"/>
      <c r="Q29" s="246"/>
      <c r="R29" s="157"/>
      <c r="S29" s="167"/>
      <c r="T29" s="41"/>
      <c r="U29" s="68"/>
      <c r="V29" s="167"/>
      <c r="W29" s="41"/>
      <c r="X29" s="68"/>
      <c r="Y29" s="161"/>
      <c r="Z29" s="272"/>
      <c r="AA29" s="273"/>
      <c r="AB29" s="273"/>
      <c r="AC29" s="274"/>
    </row>
    <row r="30" spans="1:29" s="18" customFormat="1" ht="20.100000000000001" customHeight="1" x14ac:dyDescent="0.2">
      <c r="A30" s="63"/>
      <c r="B30" s="64"/>
      <c r="C30" s="63"/>
      <c r="D30" s="65"/>
      <c r="E30" s="66"/>
      <c r="F30" s="67"/>
      <c r="G30" s="41"/>
      <c r="H30" s="68"/>
      <c r="I30" s="67"/>
      <c r="J30" s="41"/>
      <c r="K30" s="68"/>
      <c r="L30" s="69"/>
      <c r="M30" s="70"/>
      <c r="N30" s="71"/>
      <c r="O30" s="173"/>
      <c r="P30" s="178"/>
      <c r="Q30" s="246"/>
      <c r="R30" s="157"/>
      <c r="S30" s="167"/>
      <c r="T30" s="41"/>
      <c r="U30" s="68"/>
      <c r="V30" s="167"/>
      <c r="W30" s="41"/>
      <c r="X30" s="68"/>
      <c r="Y30" s="161"/>
      <c r="Z30" s="272"/>
      <c r="AA30" s="273"/>
      <c r="AB30" s="273"/>
      <c r="AC30" s="274"/>
    </row>
    <row r="31" spans="1:29" s="18" customFormat="1" ht="20.100000000000001" customHeight="1" x14ac:dyDescent="0.2">
      <c r="A31" s="63"/>
      <c r="B31" s="64"/>
      <c r="C31" s="63"/>
      <c r="D31" s="65"/>
      <c r="E31" s="66"/>
      <c r="F31" s="67"/>
      <c r="G31" s="41"/>
      <c r="H31" s="68"/>
      <c r="I31" s="67"/>
      <c r="J31" s="41"/>
      <c r="K31" s="68"/>
      <c r="L31" s="69"/>
      <c r="M31" s="70"/>
      <c r="N31" s="71"/>
      <c r="O31" s="173"/>
      <c r="P31" s="178"/>
      <c r="Q31" s="246"/>
      <c r="R31" s="157"/>
      <c r="S31" s="167"/>
      <c r="T31" s="41"/>
      <c r="U31" s="68"/>
      <c r="V31" s="167"/>
      <c r="W31" s="41"/>
      <c r="X31" s="68"/>
      <c r="Y31" s="161"/>
      <c r="Z31" s="272"/>
      <c r="AA31" s="273"/>
      <c r="AB31" s="273"/>
      <c r="AC31" s="274"/>
    </row>
    <row r="32" spans="1:29" s="18" customFormat="1" ht="20.100000000000001" customHeight="1" x14ac:dyDescent="0.2">
      <c r="A32" s="63"/>
      <c r="B32" s="64"/>
      <c r="C32" s="63"/>
      <c r="D32" s="65"/>
      <c r="E32" s="66"/>
      <c r="F32" s="67"/>
      <c r="G32" s="41"/>
      <c r="H32" s="68"/>
      <c r="I32" s="67"/>
      <c r="J32" s="41"/>
      <c r="K32" s="68"/>
      <c r="L32" s="69"/>
      <c r="M32" s="70"/>
      <c r="N32" s="71"/>
      <c r="O32" s="173"/>
      <c r="P32" s="178"/>
      <c r="Q32" s="246"/>
      <c r="R32" s="157"/>
      <c r="S32" s="167"/>
      <c r="T32" s="41"/>
      <c r="U32" s="68"/>
      <c r="V32" s="167"/>
      <c r="W32" s="41"/>
      <c r="X32" s="68"/>
      <c r="Y32" s="161"/>
      <c r="Z32" s="272"/>
      <c r="AA32" s="273"/>
      <c r="AB32" s="273"/>
      <c r="AC32" s="274"/>
    </row>
    <row r="33" spans="1:29" s="18" customFormat="1" ht="20.100000000000001" customHeight="1" x14ac:dyDescent="0.2">
      <c r="A33" s="63"/>
      <c r="B33" s="64"/>
      <c r="C33" s="63"/>
      <c r="D33" s="65"/>
      <c r="E33" s="66"/>
      <c r="F33" s="67"/>
      <c r="G33" s="41"/>
      <c r="H33" s="68"/>
      <c r="I33" s="67"/>
      <c r="J33" s="41"/>
      <c r="K33" s="68"/>
      <c r="L33" s="69"/>
      <c r="M33" s="70"/>
      <c r="N33" s="71"/>
      <c r="O33" s="173"/>
      <c r="P33" s="178"/>
      <c r="Q33" s="246"/>
      <c r="R33" s="157"/>
      <c r="S33" s="167"/>
      <c r="T33" s="41"/>
      <c r="U33" s="68"/>
      <c r="V33" s="167"/>
      <c r="W33" s="41"/>
      <c r="X33" s="68"/>
      <c r="Y33" s="161"/>
      <c r="Z33" s="272"/>
      <c r="AA33" s="273"/>
      <c r="AB33" s="273"/>
      <c r="AC33" s="274"/>
    </row>
    <row r="34" spans="1:29" s="18" customFormat="1" ht="20.100000000000001" customHeight="1" x14ac:dyDescent="0.2">
      <c r="A34" s="63"/>
      <c r="B34" s="64"/>
      <c r="C34" s="63"/>
      <c r="D34" s="65"/>
      <c r="E34" s="66"/>
      <c r="F34" s="67"/>
      <c r="G34" s="41"/>
      <c r="H34" s="68"/>
      <c r="I34" s="67"/>
      <c r="J34" s="41"/>
      <c r="K34" s="68"/>
      <c r="L34" s="69"/>
      <c r="M34" s="70"/>
      <c r="N34" s="71"/>
      <c r="O34" s="173"/>
      <c r="P34" s="178"/>
      <c r="Q34" s="246"/>
      <c r="R34" s="157"/>
      <c r="S34" s="167"/>
      <c r="T34" s="41"/>
      <c r="U34" s="68"/>
      <c r="V34" s="167"/>
      <c r="W34" s="41"/>
      <c r="X34" s="68"/>
      <c r="Y34" s="161"/>
      <c r="Z34" s="272"/>
      <c r="AA34" s="273"/>
      <c r="AB34" s="273"/>
      <c r="AC34" s="274"/>
    </row>
    <row r="35" spans="1:29" s="18" customFormat="1" ht="20.100000000000001" customHeight="1" x14ac:dyDescent="0.2">
      <c r="A35" s="63"/>
      <c r="B35" s="64"/>
      <c r="C35" s="63"/>
      <c r="D35" s="65"/>
      <c r="E35" s="66"/>
      <c r="F35" s="67"/>
      <c r="G35" s="41"/>
      <c r="H35" s="68"/>
      <c r="I35" s="67"/>
      <c r="J35" s="41"/>
      <c r="K35" s="68"/>
      <c r="L35" s="69"/>
      <c r="M35" s="70"/>
      <c r="N35" s="71"/>
      <c r="O35" s="173"/>
      <c r="P35" s="178"/>
      <c r="Q35" s="246"/>
      <c r="R35" s="157"/>
      <c r="S35" s="167"/>
      <c r="T35" s="41"/>
      <c r="U35" s="68"/>
      <c r="V35" s="167"/>
      <c r="W35" s="41"/>
      <c r="X35" s="68"/>
      <c r="Y35" s="161"/>
      <c r="Z35" s="272"/>
      <c r="AA35" s="273"/>
      <c r="AB35" s="273"/>
      <c r="AC35" s="274"/>
    </row>
    <row r="36" spans="1:29" s="18" customFormat="1" ht="20.100000000000001" customHeight="1" x14ac:dyDescent="0.2">
      <c r="A36" s="63"/>
      <c r="B36" s="64"/>
      <c r="C36" s="63"/>
      <c r="D36" s="65"/>
      <c r="E36" s="66"/>
      <c r="F36" s="67"/>
      <c r="G36" s="41"/>
      <c r="H36" s="68"/>
      <c r="I36" s="67"/>
      <c r="J36" s="41"/>
      <c r="K36" s="68"/>
      <c r="L36" s="69"/>
      <c r="M36" s="70"/>
      <c r="N36" s="71"/>
      <c r="O36" s="173"/>
      <c r="P36" s="178"/>
      <c r="Q36" s="246"/>
      <c r="R36" s="157"/>
      <c r="S36" s="167"/>
      <c r="T36" s="41"/>
      <c r="U36" s="68"/>
      <c r="V36" s="167"/>
      <c r="W36" s="41"/>
      <c r="X36" s="68"/>
      <c r="Y36" s="161"/>
      <c r="Z36" s="272"/>
      <c r="AA36" s="273"/>
      <c r="AB36" s="273"/>
      <c r="AC36" s="274"/>
    </row>
    <row r="37" spans="1:29" s="18" customFormat="1" ht="20.100000000000001" customHeight="1" x14ac:dyDescent="0.2">
      <c r="A37" s="63"/>
      <c r="B37" s="64"/>
      <c r="C37" s="63"/>
      <c r="D37" s="65"/>
      <c r="E37" s="66"/>
      <c r="F37" s="67"/>
      <c r="G37" s="41"/>
      <c r="H37" s="68"/>
      <c r="I37" s="67"/>
      <c r="J37" s="41"/>
      <c r="K37" s="68"/>
      <c r="L37" s="69"/>
      <c r="M37" s="70"/>
      <c r="N37" s="71"/>
      <c r="O37" s="173"/>
      <c r="P37" s="178"/>
      <c r="Q37" s="246"/>
      <c r="R37" s="157"/>
      <c r="S37" s="167"/>
      <c r="T37" s="41"/>
      <c r="U37" s="68"/>
      <c r="V37" s="167"/>
      <c r="W37" s="41"/>
      <c r="X37" s="68"/>
      <c r="Y37" s="161"/>
      <c r="Z37" s="272"/>
      <c r="AA37" s="273"/>
      <c r="AB37" s="273"/>
      <c r="AC37" s="274"/>
    </row>
    <row r="38" spans="1:29" s="18" customFormat="1" ht="20.100000000000001" customHeight="1" x14ac:dyDescent="0.2">
      <c r="A38" s="63"/>
      <c r="B38" s="64"/>
      <c r="C38" s="63"/>
      <c r="D38" s="65"/>
      <c r="E38" s="66"/>
      <c r="F38" s="67"/>
      <c r="G38" s="41"/>
      <c r="H38" s="68"/>
      <c r="I38" s="67"/>
      <c r="J38" s="41"/>
      <c r="K38" s="68"/>
      <c r="L38" s="69"/>
      <c r="M38" s="70"/>
      <c r="N38" s="71"/>
      <c r="O38" s="173"/>
      <c r="P38" s="178"/>
      <c r="Q38" s="246"/>
      <c r="R38" s="157"/>
      <c r="S38" s="167"/>
      <c r="T38" s="41"/>
      <c r="U38" s="68"/>
      <c r="V38" s="167"/>
      <c r="W38" s="41"/>
      <c r="X38" s="68"/>
      <c r="Y38" s="161"/>
      <c r="Z38" s="272"/>
      <c r="AA38" s="273"/>
      <c r="AB38" s="273"/>
      <c r="AC38" s="274"/>
    </row>
    <row r="39" spans="1:29" s="18" customFormat="1" ht="20.100000000000001" customHeight="1" x14ac:dyDescent="0.2">
      <c r="A39" s="63"/>
      <c r="B39" s="64"/>
      <c r="C39" s="63"/>
      <c r="D39" s="65"/>
      <c r="E39" s="66"/>
      <c r="F39" s="67"/>
      <c r="G39" s="41"/>
      <c r="H39" s="68"/>
      <c r="I39" s="67"/>
      <c r="J39" s="41"/>
      <c r="K39" s="68"/>
      <c r="L39" s="69"/>
      <c r="M39" s="70"/>
      <c r="N39" s="71"/>
      <c r="O39" s="173"/>
      <c r="P39" s="178"/>
      <c r="Q39" s="246"/>
      <c r="R39" s="157"/>
      <c r="S39" s="167"/>
      <c r="T39" s="41"/>
      <c r="U39" s="68"/>
      <c r="V39" s="167"/>
      <c r="W39" s="41"/>
      <c r="X39" s="68"/>
      <c r="Y39" s="161"/>
      <c r="Z39" s="272"/>
      <c r="AA39" s="273"/>
      <c r="AB39" s="273"/>
      <c r="AC39" s="274"/>
    </row>
    <row r="40" spans="1:29" s="18" customFormat="1" ht="20.100000000000001" customHeight="1" x14ac:dyDescent="0.2">
      <c r="A40" s="63"/>
      <c r="B40" s="64"/>
      <c r="C40" s="63"/>
      <c r="D40" s="65"/>
      <c r="E40" s="66"/>
      <c r="F40" s="67"/>
      <c r="G40" s="41"/>
      <c r="H40" s="68"/>
      <c r="I40" s="67"/>
      <c r="J40" s="41"/>
      <c r="K40" s="68"/>
      <c r="L40" s="69"/>
      <c r="M40" s="70"/>
      <c r="N40" s="71"/>
      <c r="O40" s="173"/>
      <c r="P40" s="178"/>
      <c r="Q40" s="246"/>
      <c r="R40" s="157"/>
      <c r="S40" s="167"/>
      <c r="T40" s="41"/>
      <c r="U40" s="68"/>
      <c r="V40" s="167"/>
      <c r="W40" s="41"/>
      <c r="X40" s="68"/>
      <c r="Y40" s="161"/>
      <c r="Z40" s="272"/>
      <c r="AA40" s="273"/>
      <c r="AB40" s="273"/>
      <c r="AC40" s="274"/>
    </row>
    <row r="41" spans="1:29" s="18" customFormat="1" ht="20.100000000000001" customHeight="1" thickBot="1" x14ac:dyDescent="0.25">
      <c r="A41" s="73"/>
      <c r="B41" s="72"/>
      <c r="C41" s="73"/>
      <c r="D41" s="90"/>
      <c r="E41" s="91"/>
      <c r="F41" s="92"/>
      <c r="G41" s="93"/>
      <c r="H41" s="94"/>
      <c r="I41" s="92"/>
      <c r="J41" s="93"/>
      <c r="K41" s="94"/>
      <c r="L41" s="95"/>
      <c r="M41" s="96"/>
      <c r="N41" s="97"/>
      <c r="O41" s="174"/>
      <c r="P41" s="179"/>
      <c r="Q41" s="246"/>
      <c r="R41" s="157"/>
      <c r="S41" s="167"/>
      <c r="T41" s="41"/>
      <c r="U41" s="68"/>
      <c r="V41" s="167"/>
      <c r="W41" s="41"/>
      <c r="X41" s="68"/>
      <c r="Y41" s="161"/>
      <c r="Z41" s="272"/>
      <c r="AA41" s="273"/>
      <c r="AB41" s="273"/>
      <c r="AC41" s="274"/>
    </row>
    <row r="42" spans="1:29" s="18" customFormat="1" ht="20.100000000000001" customHeight="1" thickBot="1" x14ac:dyDescent="0.25">
      <c r="A42" s="74" t="s">
        <v>49</v>
      </c>
      <c r="B42" s="267">
        <f>SUM(B5:B41)</f>
        <v>0</v>
      </c>
      <c r="C42" s="268"/>
      <c r="D42" s="264"/>
      <c r="E42" s="265"/>
      <c r="F42" s="265"/>
      <c r="G42" s="265"/>
      <c r="H42" s="265"/>
      <c r="I42" s="265"/>
      <c r="J42" s="265"/>
      <c r="K42" s="265"/>
      <c r="L42" s="265"/>
      <c r="M42" s="265"/>
      <c r="N42" s="265"/>
      <c r="O42" s="265"/>
      <c r="P42" s="265"/>
      <c r="Q42" s="265"/>
      <c r="R42" s="265"/>
      <c r="S42" s="265"/>
      <c r="T42" s="265"/>
      <c r="U42" s="265"/>
      <c r="V42" s="265"/>
      <c r="W42" s="265"/>
      <c r="X42" s="265"/>
      <c r="Y42" s="265"/>
      <c r="Z42" s="265"/>
      <c r="AA42" s="265"/>
      <c r="AB42" s="265"/>
      <c r="AC42" s="266"/>
    </row>
    <row r="43" spans="1:29" s="18" customFormat="1" ht="20.100000000000001" customHeight="1" x14ac:dyDescent="0.2">
      <c r="A43" s="164" t="s">
        <v>25</v>
      </c>
      <c r="B43" s="279"/>
      <c r="C43" s="279"/>
      <c r="D43" s="279"/>
      <c r="E43" s="279"/>
      <c r="F43" s="279"/>
      <c r="G43" s="279"/>
      <c r="H43" s="279"/>
      <c r="I43" s="279"/>
      <c r="J43" s="279"/>
      <c r="K43" s="279"/>
      <c r="L43" s="279"/>
      <c r="M43" s="279"/>
      <c r="N43" s="279"/>
      <c r="O43" s="279"/>
      <c r="P43" s="279"/>
      <c r="Q43" s="279"/>
      <c r="R43" s="279"/>
      <c r="S43" s="279"/>
      <c r="T43" s="279"/>
      <c r="U43" s="279"/>
      <c r="V43" s="279"/>
      <c r="W43" s="279"/>
      <c r="X43" s="279"/>
      <c r="Y43" s="279"/>
      <c r="Z43" s="279"/>
      <c r="AA43" s="279"/>
      <c r="AB43" s="279"/>
      <c r="AC43" s="280"/>
    </row>
    <row r="44" spans="1:29" s="18" customFormat="1" ht="20.100000000000001" customHeight="1" x14ac:dyDescent="0.2">
      <c r="A44" s="272"/>
      <c r="B44" s="273"/>
      <c r="C44" s="273"/>
      <c r="D44" s="273"/>
      <c r="E44" s="273"/>
      <c r="F44" s="273"/>
      <c r="G44" s="273"/>
      <c r="H44" s="273"/>
      <c r="I44" s="273"/>
      <c r="J44" s="273"/>
      <c r="K44" s="273"/>
      <c r="L44" s="273"/>
      <c r="M44" s="273"/>
      <c r="N44" s="273"/>
      <c r="O44" s="273"/>
      <c r="P44" s="273"/>
      <c r="Q44" s="273"/>
      <c r="R44" s="273"/>
      <c r="S44" s="273"/>
      <c r="T44" s="273"/>
      <c r="U44" s="273"/>
      <c r="V44" s="273"/>
      <c r="W44" s="273"/>
      <c r="X44" s="273"/>
      <c r="Y44" s="273"/>
      <c r="Z44" s="273"/>
      <c r="AA44" s="273"/>
      <c r="AB44" s="273"/>
      <c r="AC44" s="274"/>
    </row>
    <row r="45" spans="1:29" s="18" customFormat="1" ht="20.100000000000001" customHeight="1" thickBot="1" x14ac:dyDescent="0.25">
      <c r="A45" s="261"/>
      <c r="B45" s="262"/>
      <c r="C45" s="262"/>
      <c r="D45" s="262"/>
      <c r="E45" s="262"/>
      <c r="F45" s="262"/>
      <c r="G45" s="262"/>
      <c r="H45" s="262"/>
      <c r="I45" s="262"/>
      <c r="J45" s="262"/>
      <c r="K45" s="262"/>
      <c r="L45" s="262"/>
      <c r="M45" s="262"/>
      <c r="N45" s="262"/>
      <c r="O45" s="262"/>
      <c r="P45" s="262"/>
      <c r="Q45" s="262"/>
      <c r="R45" s="262"/>
      <c r="S45" s="262"/>
      <c r="T45" s="262"/>
      <c r="U45" s="262"/>
      <c r="V45" s="262"/>
      <c r="W45" s="262"/>
      <c r="X45" s="262"/>
      <c r="Y45" s="262"/>
      <c r="Z45" s="262"/>
      <c r="AA45" s="262"/>
      <c r="AB45" s="262"/>
      <c r="AC45" s="263"/>
    </row>
    <row r="46" spans="1:29" s="18" customFormat="1" ht="17.45" customHeight="1" x14ac:dyDescent="0.2">
      <c r="A46" s="163"/>
      <c r="B46" s="163"/>
      <c r="C46" s="163"/>
      <c r="D46" s="163"/>
      <c r="E46" s="163"/>
      <c r="F46" s="163"/>
      <c r="G46" s="163"/>
      <c r="H46" s="163"/>
      <c r="I46" s="163"/>
      <c r="J46" s="163"/>
      <c r="K46" s="163"/>
      <c r="L46" s="163"/>
      <c r="M46" s="163"/>
      <c r="N46" s="163"/>
      <c r="O46" s="163"/>
      <c r="Z46" s="163"/>
      <c r="AA46" s="163"/>
      <c r="AB46" s="163"/>
    </row>
    <row r="47" spans="1:29" s="18" customFormat="1" ht="17.45" customHeight="1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Z47" s="17"/>
      <c r="AA47" s="17"/>
      <c r="AB47" s="17"/>
    </row>
    <row r="48" spans="1:29" s="18" customFormat="1" ht="17.45" customHeight="1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Z48" s="17"/>
      <c r="AA48" s="17"/>
      <c r="AB48" s="17"/>
    </row>
    <row r="49" spans="1:28" s="18" customFormat="1" ht="17.45" customHeight="1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Z49" s="17"/>
      <c r="AA49" s="17"/>
      <c r="AB49" s="17"/>
    </row>
    <row r="50" spans="1:28" s="18" customFormat="1" ht="17.45" customHeight="1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Z50" s="17"/>
      <c r="AA50" s="17"/>
      <c r="AB50" s="17"/>
    </row>
    <row r="51" spans="1:28" s="18" customFormat="1" ht="17.45" customHeight="1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Z51" s="17"/>
      <c r="AA51" s="17"/>
      <c r="AB51" s="17"/>
    </row>
    <row r="52" spans="1:28" s="18" customFormat="1" ht="15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Z52" s="17"/>
      <c r="AA52" s="17"/>
      <c r="AB52" s="17"/>
    </row>
    <row r="53" spans="1:28" s="18" customFormat="1" ht="15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Z53" s="17"/>
      <c r="AA53" s="17"/>
      <c r="AB53" s="17"/>
    </row>
    <row r="54" spans="1:28" s="18" customFormat="1" ht="15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Z54" s="17"/>
      <c r="AA54" s="17"/>
      <c r="AB54" s="17"/>
    </row>
    <row r="55" spans="1:28" s="18" customFormat="1" ht="15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Z55" s="17"/>
      <c r="AA55" s="17"/>
      <c r="AB55" s="17"/>
    </row>
  </sheetData>
  <sheetProtection password="FEA9" sheet="1" objects="1" scenarios="1"/>
  <dataConsolidate/>
  <mergeCells count="63">
    <mergeCell ref="A3:A4"/>
    <mergeCell ref="B3:B4"/>
    <mergeCell ref="C3:C4"/>
    <mergeCell ref="D3:E4"/>
    <mergeCell ref="F3:H3"/>
    <mergeCell ref="A1:B1"/>
    <mergeCell ref="C1:Y1"/>
    <mergeCell ref="AA1:AC1"/>
    <mergeCell ref="A2:B2"/>
    <mergeCell ref="C2:Y2"/>
    <mergeCell ref="Z5:AC5"/>
    <mergeCell ref="I3:K3"/>
    <mergeCell ref="L3:M3"/>
    <mergeCell ref="P3:R3"/>
    <mergeCell ref="S3:U3"/>
    <mergeCell ref="V3:X3"/>
    <mergeCell ref="Y3:Y4"/>
    <mergeCell ref="Z3:AC4"/>
    <mergeCell ref="G4:H4"/>
    <mergeCell ref="J4:K4"/>
    <mergeCell ref="T4:U4"/>
    <mergeCell ref="W4:X4"/>
    <mergeCell ref="Z17:AC17"/>
    <mergeCell ref="Z6:AC6"/>
    <mergeCell ref="Z7:AC7"/>
    <mergeCell ref="Z8:AC8"/>
    <mergeCell ref="Z9:AC9"/>
    <mergeCell ref="Z10:AC10"/>
    <mergeCell ref="Z11:AC11"/>
    <mergeCell ref="Z12:AC12"/>
    <mergeCell ref="Z13:AC13"/>
    <mergeCell ref="Z14:AC14"/>
    <mergeCell ref="Z15:AC15"/>
    <mergeCell ref="Z16:AC16"/>
    <mergeCell ref="Z29:AC29"/>
    <mergeCell ref="Z18:AC18"/>
    <mergeCell ref="Z19:AC19"/>
    <mergeCell ref="Z20:AC20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41:AC41"/>
    <mergeCell ref="Z30:AC30"/>
    <mergeCell ref="Z31:AC31"/>
    <mergeCell ref="Z32:AC32"/>
    <mergeCell ref="Z33:AC33"/>
    <mergeCell ref="Z34:AC34"/>
    <mergeCell ref="Z35:AC35"/>
    <mergeCell ref="Z36:AC36"/>
    <mergeCell ref="Z37:AC37"/>
    <mergeCell ref="Z38:AC38"/>
    <mergeCell ref="Z39:AC39"/>
    <mergeCell ref="Z40:AC40"/>
    <mergeCell ref="B42:C42"/>
    <mergeCell ref="D42:AC42"/>
    <mergeCell ref="B43:AC43"/>
    <mergeCell ref="A44:AC44"/>
    <mergeCell ref="A45:AC45"/>
  </mergeCells>
  <dataValidations count="3">
    <dataValidation type="list" allowBlank="1" showInputMessage="1" showErrorMessage="1" errorTitle="Bad Input" error="Input for this cell must be one of the listed positions and all uppercase!" sqref="R5:R41">
      <formula1>"TC,BC,BE,LE,RE"</formula1>
    </dataValidation>
    <dataValidation type="list" allowBlank="1" showInputMessage="1" showErrorMessage="1" errorTitle="Bad Input" error="Input for this cell must be one of the listed categories and all uppercase!" sqref="Q5:Q41">
      <formula1>"TL,DL,LL,WL,SL,CL,SM,IP"</formula1>
    </dataValidation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</dataValidations>
  <printOptions horizontalCentered="1" verticalCentered="1"/>
  <pageMargins left="0.25" right="0.25" top="0.6" bottom="0.5" header="0.4" footer="0.25"/>
  <pageSetup scale="56" orientation="landscape" r:id="rId1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HeadingPairs>
  <TitlesOfParts>
    <vt:vector size="15" baseType="lpstr">
      <vt:lpstr>Cover</vt:lpstr>
      <vt:lpstr>J (1)</vt:lpstr>
      <vt:lpstr>B (1)</vt:lpstr>
      <vt:lpstr>Check List</vt:lpstr>
      <vt:lpstr>J(BLANK)</vt:lpstr>
      <vt:lpstr>'A (0)'!Print_Area</vt:lpstr>
      <vt:lpstr>'B (0)'!Print_Area</vt:lpstr>
      <vt:lpstr>'B (1)'!Print_Area</vt:lpstr>
      <vt:lpstr>'Check List'!Print_Area</vt:lpstr>
      <vt:lpstr>Cover!Print_Area</vt:lpstr>
      <vt:lpstr>'D (0)'!Print_Area</vt:lpstr>
      <vt:lpstr>'J (0)'!Print_Area</vt:lpstr>
      <vt:lpstr>'J (1)'!Print_Area</vt:lpstr>
      <vt:lpstr>'J(BLANK)'!Print_Area</vt:lpstr>
      <vt:lpstr>'N (0)'!Print_Area</vt:lpstr>
    </vt:vector>
  </TitlesOfParts>
  <Company>New Millenium Building Systems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Grey</dc:creator>
  <cp:lastModifiedBy>Darien Shannon</cp:lastModifiedBy>
  <cp:lastPrinted>2008-02-11T19:27:37Z</cp:lastPrinted>
  <dcterms:created xsi:type="dcterms:W3CDTF">2000-01-04T15:14:32Z</dcterms:created>
  <dcterms:modified xsi:type="dcterms:W3CDTF">2016-09-24T05:22:36Z</dcterms:modified>
</cp:coreProperties>
</file>