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05" windowWidth="28830" windowHeight="1311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 (1)" sheetId="60" r:id="rId7"/>
    <sheet name="B (1)" sheetId="59" r:id="rId8"/>
    <sheet name="Check List" sheetId="16" r:id="rId9"/>
    <sheet name="J(BLANK)" sheetId="61" state="hidden" r:id="rId10"/>
    <sheet name="HighlightedCell" sheetId="62" state="hidden" r:id="rId11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7">'B (1)'!$A$1:$M$50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 (1)'!$A$1:$AC$45</definedName>
    <definedName name="_xlnm.Print_Area" localSheetId="9">'J(BLANK)'!$A$1:$AC$45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B42" i="61" l="1"/>
  <c r="AC2" i="61"/>
  <c r="C2" i="61"/>
  <c r="AA1" i="61"/>
  <c r="C1" i="61"/>
  <c r="B42" i="60" l="1"/>
  <c r="AC2" i="60"/>
  <c r="C2" i="60"/>
  <c r="AA1" i="60"/>
  <c r="C1" i="60"/>
  <c r="M50" i="59" l="1"/>
  <c r="F50" i="59"/>
  <c r="M46" i="59"/>
  <c r="F46" i="59"/>
  <c r="M45" i="59"/>
  <c r="F45" i="59"/>
  <c r="M44" i="59"/>
  <c r="F44" i="59"/>
  <c r="M43" i="59"/>
  <c r="F43" i="59"/>
  <c r="M42" i="59"/>
  <c r="F42" i="59"/>
  <c r="M41" i="59"/>
  <c r="F41" i="59"/>
  <c r="M40" i="59"/>
  <c r="F40" i="59"/>
  <c r="M39" i="59"/>
  <c r="F39" i="59"/>
  <c r="M38" i="59"/>
  <c r="F38" i="59"/>
  <c r="M37" i="59"/>
  <c r="F37" i="59"/>
  <c r="M36" i="59"/>
  <c r="F36" i="59"/>
  <c r="M35" i="59"/>
  <c r="F35" i="59"/>
  <c r="M34" i="59"/>
  <c r="F34" i="59"/>
  <c r="M33" i="59"/>
  <c r="F33" i="59"/>
  <c r="M32" i="59"/>
  <c r="F32" i="59"/>
  <c r="M31" i="59"/>
  <c r="F31" i="59"/>
  <c r="M30" i="59"/>
  <c r="F30" i="59"/>
  <c r="M29" i="59"/>
  <c r="F29" i="59"/>
  <c r="M28" i="59"/>
  <c r="F28" i="59"/>
  <c r="M27" i="59"/>
  <c r="M47" i="59" s="1"/>
  <c r="F27" i="59"/>
  <c r="M26" i="59"/>
  <c r="F26" i="59"/>
  <c r="M24" i="59"/>
  <c r="F24" i="59"/>
  <c r="M23" i="59"/>
  <c r="F23" i="59"/>
  <c r="M22" i="59"/>
  <c r="F22" i="59"/>
  <c r="M21" i="59"/>
  <c r="F21" i="59"/>
  <c r="M20" i="59"/>
  <c r="F20" i="59"/>
  <c r="M19" i="59"/>
  <c r="F19" i="59"/>
  <c r="M18" i="59"/>
  <c r="F18" i="59"/>
  <c r="M17" i="59"/>
  <c r="F17" i="59"/>
  <c r="M16" i="59"/>
  <c r="F16" i="59"/>
  <c r="M15" i="59"/>
  <c r="F15" i="59"/>
  <c r="M14" i="59"/>
  <c r="F14" i="59"/>
  <c r="M13" i="59"/>
  <c r="F13" i="59"/>
  <c r="M12" i="59"/>
  <c r="F12" i="59"/>
  <c r="M11" i="59"/>
  <c r="F11" i="59"/>
  <c r="M10" i="59"/>
  <c r="F10" i="59"/>
  <c r="M9" i="59"/>
  <c r="F9" i="59"/>
  <c r="M8" i="59"/>
  <c r="F8" i="59"/>
  <c r="M7" i="59"/>
  <c r="F7" i="59"/>
  <c r="M6" i="59"/>
  <c r="F6" i="59"/>
  <c r="M5" i="59"/>
  <c r="F5" i="59"/>
  <c r="M4" i="59"/>
  <c r="F4" i="59"/>
  <c r="M2" i="59"/>
  <c r="C2" i="59"/>
  <c r="K1" i="59"/>
  <c r="C1" i="59"/>
  <c r="F47" i="59" l="1"/>
  <c r="M25" i="59"/>
  <c r="F25" i="59"/>
  <c r="Q5" i="13" l="1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<sst xmlns="http://schemas.openxmlformats.org/spreadsheetml/2006/main" count="351" uniqueCount="125">
  <si>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</si>
  <si>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</si>
  <si>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</si>
  <si>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</si>
  <si>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</si>
  <si>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</si>
  <si>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</si>
  <si>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</si>
  <si>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</si>
  <si>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</si>
  <si>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</si>
  <si>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</si>
  <si>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</si>
  <si>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</si>
  <si>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</si>
  <si>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</si>
  <si>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</si>
  <si>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</si>
  <si>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</si>
  <si>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</si>
  <si>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</si>
  <si>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</si>
  <si>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</si>
  <si>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</si>
  <si>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</si>
  <si>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</si>
  <si>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</si>
  <si>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</si>
  <si>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</si>
  <si>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</si>
  <si>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</si>
  <si>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</si>
  <si>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</si>
  <si>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</si>
  <si>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</si>
  <si>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</si>
  <si>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</si>
  <si>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</si>
  <si>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</si>
  <si>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</si>
  <si>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</si>
  <si>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</si>
  <si>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</si>
  <si>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</si>
  <si>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</si>
  <si>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</si>
  <si>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</si>
  <si>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</si>
  <si>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</si>
  <si>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</si>
  <si>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</si>
  <si>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</si>
  <si>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</si>
  <si>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</si>
  <si>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</si>
  <si>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</si>
  <si>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</si>
  <si>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</si>
  <si>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</si>
  <si>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</si>
  <si>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</si>
  <si>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</si>
  <si>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</si>
  <si>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</si>
  <si>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</si>
  <si>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</si>
  <si>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</si>
  <si>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</si>
  <si>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</si>
  <si>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</si>
  <si>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</si>
  <si>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</si>
  <si>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</si>
  <si>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</si>
  <si>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</si>
  <si>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</si>
  <si>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</si>
  <si>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</si>
  <si>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</si>
  <si>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</si>
  <si>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</si>
  <si>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</si>
  <si>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</si>
  <si>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</si>
  <si>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</si>
  <si>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</si>
  <si>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</si>
  <si>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</si>
  <si>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</si>
  <si>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</si>
  <si>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</si>
  <si>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</si>
  <si>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</si>
  <si>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</si>
  <si>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</si>
  <si>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</si>
  <si>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</si>
  <si>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</si>
  <si>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</si>
  <si>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</si>
  <si>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</si>
  <si>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</si>
  <si>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</si>
  <si>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</si>
  <si>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</si>
  <si>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</si>
  <si>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</si>
  <si>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</si>
  <si>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</si>
  <si>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</si>
  <si>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</si>
  <si>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</si>
  <si>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</si>
  <si>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</si>
  <si>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</si>
  <si>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</si>
  <si>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</si>
  <si>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</si>
  <si>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</si>
  <si>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</si>
  <si>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</si>
  <si>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</si>
  <si>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</si>
  <si>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>NA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</si>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</sst>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8C8C8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37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20" fillId="0" borderId="6" xfId="0" applyFont="1" applyBorder="1" applyAlignment="1"/>
    <xf numFmtId="0" fontId="19" fillId="0" borderId="6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right"/>
    </xf>
    <xf numFmtId="49" fontId="19" fillId="0" borderId="6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right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49" fontId="11" fillId="0" borderId="12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10" fillId="0" borderId="49" xfId="0" applyFont="1" applyFill="1" applyBorder="1" applyAlignment="1" applyProtection="1">
      <alignment horizontal="center"/>
    </xf>
    <xf numFmtId="0" fontId="10" fillId="0" borderId="87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1" fillId="0" borderId="49" xfId="0" applyNumberFormat="1" applyFont="1" applyFill="1" applyBorder="1" applyAlignment="1" applyProtection="1">
      <alignment horizontal="left"/>
      <protection locked="0"/>
    </xf>
    <xf numFmtId="49" fontId="11" fillId="0" borderId="87" xfId="0" applyNumberFormat="1" applyFont="1" applyFill="1" applyBorder="1" applyAlignment="1" applyProtection="1">
      <alignment horizontal="left"/>
      <protection locked="0"/>
    </xf>
    <xf numFmtId="49" fontId="11" fillId="0" borderId="50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49" fontId="11" fillId="0" borderId="86" xfId="0" applyNumberFormat="1" applyFont="1" applyFill="1" applyBorder="1" applyAlignment="1" applyProtection="1">
      <alignment horizontal="left"/>
      <protection locked="0"/>
    </xf>
    <xf numFmtId="49" fontId="11" fillId="0" borderId="90" xfId="0" applyNumberFormat="1" applyFont="1" applyFill="1" applyBorder="1" applyAlignment="1" applyProtection="1">
      <alignment horizontal="left"/>
      <protection locked="0"/>
    </xf>
    <xf numFmtId="49" fontId="11" fillId="0" borderId="47" xfId="0" applyNumberFormat="1" applyFont="1" applyFill="1" applyBorder="1" applyAlignment="1" applyProtection="1">
      <alignment horizontal="left"/>
      <protection locked="0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  <xf numFmtId="1" fontId="11" fillId="8" borderId="54" xfId="0" applyNumberFormat="1" applyFont="1" applyFill="1" applyBorder="1" applyAlignment="1" applyProtection="1">
      <alignment horizontal="center" vertic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C8C8C8"/>
      <color rgb="FFF2F2F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52" t="s">
        <v>33</v>
      </c>
      <c r="B1" s="253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9" t="str">
        <f>IF(ISBLANK(Cover!O2),"",Cover!O2)</f>
        <v>*</v>
      </c>
      <c r="Q1" s="259"/>
      <c r="R1" s="260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54" t="s">
        <v>35</v>
      </c>
      <c r="B2" s="255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56" t="s">
        <v>47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8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50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  <c r="R4" s="251"/>
      <c r="S4" s="17"/>
    </row>
    <row r="5" spans="1:32" s="18" customFormat="1" ht="20.100000000000001" customHeight="1" x14ac:dyDescent="0.2">
      <c r="A5" s="125"/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1"/>
      <c r="S5" s="17"/>
    </row>
    <row r="6" spans="1:32" s="18" customFormat="1" ht="20.100000000000001" customHeight="1" x14ac:dyDescent="0.2">
      <c r="A6" s="125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1"/>
      <c r="S6" s="17"/>
    </row>
    <row r="7" spans="1:32" s="18" customFormat="1" ht="20.100000000000001" customHeight="1" x14ac:dyDescent="0.2">
      <c r="A7" s="125"/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1"/>
      <c r="S7" s="17"/>
    </row>
    <row r="8" spans="1:32" s="18" customFormat="1" ht="20.100000000000001" customHeight="1" x14ac:dyDescent="0.2">
      <c r="A8" s="125"/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1"/>
      <c r="S8" s="17"/>
    </row>
    <row r="9" spans="1:32" s="18" customFormat="1" ht="20.100000000000001" customHeight="1" x14ac:dyDescent="0.2">
      <c r="A9" s="125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1"/>
      <c r="S9" s="17"/>
    </row>
    <row r="10" spans="1:32" s="18" customFormat="1" ht="20.100000000000001" customHeight="1" x14ac:dyDescent="0.2">
      <c r="A10" s="125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1"/>
      <c r="S10" s="17"/>
    </row>
    <row r="11" spans="1:32" s="18" customFormat="1" ht="20.100000000000001" customHeight="1" x14ac:dyDescent="0.2">
      <c r="A11" s="125"/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1"/>
      <c r="S11" s="17"/>
    </row>
    <row r="12" spans="1:32" s="18" customFormat="1" ht="20.100000000000001" customHeight="1" x14ac:dyDescent="0.2">
      <c r="A12" s="125"/>
      <c r="B12" s="250"/>
      <c r="C12" s="250"/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1"/>
      <c r="S12" s="17"/>
    </row>
    <row r="13" spans="1:32" s="18" customFormat="1" ht="20.100000000000001" customHeight="1" x14ac:dyDescent="0.2">
      <c r="A13" s="125"/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1"/>
      <c r="S13" s="17"/>
    </row>
    <row r="14" spans="1:32" s="18" customFormat="1" ht="20.100000000000001" customHeight="1" x14ac:dyDescent="0.2">
      <c r="A14" s="125"/>
      <c r="B14" s="250"/>
      <c r="C14" s="250"/>
      <c r="D14" s="250"/>
      <c r="E14" s="250"/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1"/>
      <c r="S14" s="17"/>
    </row>
    <row r="15" spans="1:32" s="18" customFormat="1" ht="20.100000000000001" customHeight="1" x14ac:dyDescent="0.2">
      <c r="A15" s="125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1"/>
      <c r="S15" s="17"/>
    </row>
    <row r="16" spans="1:32" s="18" customFormat="1" ht="20.100000000000001" customHeight="1" x14ac:dyDescent="0.2">
      <c r="A16" s="125"/>
      <c r="B16" s="250"/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  <c r="S16" s="17"/>
    </row>
    <row r="17" spans="1:19" s="18" customFormat="1" ht="20.100000000000001" customHeight="1" x14ac:dyDescent="0.2">
      <c r="A17" s="125"/>
      <c r="B17" s="250"/>
      <c r="C17" s="250"/>
      <c r="D17" s="250"/>
      <c r="E17" s="250"/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/>
      <c r="R17" s="251"/>
      <c r="S17" s="17"/>
    </row>
    <row r="18" spans="1:19" s="18" customFormat="1" ht="20.100000000000001" customHeight="1" x14ac:dyDescent="0.2">
      <c r="A18" s="125"/>
      <c r="B18" s="250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1"/>
      <c r="S18" s="17"/>
    </row>
    <row r="19" spans="1:19" s="18" customFormat="1" ht="20.100000000000001" customHeight="1" x14ac:dyDescent="0.2">
      <c r="A19" s="125"/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1"/>
      <c r="S19" s="17"/>
    </row>
    <row r="20" spans="1:19" s="18" customFormat="1" ht="20.100000000000001" customHeight="1" x14ac:dyDescent="0.2">
      <c r="A20" s="125"/>
      <c r="B20" s="250"/>
      <c r="C20" s="250"/>
      <c r="D20" s="250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1"/>
      <c r="S20" s="17"/>
    </row>
    <row r="21" spans="1:19" s="18" customFormat="1" ht="20.100000000000001" customHeight="1" x14ac:dyDescent="0.2">
      <c r="A21" s="125"/>
      <c r="B21" s="250"/>
      <c r="C21" s="250"/>
      <c r="D21" s="250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1"/>
      <c r="S21" s="17"/>
    </row>
    <row r="22" spans="1:19" s="18" customFormat="1" ht="20.100000000000001" customHeight="1" x14ac:dyDescent="0.2">
      <c r="A22" s="125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1"/>
      <c r="S22" s="17"/>
    </row>
    <row r="23" spans="1:19" s="18" customFormat="1" ht="20.100000000000001" customHeight="1" x14ac:dyDescent="0.2">
      <c r="A23" s="125"/>
      <c r="B23" s="250"/>
      <c r="C23" s="250"/>
      <c r="D23" s="250"/>
      <c r="E23" s="250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1"/>
      <c r="S23" s="17"/>
    </row>
    <row r="24" spans="1:19" s="18" customFormat="1" ht="20.100000000000001" customHeight="1" x14ac:dyDescent="0.2">
      <c r="A24" s="125"/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1"/>
      <c r="S24" s="17"/>
    </row>
    <row r="25" spans="1:19" s="18" customFormat="1" ht="20.100000000000001" customHeight="1" x14ac:dyDescent="0.2">
      <c r="A25" s="125"/>
      <c r="B25" s="250"/>
      <c r="C25" s="250"/>
      <c r="D25" s="250"/>
      <c r="E25" s="250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1"/>
      <c r="S25" s="17"/>
    </row>
    <row r="26" spans="1:19" s="18" customFormat="1" ht="20.100000000000001" customHeight="1" x14ac:dyDescent="0.2">
      <c r="A26" s="125"/>
      <c r="B26" s="250"/>
      <c r="C26" s="250"/>
      <c r="D26" s="250"/>
      <c r="E26" s="250"/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/>
      <c r="R26" s="251"/>
      <c r="S26" s="17"/>
    </row>
    <row r="27" spans="1:19" s="18" customFormat="1" ht="20.100000000000001" customHeight="1" x14ac:dyDescent="0.2">
      <c r="A27" s="125"/>
      <c r="B27" s="250"/>
      <c r="C27" s="250"/>
      <c r="D27" s="250"/>
      <c r="E27" s="250"/>
      <c r="F27" s="250"/>
      <c r="G27" s="250"/>
      <c r="H27" s="250"/>
      <c r="I27" s="250"/>
      <c r="J27" s="250"/>
      <c r="K27" s="250"/>
      <c r="L27" s="250"/>
      <c r="M27" s="250"/>
      <c r="N27" s="250"/>
      <c r="O27" s="250"/>
      <c r="P27" s="250"/>
      <c r="Q27" s="250"/>
      <c r="R27" s="251"/>
      <c r="S27" s="17"/>
    </row>
    <row r="28" spans="1:19" s="18" customFormat="1" ht="20.100000000000001" customHeight="1" x14ac:dyDescent="0.2">
      <c r="A28" s="125"/>
      <c r="B28" s="250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1"/>
      <c r="S28" s="17"/>
    </row>
    <row r="29" spans="1:19" s="18" customFormat="1" ht="20.100000000000001" customHeight="1" x14ac:dyDescent="0.2">
      <c r="A29" s="125"/>
      <c r="B29" s="250"/>
      <c r="C29" s="250"/>
      <c r="D29" s="250"/>
      <c r="E29" s="250"/>
      <c r="F29" s="250"/>
      <c r="G29" s="250"/>
      <c r="H29" s="250"/>
      <c r="I29" s="250"/>
      <c r="J29" s="250"/>
      <c r="K29" s="250"/>
      <c r="L29" s="250"/>
      <c r="M29" s="250"/>
      <c r="N29" s="250"/>
      <c r="O29" s="250"/>
      <c r="P29" s="250"/>
      <c r="Q29" s="250"/>
      <c r="R29" s="251"/>
      <c r="S29" s="17"/>
    </row>
    <row r="30" spans="1:19" s="18" customFormat="1" ht="20.100000000000001" customHeight="1" x14ac:dyDescent="0.2">
      <c r="A30" s="125"/>
      <c r="B30" s="250"/>
      <c r="C30" s="250"/>
      <c r="D30" s="250"/>
      <c r="E30" s="250"/>
      <c r="F30" s="250"/>
      <c r="G30" s="250"/>
      <c r="H30" s="250"/>
      <c r="I30" s="250"/>
      <c r="J30" s="250"/>
      <c r="K30" s="250"/>
      <c r="L30" s="250"/>
      <c r="M30" s="250"/>
      <c r="N30" s="250"/>
      <c r="O30" s="250"/>
      <c r="P30" s="250"/>
      <c r="Q30" s="250"/>
      <c r="R30" s="251"/>
      <c r="S30" s="17"/>
    </row>
    <row r="31" spans="1:19" s="18" customFormat="1" ht="20.100000000000001" customHeight="1" x14ac:dyDescent="0.2">
      <c r="A31" s="125"/>
      <c r="B31" s="250"/>
      <c r="C31" s="250"/>
      <c r="D31" s="250"/>
      <c r="E31" s="250"/>
      <c r="F31" s="250"/>
      <c r="G31" s="250"/>
      <c r="H31" s="250"/>
      <c r="I31" s="250"/>
      <c r="J31" s="250"/>
      <c r="K31" s="250"/>
      <c r="L31" s="250"/>
      <c r="M31" s="250"/>
      <c r="N31" s="250"/>
      <c r="O31" s="250"/>
      <c r="P31" s="250"/>
      <c r="Q31" s="250"/>
      <c r="R31" s="251"/>
      <c r="S31" s="17"/>
    </row>
    <row r="32" spans="1:19" s="18" customFormat="1" ht="20.100000000000001" customHeight="1" x14ac:dyDescent="0.2">
      <c r="A32" s="125"/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1"/>
      <c r="S32" s="17"/>
    </row>
    <row r="33" spans="1:19" s="18" customFormat="1" ht="20.100000000000001" customHeight="1" x14ac:dyDescent="0.2">
      <c r="A33" s="125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1"/>
      <c r="S33" s="17"/>
    </row>
    <row r="34" spans="1:19" s="18" customFormat="1" ht="20.100000000000001" customHeight="1" x14ac:dyDescent="0.2">
      <c r="A34" s="125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1"/>
      <c r="S34" s="17"/>
    </row>
    <row r="35" spans="1:19" s="18" customFormat="1" ht="20.100000000000001" customHeight="1" x14ac:dyDescent="0.2">
      <c r="A35" s="125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1"/>
      <c r="S35" s="17"/>
    </row>
    <row r="36" spans="1:19" s="18" customFormat="1" ht="20.100000000000001" customHeight="1" x14ac:dyDescent="0.2">
      <c r="A36" s="125"/>
      <c r="B36" s="250"/>
      <c r="C36" s="250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1"/>
      <c r="S36" s="17"/>
    </row>
    <row r="37" spans="1:19" s="18" customFormat="1" ht="20.100000000000001" customHeight="1" x14ac:dyDescent="0.2">
      <c r="A37" s="125"/>
      <c r="B37" s="250"/>
      <c r="C37" s="250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50"/>
      <c r="Q37" s="250"/>
      <c r="R37" s="251"/>
      <c r="S37" s="17"/>
    </row>
    <row r="38" spans="1:19" s="18" customFormat="1" ht="20.100000000000001" customHeight="1" x14ac:dyDescent="0.2">
      <c r="A38" s="125"/>
      <c r="B38" s="250"/>
      <c r="C38" s="250"/>
      <c r="D38" s="250"/>
      <c r="E38" s="250"/>
      <c r="F38" s="250"/>
      <c r="G38" s="250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1"/>
      <c r="S38" s="17"/>
    </row>
    <row r="39" spans="1:19" s="18" customFormat="1" ht="20.100000000000001" customHeight="1" x14ac:dyDescent="0.2">
      <c r="A39" s="125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1"/>
      <c r="S39" s="17"/>
    </row>
    <row r="40" spans="1:19" s="18" customFormat="1" ht="20.100000000000001" customHeight="1" x14ac:dyDescent="0.2">
      <c r="A40" s="125"/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1"/>
      <c r="S40" s="17"/>
    </row>
    <row r="41" spans="1:19" s="18" customFormat="1" ht="20.100000000000001" customHeight="1" x14ac:dyDescent="0.2">
      <c r="A41" s="125"/>
      <c r="B41" s="250"/>
      <c r="C41" s="250"/>
      <c r="D41" s="250"/>
      <c r="E41" s="250"/>
      <c r="F41" s="250"/>
      <c r="G41" s="250"/>
      <c r="H41" s="250"/>
      <c r="I41" s="250"/>
      <c r="J41" s="250"/>
      <c r="K41" s="250"/>
      <c r="L41" s="250"/>
      <c r="M41" s="250"/>
      <c r="N41" s="250"/>
      <c r="O41" s="250"/>
      <c r="P41" s="250"/>
      <c r="Q41" s="250"/>
      <c r="R41" s="251"/>
      <c r="S41" s="17"/>
    </row>
    <row r="42" spans="1:19" s="18" customFormat="1" ht="20.100000000000001" customHeight="1" x14ac:dyDescent="0.2">
      <c r="A42" s="125"/>
      <c r="B42" s="250"/>
      <c r="C42" s="250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250"/>
      <c r="O42" s="250"/>
      <c r="P42" s="250"/>
      <c r="Q42" s="250"/>
      <c r="R42" s="251"/>
      <c r="S42" s="17"/>
    </row>
    <row r="43" spans="1:19" s="18" customFormat="1" ht="20.100000000000001" customHeight="1" x14ac:dyDescent="0.2">
      <c r="A43" s="125"/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1"/>
      <c r="S43" s="17"/>
    </row>
    <row r="44" spans="1:19" s="18" customFormat="1" ht="20.100000000000001" customHeight="1" x14ac:dyDescent="0.2">
      <c r="A44" s="125"/>
      <c r="B44" s="250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1"/>
      <c r="S44" s="17"/>
    </row>
    <row r="45" spans="1:19" s="18" customFormat="1" ht="20.100000000000001" customHeight="1" x14ac:dyDescent="0.2">
      <c r="A45" s="125"/>
      <c r="B45" s="250"/>
      <c r="C45" s="250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250"/>
      <c r="O45" s="250"/>
      <c r="P45" s="250"/>
      <c r="Q45" s="250"/>
      <c r="R45" s="251"/>
      <c r="S45" s="17"/>
    </row>
    <row r="46" spans="1:19" s="18" customFormat="1" ht="20.100000000000001" customHeight="1" x14ac:dyDescent="0.2">
      <c r="A46" s="125"/>
      <c r="B46" s="250"/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250"/>
      <c r="R46" s="251"/>
      <c r="S46" s="17"/>
    </row>
    <row r="47" spans="1:19" s="18" customFormat="1" ht="20.100000000000001" customHeight="1" x14ac:dyDescent="0.2">
      <c r="A47" s="125"/>
      <c r="B47" s="250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0"/>
      <c r="P47" s="250"/>
      <c r="Q47" s="250"/>
      <c r="R47" s="251"/>
      <c r="S47" s="17"/>
    </row>
    <row r="48" spans="1:19" s="18" customFormat="1" ht="20.100000000000001" customHeight="1" x14ac:dyDescent="0.2">
      <c r="A48" s="125"/>
      <c r="B48" s="250"/>
      <c r="C48" s="250"/>
      <c r="D48" s="250"/>
      <c r="E48" s="250"/>
      <c r="F48" s="250"/>
      <c r="G48" s="250"/>
      <c r="H48" s="250"/>
      <c r="I48" s="250"/>
      <c r="J48" s="250"/>
      <c r="K48" s="250"/>
      <c r="L48" s="250"/>
      <c r="M48" s="250"/>
      <c r="N48" s="250"/>
      <c r="O48" s="250"/>
      <c r="P48" s="250"/>
      <c r="Q48" s="250"/>
      <c r="R48" s="251"/>
      <c r="S48" s="17"/>
    </row>
    <row r="49" spans="1:19" s="18" customFormat="1" ht="20.100000000000001" customHeight="1" x14ac:dyDescent="0.2">
      <c r="A49" s="125"/>
      <c r="B49" s="250"/>
      <c r="C49" s="250"/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1"/>
      <c r="S49" s="17"/>
    </row>
    <row r="50" spans="1:19" s="18" customFormat="1" ht="20.100000000000001" customHeight="1" x14ac:dyDescent="0.2">
      <c r="A50" s="125"/>
      <c r="B50" s="250"/>
      <c r="C50" s="250"/>
      <c r="D50" s="250"/>
      <c r="E50" s="250"/>
      <c r="F50" s="250"/>
      <c r="G50" s="250"/>
      <c r="H50" s="250"/>
      <c r="I50" s="250"/>
      <c r="J50" s="250"/>
      <c r="K50" s="250"/>
      <c r="L50" s="250"/>
      <c r="M50" s="250"/>
      <c r="N50" s="250"/>
      <c r="O50" s="250"/>
      <c r="P50" s="250"/>
      <c r="Q50" s="250"/>
      <c r="R50" s="251"/>
      <c r="S50" s="17"/>
    </row>
    <row r="51" spans="1:19" s="18" customFormat="1" ht="20.100000000000001" customHeight="1" x14ac:dyDescent="0.2">
      <c r="A51" s="125"/>
      <c r="B51" s="250"/>
      <c r="C51" s="250"/>
      <c r="D51" s="250"/>
      <c r="E51" s="250"/>
      <c r="F51" s="250"/>
      <c r="G51" s="250"/>
      <c r="H51" s="250"/>
      <c r="I51" s="250"/>
      <c r="J51" s="250"/>
      <c r="K51" s="250"/>
      <c r="L51" s="250"/>
      <c r="M51" s="250"/>
      <c r="N51" s="250"/>
      <c r="O51" s="250"/>
      <c r="P51" s="250"/>
      <c r="Q51" s="250"/>
      <c r="R51" s="251"/>
      <c r="S51" s="17"/>
    </row>
    <row r="52" spans="1:19" s="18" customFormat="1" ht="20.100000000000001" customHeight="1" x14ac:dyDescent="0.2">
      <c r="A52" s="125"/>
      <c r="B52" s="250"/>
      <c r="C52" s="250"/>
      <c r="D52" s="250"/>
      <c r="E52" s="250"/>
      <c r="F52" s="250"/>
      <c r="G52" s="250"/>
      <c r="H52" s="250"/>
      <c r="I52" s="250"/>
      <c r="J52" s="250"/>
      <c r="K52" s="250"/>
      <c r="L52" s="250"/>
      <c r="M52" s="250"/>
      <c r="N52" s="250"/>
      <c r="O52" s="250"/>
      <c r="P52" s="250"/>
      <c r="Q52" s="250"/>
      <c r="R52" s="251"/>
      <c r="S52" s="17"/>
    </row>
    <row r="53" spans="1:19" s="18" customFormat="1" ht="20.100000000000001" customHeight="1" thickBot="1" x14ac:dyDescent="0.25">
      <c r="A53" s="125"/>
      <c r="B53" s="250"/>
      <c r="C53" s="250"/>
      <c r="D53" s="250"/>
      <c r="E53" s="250"/>
      <c r="F53" s="250"/>
      <c r="G53" s="250"/>
      <c r="H53" s="250"/>
      <c r="I53" s="250"/>
      <c r="J53" s="250"/>
      <c r="K53" s="250"/>
      <c r="L53" s="250"/>
      <c r="M53" s="250"/>
      <c r="N53" s="250"/>
      <c r="O53" s="250"/>
      <c r="P53" s="250"/>
      <c r="Q53" s="250"/>
      <c r="R53" s="251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82" t="str">
        <f>IF(ISBLANK(Cover!D3),"",Cover!D3)</f>
        <v>*</v>
      </c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2" t="s">
        <v>28</v>
      </c>
      <c r="AA1" s="264" t="str">
        <f>IF(ISBLANK(Cover!O2),"",Cover!O2)</f>
        <v>*</v>
      </c>
      <c r="AB1" s="264"/>
      <c r="AC1" s="265"/>
    </row>
    <row r="2" spans="1:29" s="9" customFormat="1" ht="20.100000000000001" customHeight="1" thickBot="1" x14ac:dyDescent="0.25">
      <c r="A2" s="254" t="s">
        <v>27</v>
      </c>
      <c r="B2" s="255"/>
      <c r="C2" s="289" t="str">
        <f>IF(ISBLANK(Cover!D4),"",Cover!D4)</f>
        <v>*</v>
      </c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7" t="s">
        <v>46</v>
      </c>
      <c r="B3" s="287" t="s">
        <v>0</v>
      </c>
      <c r="C3" s="287" t="s">
        <v>1</v>
      </c>
      <c r="D3" s="274" t="s">
        <v>83</v>
      </c>
      <c r="E3" s="275"/>
      <c r="F3" s="272" t="s">
        <v>2</v>
      </c>
      <c r="G3" s="273"/>
      <c r="H3" s="273"/>
      <c r="I3" s="272" t="s">
        <v>5</v>
      </c>
      <c r="J3" s="273"/>
      <c r="K3" s="273"/>
      <c r="L3" s="272" t="s">
        <v>8</v>
      </c>
      <c r="M3" s="283"/>
      <c r="N3" s="23" t="s">
        <v>6</v>
      </c>
      <c r="O3" s="23" t="s">
        <v>22</v>
      </c>
      <c r="P3" s="286" t="s">
        <v>81</v>
      </c>
      <c r="Q3" s="273"/>
      <c r="R3" s="283"/>
      <c r="S3" s="272" t="s">
        <v>77</v>
      </c>
      <c r="T3" s="273"/>
      <c r="U3" s="273"/>
      <c r="V3" s="272" t="s">
        <v>78</v>
      </c>
      <c r="W3" s="273"/>
      <c r="X3" s="283"/>
      <c r="Y3" s="280" t="s">
        <v>82</v>
      </c>
      <c r="Z3" s="266" t="s">
        <v>11</v>
      </c>
      <c r="AA3" s="267"/>
      <c r="AB3" s="267"/>
      <c r="AC3" s="268"/>
    </row>
    <row r="4" spans="1:29" s="9" customFormat="1" ht="20.100000000000001" customHeight="1" thickBot="1" x14ac:dyDescent="0.25">
      <c r="A4" s="288"/>
      <c r="B4" s="288"/>
      <c r="C4" s="288"/>
      <c r="D4" s="276"/>
      <c r="E4" s="277"/>
      <c r="F4" s="61" t="s">
        <v>3</v>
      </c>
      <c r="G4" s="278" t="s">
        <v>4</v>
      </c>
      <c r="H4" s="279"/>
      <c r="I4" s="61" t="s">
        <v>3</v>
      </c>
      <c r="J4" s="278" t="s">
        <v>4</v>
      </c>
      <c r="K4" s="279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78" t="s">
        <v>79</v>
      </c>
      <c r="U4" s="279"/>
      <c r="V4" s="61" t="s">
        <v>80</v>
      </c>
      <c r="W4" s="278" t="s">
        <v>79</v>
      </c>
      <c r="X4" s="279"/>
      <c r="Y4" s="281"/>
      <c r="Z4" s="269"/>
      <c r="AA4" s="270"/>
      <c r="AB4" s="270"/>
      <c r="AC4" s="271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98"/>
      <c r="AA5" s="299"/>
      <c r="AB5" s="299"/>
      <c r="AC5" s="30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61"/>
      <c r="AA6" s="262"/>
      <c r="AB6" s="262"/>
      <c r="AC6" s="26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61"/>
      <c r="AA7" s="262"/>
      <c r="AB7" s="262"/>
      <c r="AC7" s="26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61"/>
      <c r="AA8" s="262"/>
      <c r="AB8" s="262"/>
      <c r="AC8" s="26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61"/>
      <c r="AA9" s="262"/>
      <c r="AB9" s="262"/>
      <c r="AC9" s="26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61"/>
      <c r="AA10" s="262"/>
      <c r="AB10" s="262"/>
      <c r="AC10" s="26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61"/>
      <c r="AA11" s="262"/>
      <c r="AB11" s="262"/>
      <c r="AC11" s="26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61"/>
      <c r="AA12" s="262"/>
      <c r="AB12" s="262"/>
      <c r="AC12" s="26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61"/>
      <c r="AA13" s="262"/>
      <c r="AB13" s="262"/>
      <c r="AC13" s="26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61"/>
      <c r="AA14" s="262"/>
      <c r="AB14" s="262"/>
      <c r="AC14" s="26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61"/>
      <c r="AA15" s="262"/>
      <c r="AB15" s="262"/>
      <c r="AC15" s="26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61"/>
      <c r="AA16" s="262"/>
      <c r="AB16" s="262"/>
      <c r="AC16" s="26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61"/>
      <c r="AA17" s="262"/>
      <c r="AB17" s="262"/>
      <c r="AC17" s="26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61"/>
      <c r="AA18" s="262"/>
      <c r="AB18" s="262"/>
      <c r="AC18" s="26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61"/>
      <c r="AA19" s="262"/>
      <c r="AB19" s="262"/>
      <c r="AC19" s="26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61"/>
      <c r="AA20" s="262"/>
      <c r="AB20" s="262"/>
      <c r="AC20" s="26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61"/>
      <c r="AA21" s="262"/>
      <c r="AB21" s="262"/>
      <c r="AC21" s="26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61"/>
      <c r="AA22" s="262"/>
      <c r="AB22" s="262"/>
      <c r="AC22" s="26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61"/>
      <c r="AA23" s="262"/>
      <c r="AB23" s="262"/>
      <c r="AC23" s="26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61"/>
      <c r="AA24" s="262"/>
      <c r="AB24" s="262"/>
      <c r="AC24" s="26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61"/>
      <c r="AA25" s="262"/>
      <c r="AB25" s="262"/>
      <c r="AC25" s="26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61"/>
      <c r="AA26" s="262"/>
      <c r="AB26" s="262"/>
      <c r="AC26" s="26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61"/>
      <c r="AA27" s="262"/>
      <c r="AB27" s="262"/>
      <c r="AC27" s="26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61"/>
      <c r="AA28" s="262"/>
      <c r="AB28" s="262"/>
      <c r="AC28" s="26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61"/>
      <c r="AA29" s="262"/>
      <c r="AB29" s="262"/>
      <c r="AC29" s="26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61"/>
      <c r="AA30" s="262"/>
      <c r="AB30" s="262"/>
      <c r="AC30" s="26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61"/>
      <c r="AA31" s="262"/>
      <c r="AB31" s="262"/>
      <c r="AC31" s="26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61"/>
      <c r="AA32" s="262"/>
      <c r="AB32" s="262"/>
      <c r="AC32" s="26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61"/>
      <c r="AA33" s="262"/>
      <c r="AB33" s="262"/>
      <c r="AC33" s="26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61"/>
      <c r="AA34" s="262"/>
      <c r="AB34" s="262"/>
      <c r="AC34" s="26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61"/>
      <c r="AA35" s="262"/>
      <c r="AB35" s="262"/>
      <c r="AC35" s="26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61"/>
      <c r="AA36" s="262"/>
      <c r="AB36" s="262"/>
      <c r="AC36" s="26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61"/>
      <c r="AA37" s="262"/>
      <c r="AB37" s="262"/>
      <c r="AC37" s="26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61"/>
      <c r="AA38" s="262"/>
      <c r="AB38" s="262"/>
      <c r="AC38" s="26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61"/>
      <c r="AA39" s="262"/>
      <c r="AB39" s="262"/>
      <c r="AC39" s="26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61"/>
      <c r="AA40" s="262"/>
      <c r="AB40" s="262"/>
      <c r="AC40" s="26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61"/>
      <c r="AA41" s="262"/>
      <c r="AB41" s="262"/>
      <c r="AC41" s="263"/>
    </row>
    <row r="42" spans="1:29" s="18" customFormat="1" ht="20.100000000000001" customHeight="1" thickBot="1" x14ac:dyDescent="0.25">
      <c r="A42" s="74" t="s">
        <v>49</v>
      </c>
      <c r="B42" s="296">
        <f>SUM(B5:B41)</f>
        <v>0</v>
      </c>
      <c r="C42" s="297"/>
      <c r="D42" s="293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5"/>
    </row>
    <row r="43" spans="1:29" s="18" customFormat="1" ht="20.100000000000001" customHeight="1" x14ac:dyDescent="0.2">
      <c r="A43" s="164" t="s">
        <v>25</v>
      </c>
      <c r="B43" s="284"/>
      <c r="C43" s="284"/>
      <c r="D43" s="284"/>
      <c r="E43" s="284"/>
      <c r="F43" s="284"/>
      <c r="G43" s="284"/>
      <c r="H43" s="284"/>
      <c r="I43" s="284"/>
      <c r="J43" s="284"/>
      <c r="K43" s="284"/>
      <c r="L43" s="284"/>
      <c r="M43" s="284"/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  <c r="AA43" s="284"/>
      <c r="AB43" s="284"/>
      <c r="AC43" s="285"/>
    </row>
    <row r="44" spans="1:29" s="18" customFormat="1" ht="20.100000000000001" customHeight="1" x14ac:dyDescent="0.2">
      <c r="A44" s="261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3"/>
    </row>
    <row r="45" spans="1:29" s="18" customFormat="1" ht="20.100000000000001" customHeight="1" thickBot="1" x14ac:dyDescent="0.25">
      <c r="A45" s="290"/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2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8" t="s">
        <v>29</v>
      </c>
      <c r="B1" s="319"/>
      <c r="C1" s="315" t="str">
        <f>IF(ISBLANK(Cover!D3),"",Cover!D3)</f>
        <v>*</v>
      </c>
      <c r="D1" s="315"/>
      <c r="E1" s="315"/>
      <c r="F1" s="315"/>
      <c r="G1" s="315"/>
      <c r="H1" s="315"/>
      <c r="I1" s="315"/>
      <c r="J1" s="47" t="s">
        <v>19</v>
      </c>
      <c r="K1" s="306" t="str">
        <f>IF(ISBLANK(Cover!O2),"",Cover!O2)</f>
        <v>*</v>
      </c>
      <c r="L1" s="306"/>
      <c r="M1" s="307"/>
    </row>
    <row r="2" spans="1:13" ht="20.100000000000001" customHeight="1" thickBot="1" x14ac:dyDescent="0.25">
      <c r="A2" s="320" t="s">
        <v>30</v>
      </c>
      <c r="B2" s="321"/>
      <c r="C2" s="314" t="str">
        <f>IF(ISBLANK(Cover!D4),"",Cover!D4)</f>
        <v>*</v>
      </c>
      <c r="D2" s="314"/>
      <c r="E2" s="314"/>
      <c r="F2" s="314"/>
      <c r="G2" s="314"/>
      <c r="H2" s="314"/>
      <c r="I2" s="314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01"/>
      <c r="B25" s="302"/>
      <c r="C25" s="303"/>
      <c r="D25" s="304" t="s">
        <v>49</v>
      </c>
      <c r="E25" s="305"/>
      <c r="F25" s="1">
        <f>ROUNDUP(SUM(F4:F24)*1.02,-1)</f>
        <v>0</v>
      </c>
      <c r="G25" s="312"/>
      <c r="H25" s="301"/>
      <c r="I25" s="302"/>
      <c r="J25" s="303"/>
      <c r="K25" s="304" t="s">
        <v>49</v>
      </c>
      <c r="L25" s="30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01"/>
      <c r="B47" s="302"/>
      <c r="C47" s="303"/>
      <c r="D47" s="304" t="s">
        <v>49</v>
      </c>
      <c r="E47" s="305"/>
      <c r="F47" s="1">
        <f>ROUNDUP(SUM(F26:F46)*1.02,-1)</f>
        <v>0</v>
      </c>
      <c r="G47" s="312"/>
      <c r="H47" s="301"/>
      <c r="I47" s="302"/>
      <c r="J47" s="303"/>
      <c r="K47" s="304" t="s">
        <v>49</v>
      </c>
      <c r="L47" s="305"/>
      <c r="M47" s="1">
        <f>ROUNDUP(SUM(M26:M46)*1.02,-1)</f>
        <v>0</v>
      </c>
    </row>
    <row r="48" spans="1:13" ht="9.9499999999999993" customHeight="1" thickBot="1" x14ac:dyDescent="0.25">
      <c r="A48" s="308"/>
      <c r="B48" s="309"/>
      <c r="C48" s="309"/>
      <c r="D48" s="309"/>
      <c r="E48" s="309"/>
      <c r="F48" s="310"/>
      <c r="G48" s="312"/>
      <c r="H48" s="308"/>
      <c r="I48" s="309"/>
      <c r="J48" s="309"/>
      <c r="K48" s="309"/>
      <c r="L48" s="309"/>
      <c r="M48" s="310"/>
    </row>
    <row r="49" spans="1:13" ht="20.100000000000001" customHeight="1" thickBot="1" x14ac:dyDescent="0.3">
      <c r="A49" s="31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2"/>
      <c r="H49" s="31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7"/>
      <c r="B50" s="55"/>
      <c r="C50" s="3"/>
      <c r="D50" s="56"/>
      <c r="E50" s="57"/>
      <c r="F50" s="58" t="str">
        <f>IF(ISBLANK(D50),"",ROUNDUP((D50*E50)*0.5*1.02,-1))</f>
        <v/>
      </c>
      <c r="G50" s="313"/>
      <c r="H50" s="31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  <mergeCell ref="K1:M1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52" t="s">
        <v>29</v>
      </c>
      <c r="B1" s="253"/>
      <c r="C1" s="282" t="str">
        <f>IF(ISBLANK(Cover!D3),"",Cover!D3)</f>
        <v>*</v>
      </c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2" t="s">
        <v>19</v>
      </c>
      <c r="O1" s="264" t="str">
        <f>IF(ISBLANK(Cover!O2),"",Cover!O2)</f>
        <v>*</v>
      </c>
      <c r="P1" s="264"/>
      <c r="Q1" s="265"/>
      <c r="S1" s="339"/>
      <c r="T1" s="340"/>
      <c r="U1" s="340"/>
      <c r="V1" s="340"/>
      <c r="W1" s="340"/>
      <c r="X1" s="340"/>
    </row>
    <row r="2" spans="1:24" ht="20.100000000000001" customHeight="1" thickBot="1" x14ac:dyDescent="0.25">
      <c r="A2" s="254" t="s">
        <v>30</v>
      </c>
      <c r="B2" s="255"/>
      <c r="C2" s="333" t="str">
        <f>IF(ISBLANK(Cover!D4),"",Cover!D4)</f>
        <v>*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21" t="s">
        <v>38</v>
      </c>
      <c r="O2" s="59"/>
      <c r="P2" s="32" t="s">
        <v>45</v>
      </c>
      <c r="Q2" s="33">
        <f>IF(ISBLANK(Cover!Q7),"",Cover!Q7)</f>
        <v>3</v>
      </c>
      <c r="S2" s="341" t="s">
        <v>90</v>
      </c>
      <c r="T2" s="342"/>
      <c r="U2" s="342"/>
      <c r="V2" s="342"/>
      <c r="W2" s="342"/>
      <c r="X2" s="343"/>
    </row>
    <row r="3" spans="1:24" ht="20.100000000000001" customHeight="1" thickBot="1" x14ac:dyDescent="0.3">
      <c r="A3" s="34" t="s">
        <v>15</v>
      </c>
      <c r="B3" s="337" t="s">
        <v>16</v>
      </c>
      <c r="C3" s="338"/>
      <c r="D3" s="34"/>
      <c r="E3" s="337" t="s">
        <v>17</v>
      </c>
      <c r="F3" s="338"/>
      <c r="G3" s="34" t="s">
        <v>4</v>
      </c>
      <c r="H3" s="34" t="s">
        <v>18</v>
      </c>
      <c r="I3" s="334"/>
      <c r="J3" s="34" t="s">
        <v>15</v>
      </c>
      <c r="K3" s="337" t="s">
        <v>16</v>
      </c>
      <c r="L3" s="338"/>
      <c r="M3" s="34"/>
      <c r="N3" s="337" t="s">
        <v>17</v>
      </c>
      <c r="O3" s="338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26"/>
      <c r="C4" s="327"/>
      <c r="D4" s="112"/>
      <c r="E4" s="85"/>
      <c r="F4" s="113"/>
      <c r="G4" s="114"/>
      <c r="H4" s="115" t="str">
        <f>IF(ISBLANK(E4),"",IF(D4="X",((E4+(F4/12))*G4)/100*0.5,((E4+(F4/12))*G4)/100))</f>
        <v/>
      </c>
      <c r="I4" s="335"/>
      <c r="J4" s="111"/>
      <c r="K4" s="326"/>
      <c r="L4" s="327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22"/>
      <c r="C5" s="323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35"/>
      <c r="J5" s="39"/>
      <c r="K5" s="322"/>
      <c r="L5" s="323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22"/>
      <c r="C6" s="323"/>
      <c r="D6" s="40"/>
      <c r="E6" s="41"/>
      <c r="F6" s="42"/>
      <c r="G6" s="110"/>
      <c r="H6" s="44" t="str">
        <f t="shared" si="0"/>
        <v/>
      </c>
      <c r="I6" s="335"/>
      <c r="J6" s="39"/>
      <c r="K6" s="322"/>
      <c r="L6" s="323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22"/>
      <c r="C7" s="323"/>
      <c r="D7" s="40"/>
      <c r="E7" s="41"/>
      <c r="F7" s="42"/>
      <c r="G7" s="110"/>
      <c r="H7" s="44" t="str">
        <f t="shared" si="0"/>
        <v/>
      </c>
      <c r="I7" s="335"/>
      <c r="J7" s="39"/>
      <c r="K7" s="322"/>
      <c r="L7" s="323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22"/>
      <c r="C8" s="323"/>
      <c r="D8" s="40"/>
      <c r="E8" s="41"/>
      <c r="F8" s="42"/>
      <c r="G8" s="110"/>
      <c r="H8" s="44" t="str">
        <f t="shared" si="0"/>
        <v/>
      </c>
      <c r="I8" s="335"/>
      <c r="J8" s="39"/>
      <c r="K8" s="322"/>
      <c r="L8" s="323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22"/>
      <c r="C9" s="323"/>
      <c r="D9" s="40"/>
      <c r="E9" s="41"/>
      <c r="F9" s="42"/>
      <c r="G9" s="110"/>
      <c r="H9" s="44" t="str">
        <f t="shared" si="0"/>
        <v/>
      </c>
      <c r="I9" s="335"/>
      <c r="J9" s="39"/>
      <c r="K9" s="322"/>
      <c r="L9" s="323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22"/>
      <c r="C10" s="323"/>
      <c r="D10" s="40"/>
      <c r="E10" s="41"/>
      <c r="F10" s="42"/>
      <c r="G10" s="110"/>
      <c r="H10" s="44" t="str">
        <f t="shared" si="0"/>
        <v/>
      </c>
      <c r="I10" s="335"/>
      <c r="J10" s="39"/>
      <c r="K10" s="322"/>
      <c r="L10" s="323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22"/>
      <c r="C11" s="323"/>
      <c r="D11" s="40"/>
      <c r="E11" s="41"/>
      <c r="F11" s="42"/>
      <c r="G11" s="110"/>
      <c r="H11" s="44" t="str">
        <f t="shared" si="0"/>
        <v/>
      </c>
      <c r="I11" s="335"/>
      <c r="J11" s="39"/>
      <c r="K11" s="322"/>
      <c r="L11" s="323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22"/>
      <c r="C12" s="323"/>
      <c r="D12" s="40"/>
      <c r="E12" s="41"/>
      <c r="F12" s="42"/>
      <c r="G12" s="110"/>
      <c r="H12" s="44" t="str">
        <f t="shared" si="0"/>
        <v/>
      </c>
      <c r="I12" s="335"/>
      <c r="J12" s="39"/>
      <c r="K12" s="322"/>
      <c r="L12" s="323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22"/>
      <c r="C13" s="323"/>
      <c r="D13" s="40"/>
      <c r="E13" s="41"/>
      <c r="F13" s="42"/>
      <c r="G13" s="110"/>
      <c r="H13" s="44" t="str">
        <f t="shared" si="0"/>
        <v/>
      </c>
      <c r="I13" s="335"/>
      <c r="J13" s="39"/>
      <c r="K13" s="322"/>
      <c r="L13" s="323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22"/>
      <c r="C14" s="323"/>
      <c r="D14" s="40"/>
      <c r="E14" s="41"/>
      <c r="F14" s="42"/>
      <c r="G14" s="110"/>
      <c r="H14" s="44" t="str">
        <f t="shared" si="0"/>
        <v/>
      </c>
      <c r="I14" s="335"/>
      <c r="J14" s="39"/>
      <c r="K14" s="322"/>
      <c r="L14" s="323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22"/>
      <c r="C15" s="323"/>
      <c r="D15" s="40"/>
      <c r="E15" s="41"/>
      <c r="F15" s="42"/>
      <c r="G15" s="110"/>
      <c r="H15" s="44" t="str">
        <f t="shared" si="0"/>
        <v/>
      </c>
      <c r="I15" s="335"/>
      <c r="J15" s="39"/>
      <c r="K15" s="322"/>
      <c r="L15" s="323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22"/>
      <c r="C16" s="323"/>
      <c r="D16" s="40"/>
      <c r="E16" s="41"/>
      <c r="F16" s="42"/>
      <c r="G16" s="110"/>
      <c r="H16" s="44" t="str">
        <f t="shared" si="0"/>
        <v/>
      </c>
      <c r="I16" s="335"/>
      <c r="J16" s="39"/>
      <c r="K16" s="322"/>
      <c r="L16" s="323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22"/>
      <c r="C17" s="323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35"/>
      <c r="J17" s="39"/>
      <c r="K17" s="322"/>
      <c r="L17" s="323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22"/>
      <c r="C18" s="323"/>
      <c r="D18" s="40"/>
      <c r="E18" s="41"/>
      <c r="F18" s="42"/>
      <c r="G18" s="110"/>
      <c r="H18" s="44" t="str">
        <f t="shared" si="2"/>
        <v/>
      </c>
      <c r="I18" s="335"/>
      <c r="J18" s="39"/>
      <c r="K18" s="322"/>
      <c r="L18" s="323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22"/>
      <c r="C19" s="323"/>
      <c r="D19" s="40"/>
      <c r="E19" s="41"/>
      <c r="F19" s="42"/>
      <c r="G19" s="110"/>
      <c r="H19" s="44" t="str">
        <f t="shared" si="2"/>
        <v/>
      </c>
      <c r="I19" s="335"/>
      <c r="J19" s="39"/>
      <c r="K19" s="322"/>
      <c r="L19" s="323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22"/>
      <c r="C20" s="323"/>
      <c r="D20" s="40"/>
      <c r="E20" s="41"/>
      <c r="F20" s="42"/>
      <c r="G20" s="110"/>
      <c r="H20" s="44" t="str">
        <f t="shared" si="2"/>
        <v/>
      </c>
      <c r="I20" s="335"/>
      <c r="J20" s="39"/>
      <c r="K20" s="322"/>
      <c r="L20" s="323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22"/>
      <c r="C21" s="323"/>
      <c r="D21" s="40"/>
      <c r="E21" s="41"/>
      <c r="F21" s="42"/>
      <c r="G21" s="110"/>
      <c r="H21" s="44" t="str">
        <f t="shared" si="2"/>
        <v/>
      </c>
      <c r="I21" s="335"/>
      <c r="J21" s="39"/>
      <c r="K21" s="322"/>
      <c r="L21" s="323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22"/>
      <c r="C22" s="323"/>
      <c r="D22" s="40"/>
      <c r="E22" s="41"/>
      <c r="F22" s="42"/>
      <c r="G22" s="110"/>
      <c r="H22" s="44" t="str">
        <f t="shared" si="2"/>
        <v/>
      </c>
      <c r="I22" s="335"/>
      <c r="J22" s="39"/>
      <c r="K22" s="322"/>
      <c r="L22" s="323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22"/>
      <c r="C23" s="323"/>
      <c r="D23" s="40"/>
      <c r="E23" s="41"/>
      <c r="F23" s="42"/>
      <c r="G23" s="110"/>
      <c r="H23" s="44" t="str">
        <f t="shared" si="2"/>
        <v/>
      </c>
      <c r="I23" s="335"/>
      <c r="J23" s="39"/>
      <c r="K23" s="322"/>
      <c r="L23" s="323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22"/>
      <c r="C24" s="323"/>
      <c r="D24" s="40"/>
      <c r="E24" s="41"/>
      <c r="F24" s="42"/>
      <c r="G24" s="110"/>
      <c r="H24" s="44" t="str">
        <f t="shared" si="2"/>
        <v/>
      </c>
      <c r="I24" s="335"/>
      <c r="J24" s="39"/>
      <c r="K24" s="322"/>
      <c r="L24" s="323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22"/>
      <c r="C25" s="323"/>
      <c r="D25" s="40"/>
      <c r="E25" s="41"/>
      <c r="F25" s="42"/>
      <c r="G25" s="110"/>
      <c r="H25" s="44" t="str">
        <f t="shared" si="0"/>
        <v/>
      </c>
      <c r="I25" s="335"/>
      <c r="J25" s="39"/>
      <c r="K25" s="322"/>
      <c r="L25" s="323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22"/>
      <c r="C26" s="323"/>
      <c r="D26" s="40"/>
      <c r="E26" s="41"/>
      <c r="F26" s="42"/>
      <c r="G26" s="110"/>
      <c r="H26" s="44" t="str">
        <f t="shared" si="0"/>
        <v/>
      </c>
      <c r="I26" s="335"/>
      <c r="J26" s="39"/>
      <c r="K26" s="322"/>
      <c r="L26" s="323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24"/>
      <c r="C27" s="325"/>
      <c r="D27" s="117"/>
      <c r="E27" s="93"/>
      <c r="F27" s="118"/>
      <c r="G27" s="119"/>
      <c r="H27" s="120" t="str">
        <f t="shared" si="0"/>
        <v/>
      </c>
      <c r="I27" s="335"/>
      <c r="J27" s="116"/>
      <c r="K27" s="324"/>
      <c r="L27" s="325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30"/>
      <c r="B28" s="331"/>
      <c r="C28" s="331"/>
      <c r="D28" s="332"/>
      <c r="E28" s="328" t="s">
        <v>49</v>
      </c>
      <c r="F28" s="329"/>
      <c r="G28" s="329"/>
      <c r="H28" s="5">
        <f>ROUNDUP(SUM(H4:H27)*U5,0)</f>
        <v>0</v>
      </c>
      <c r="I28" s="335"/>
      <c r="J28" s="330"/>
      <c r="K28" s="331"/>
      <c r="L28" s="331"/>
      <c r="M28" s="332"/>
      <c r="N28" s="328" t="s">
        <v>49</v>
      </c>
      <c r="O28" s="329"/>
      <c r="P28" s="329"/>
      <c r="Q28" s="5">
        <f>ROUNDUP(SUM(Q4:Q27)*X5,0)</f>
        <v>0</v>
      </c>
    </row>
    <row r="29" spans="1:17" ht="20.100000000000001" customHeight="1" x14ac:dyDescent="0.2">
      <c r="A29" s="111"/>
      <c r="B29" s="326"/>
      <c r="C29" s="327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35"/>
      <c r="J29" s="111"/>
      <c r="K29" s="326"/>
      <c r="L29" s="327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22"/>
      <c r="C30" s="323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35"/>
      <c r="J30" s="39"/>
      <c r="K30" s="322"/>
      <c r="L30" s="323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22"/>
      <c r="C31" s="323"/>
      <c r="D31" s="40"/>
      <c r="E31" s="41"/>
      <c r="F31" s="42"/>
      <c r="G31" s="110"/>
      <c r="H31" s="44" t="str">
        <f t="shared" si="4"/>
        <v/>
      </c>
      <c r="I31" s="335"/>
      <c r="J31" s="39"/>
      <c r="K31" s="322"/>
      <c r="L31" s="323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22"/>
      <c r="C32" s="323"/>
      <c r="D32" s="40"/>
      <c r="E32" s="41"/>
      <c r="F32" s="42"/>
      <c r="G32" s="110"/>
      <c r="H32" s="44" t="str">
        <f t="shared" si="4"/>
        <v/>
      </c>
      <c r="I32" s="335"/>
      <c r="J32" s="39"/>
      <c r="K32" s="322"/>
      <c r="L32" s="323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22"/>
      <c r="C33" s="323"/>
      <c r="D33" s="40"/>
      <c r="E33" s="41"/>
      <c r="F33" s="42"/>
      <c r="G33" s="110"/>
      <c r="H33" s="44" t="str">
        <f t="shared" si="4"/>
        <v/>
      </c>
      <c r="I33" s="335"/>
      <c r="J33" s="39"/>
      <c r="K33" s="322"/>
      <c r="L33" s="323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22"/>
      <c r="C34" s="323"/>
      <c r="D34" s="40"/>
      <c r="E34" s="41"/>
      <c r="F34" s="42"/>
      <c r="G34" s="110"/>
      <c r="H34" s="44" t="str">
        <f t="shared" si="4"/>
        <v/>
      </c>
      <c r="I34" s="335"/>
      <c r="J34" s="39"/>
      <c r="K34" s="322"/>
      <c r="L34" s="323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22"/>
      <c r="C35" s="323"/>
      <c r="D35" s="40"/>
      <c r="E35" s="41"/>
      <c r="F35" s="42"/>
      <c r="G35" s="110"/>
      <c r="H35" s="44" t="str">
        <f t="shared" si="4"/>
        <v/>
      </c>
      <c r="I35" s="335"/>
      <c r="J35" s="39"/>
      <c r="K35" s="322"/>
      <c r="L35" s="323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22"/>
      <c r="C36" s="323"/>
      <c r="D36" s="40"/>
      <c r="E36" s="41"/>
      <c r="F36" s="42"/>
      <c r="G36" s="110"/>
      <c r="H36" s="44" t="str">
        <f t="shared" si="4"/>
        <v/>
      </c>
      <c r="I36" s="335"/>
      <c r="J36" s="39"/>
      <c r="K36" s="322"/>
      <c r="L36" s="323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22"/>
      <c r="C37" s="323"/>
      <c r="D37" s="40"/>
      <c r="E37" s="41"/>
      <c r="F37" s="42"/>
      <c r="G37" s="110"/>
      <c r="H37" s="44" t="str">
        <f t="shared" si="4"/>
        <v/>
      </c>
      <c r="I37" s="335"/>
      <c r="J37" s="39"/>
      <c r="K37" s="322"/>
      <c r="L37" s="323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22"/>
      <c r="C38" s="323"/>
      <c r="D38" s="40"/>
      <c r="E38" s="41"/>
      <c r="F38" s="42"/>
      <c r="G38" s="110"/>
      <c r="H38" s="44" t="str">
        <f t="shared" si="4"/>
        <v/>
      </c>
      <c r="I38" s="335"/>
      <c r="J38" s="39"/>
      <c r="K38" s="322"/>
      <c r="L38" s="323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22"/>
      <c r="C39" s="323"/>
      <c r="D39" s="40"/>
      <c r="E39" s="41"/>
      <c r="F39" s="42"/>
      <c r="G39" s="110"/>
      <c r="H39" s="44" t="str">
        <f t="shared" si="4"/>
        <v/>
      </c>
      <c r="I39" s="335"/>
      <c r="J39" s="39"/>
      <c r="K39" s="322"/>
      <c r="L39" s="323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22"/>
      <c r="C40" s="323"/>
      <c r="D40" s="40"/>
      <c r="E40" s="41"/>
      <c r="F40" s="42"/>
      <c r="G40" s="110"/>
      <c r="H40" s="44" t="str">
        <f t="shared" si="4"/>
        <v/>
      </c>
      <c r="I40" s="335"/>
      <c r="J40" s="39"/>
      <c r="K40" s="322"/>
      <c r="L40" s="323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22"/>
      <c r="C41" s="323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35"/>
      <c r="J41" s="39"/>
      <c r="K41" s="322"/>
      <c r="L41" s="323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22"/>
      <c r="C42" s="323"/>
      <c r="D42" s="40"/>
      <c r="E42" s="41"/>
      <c r="F42" s="42"/>
      <c r="G42" s="110"/>
      <c r="H42" s="44" t="str">
        <f t="shared" si="6"/>
        <v/>
      </c>
      <c r="I42" s="335"/>
      <c r="J42" s="39"/>
      <c r="K42" s="322"/>
      <c r="L42" s="323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22"/>
      <c r="C43" s="323"/>
      <c r="D43" s="40"/>
      <c r="E43" s="41"/>
      <c r="F43" s="42"/>
      <c r="G43" s="110"/>
      <c r="H43" s="44" t="str">
        <f t="shared" si="6"/>
        <v/>
      </c>
      <c r="I43" s="335"/>
      <c r="J43" s="39"/>
      <c r="K43" s="322"/>
      <c r="L43" s="323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22"/>
      <c r="C44" s="323"/>
      <c r="D44" s="40"/>
      <c r="E44" s="41"/>
      <c r="F44" s="42"/>
      <c r="G44" s="110"/>
      <c r="H44" s="44" t="str">
        <f t="shared" si="6"/>
        <v/>
      </c>
      <c r="I44" s="335"/>
      <c r="J44" s="39"/>
      <c r="K44" s="322"/>
      <c r="L44" s="323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22"/>
      <c r="C45" s="323"/>
      <c r="D45" s="40"/>
      <c r="E45" s="41"/>
      <c r="F45" s="42"/>
      <c r="G45" s="110"/>
      <c r="H45" s="44" t="str">
        <f t="shared" si="6"/>
        <v/>
      </c>
      <c r="I45" s="335"/>
      <c r="J45" s="39"/>
      <c r="K45" s="322"/>
      <c r="L45" s="323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22"/>
      <c r="C46" s="323"/>
      <c r="D46" s="40"/>
      <c r="E46" s="41"/>
      <c r="F46" s="42"/>
      <c r="G46" s="110"/>
      <c r="H46" s="44" t="str">
        <f t="shared" si="6"/>
        <v/>
      </c>
      <c r="I46" s="335"/>
      <c r="J46" s="39"/>
      <c r="K46" s="322"/>
      <c r="L46" s="323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22"/>
      <c r="C47" s="323"/>
      <c r="D47" s="40"/>
      <c r="E47" s="41"/>
      <c r="F47" s="42"/>
      <c r="G47" s="110"/>
      <c r="H47" s="44" t="str">
        <f t="shared" si="6"/>
        <v/>
      </c>
      <c r="I47" s="335"/>
      <c r="J47" s="39"/>
      <c r="K47" s="322"/>
      <c r="L47" s="323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22"/>
      <c r="C48" s="323"/>
      <c r="D48" s="40"/>
      <c r="E48" s="41"/>
      <c r="F48" s="42"/>
      <c r="G48" s="110"/>
      <c r="H48" s="44" t="str">
        <f t="shared" si="6"/>
        <v/>
      </c>
      <c r="I48" s="335"/>
      <c r="J48" s="39"/>
      <c r="K48" s="322"/>
      <c r="L48" s="323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22"/>
      <c r="C49" s="323"/>
      <c r="D49" s="40"/>
      <c r="E49" s="41"/>
      <c r="F49" s="42"/>
      <c r="G49" s="110"/>
      <c r="H49" s="44" t="str">
        <f t="shared" si="6"/>
        <v/>
      </c>
      <c r="I49" s="335"/>
      <c r="J49" s="39"/>
      <c r="K49" s="322"/>
      <c r="L49" s="323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22"/>
      <c r="C50" s="323"/>
      <c r="D50" s="40"/>
      <c r="E50" s="41"/>
      <c r="F50" s="42"/>
      <c r="G50" s="110"/>
      <c r="H50" s="44" t="str">
        <f t="shared" si="6"/>
        <v/>
      </c>
      <c r="I50" s="335"/>
      <c r="J50" s="39"/>
      <c r="K50" s="322"/>
      <c r="L50" s="323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22"/>
      <c r="C51" s="323"/>
      <c r="D51" s="40"/>
      <c r="E51" s="41"/>
      <c r="F51" s="42"/>
      <c r="G51" s="110"/>
      <c r="H51" s="44" t="str">
        <f t="shared" si="6"/>
        <v/>
      </c>
      <c r="I51" s="335"/>
      <c r="J51" s="39"/>
      <c r="K51" s="322"/>
      <c r="L51" s="323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24"/>
      <c r="C52" s="325"/>
      <c r="D52" s="117"/>
      <c r="E52" s="93"/>
      <c r="F52" s="118"/>
      <c r="G52" s="119"/>
      <c r="H52" s="120" t="str">
        <f t="shared" si="6"/>
        <v/>
      </c>
      <c r="I52" s="335"/>
      <c r="J52" s="116"/>
      <c r="K52" s="324"/>
      <c r="L52" s="325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30"/>
      <c r="B53" s="331"/>
      <c r="C53" s="331"/>
      <c r="D53" s="332"/>
      <c r="E53" s="328" t="s">
        <v>49</v>
      </c>
      <c r="F53" s="329"/>
      <c r="G53" s="329"/>
      <c r="H53" s="5">
        <f>ROUNDUP(SUM(H29:H52)*U8,0)</f>
        <v>0</v>
      </c>
      <c r="I53" s="336"/>
      <c r="J53" s="330"/>
      <c r="K53" s="331"/>
      <c r="L53" s="331"/>
      <c r="M53" s="332"/>
      <c r="N53" s="328" t="s">
        <v>49</v>
      </c>
      <c r="O53" s="329"/>
      <c r="P53" s="329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52" t="s">
        <v>29</v>
      </c>
      <c r="B1" s="253"/>
      <c r="C1" s="359" t="str">
        <f>IF(ISBLANK(Cover!D3),"",Cover!D3)</f>
        <v>*</v>
      </c>
      <c r="D1" s="359"/>
      <c r="E1" s="359"/>
      <c r="F1" s="359"/>
      <c r="G1" s="359"/>
      <c r="H1" s="359"/>
      <c r="I1" s="253" t="s">
        <v>19</v>
      </c>
      <c r="J1" s="253"/>
      <c r="K1" s="264" t="str">
        <f>IF(ISBLANK(Cover!O2),"",Cover!O2)</f>
        <v>*</v>
      </c>
      <c r="L1" s="264"/>
      <c r="M1" s="265"/>
    </row>
    <row r="2" spans="1:13" ht="20.100000000000001" customHeight="1" thickBot="1" x14ac:dyDescent="0.25">
      <c r="A2" s="254" t="s">
        <v>30</v>
      </c>
      <c r="B2" s="255"/>
      <c r="C2" s="333" t="str">
        <f>IF(ISBLANK(Cover!D4),"",Cover!D4)</f>
        <v>*</v>
      </c>
      <c r="D2" s="333"/>
      <c r="E2" s="333"/>
      <c r="F2" s="333"/>
      <c r="G2" s="333"/>
      <c r="H2" s="333"/>
      <c r="I2" s="255" t="s">
        <v>38</v>
      </c>
      <c r="J2" s="255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37" t="s">
        <v>20</v>
      </c>
      <c r="C3" s="344"/>
      <c r="D3" s="338"/>
      <c r="E3" s="34" t="s">
        <v>0</v>
      </c>
      <c r="F3" s="334"/>
      <c r="G3" s="34" t="s">
        <v>15</v>
      </c>
      <c r="H3" s="337" t="s">
        <v>42</v>
      </c>
      <c r="I3" s="344"/>
      <c r="J3" s="344"/>
      <c r="K3" s="344"/>
      <c r="L3" s="338"/>
      <c r="M3" s="34" t="s">
        <v>4</v>
      </c>
    </row>
    <row r="4" spans="1:13" ht="20.100000000000001" customHeight="1" x14ac:dyDescent="0.2">
      <c r="A4" s="75"/>
      <c r="B4" s="345"/>
      <c r="C4" s="346"/>
      <c r="D4" s="347"/>
      <c r="E4" s="77"/>
      <c r="F4" s="335"/>
      <c r="G4" s="75"/>
      <c r="H4" s="345"/>
      <c r="I4" s="346"/>
      <c r="J4" s="346"/>
      <c r="K4" s="346"/>
      <c r="L4" s="347"/>
      <c r="M4" s="77"/>
    </row>
    <row r="5" spans="1:13" ht="20.100000000000001" customHeight="1" x14ac:dyDescent="0.2">
      <c r="A5" s="35"/>
      <c r="B5" s="348"/>
      <c r="C5" s="349"/>
      <c r="D5" s="350"/>
      <c r="E5" s="36"/>
      <c r="F5" s="335"/>
      <c r="G5" s="35"/>
      <c r="H5" s="348"/>
      <c r="I5" s="349"/>
      <c r="J5" s="349"/>
      <c r="K5" s="349"/>
      <c r="L5" s="350"/>
      <c r="M5" s="36"/>
    </row>
    <row r="6" spans="1:13" ht="20.100000000000001" customHeight="1" x14ac:dyDescent="0.2">
      <c r="A6" s="35"/>
      <c r="B6" s="348"/>
      <c r="C6" s="349"/>
      <c r="D6" s="350"/>
      <c r="E6" s="36"/>
      <c r="F6" s="335"/>
      <c r="G6" s="35"/>
      <c r="H6" s="348"/>
      <c r="I6" s="349"/>
      <c r="J6" s="349"/>
      <c r="K6" s="349"/>
      <c r="L6" s="350"/>
      <c r="M6" s="36"/>
    </row>
    <row r="7" spans="1:13" ht="20.100000000000001" customHeight="1" x14ac:dyDescent="0.2">
      <c r="A7" s="35"/>
      <c r="B7" s="348"/>
      <c r="C7" s="349"/>
      <c r="D7" s="350"/>
      <c r="E7" s="36"/>
      <c r="F7" s="335"/>
      <c r="G7" s="35"/>
      <c r="H7" s="348"/>
      <c r="I7" s="349"/>
      <c r="J7" s="349"/>
      <c r="K7" s="349"/>
      <c r="L7" s="350"/>
      <c r="M7" s="36"/>
    </row>
    <row r="8" spans="1:13" ht="20.100000000000001" customHeight="1" x14ac:dyDescent="0.2">
      <c r="A8" s="35"/>
      <c r="B8" s="348"/>
      <c r="C8" s="349"/>
      <c r="D8" s="350"/>
      <c r="E8" s="36"/>
      <c r="F8" s="335"/>
      <c r="G8" s="35"/>
      <c r="H8" s="348"/>
      <c r="I8" s="349"/>
      <c r="J8" s="349"/>
      <c r="K8" s="349"/>
      <c r="L8" s="350"/>
      <c r="M8" s="36"/>
    </row>
    <row r="9" spans="1:13" ht="20.100000000000001" customHeight="1" x14ac:dyDescent="0.2">
      <c r="A9" s="35"/>
      <c r="B9" s="348"/>
      <c r="C9" s="349"/>
      <c r="D9" s="350"/>
      <c r="E9" s="36"/>
      <c r="F9" s="335"/>
      <c r="G9" s="35"/>
      <c r="H9" s="348"/>
      <c r="I9" s="349"/>
      <c r="J9" s="349"/>
      <c r="K9" s="349"/>
      <c r="L9" s="350"/>
      <c r="M9" s="36"/>
    </row>
    <row r="10" spans="1:13" ht="20.100000000000001" customHeight="1" x14ac:dyDescent="0.2">
      <c r="A10" s="35"/>
      <c r="B10" s="348"/>
      <c r="C10" s="349"/>
      <c r="D10" s="350"/>
      <c r="E10" s="36"/>
      <c r="F10" s="335"/>
      <c r="G10" s="35"/>
      <c r="H10" s="348"/>
      <c r="I10" s="349"/>
      <c r="J10" s="349"/>
      <c r="K10" s="349"/>
      <c r="L10" s="350"/>
      <c r="M10" s="36"/>
    </row>
    <row r="11" spans="1:13" ht="20.100000000000001" customHeight="1" thickBot="1" x14ac:dyDescent="0.25">
      <c r="A11" s="121"/>
      <c r="B11" s="351"/>
      <c r="C11" s="352"/>
      <c r="D11" s="353"/>
      <c r="E11" s="123"/>
      <c r="F11" s="335"/>
      <c r="G11" s="121"/>
      <c r="H11" s="351"/>
      <c r="I11" s="352"/>
      <c r="J11" s="352"/>
      <c r="K11" s="352"/>
      <c r="L11" s="353"/>
      <c r="M11" s="123"/>
    </row>
    <row r="12" spans="1:13" ht="20.100000000000001" customHeight="1" thickBot="1" x14ac:dyDescent="0.25">
      <c r="A12" s="354"/>
      <c r="B12" s="355"/>
      <c r="C12" s="356"/>
      <c r="D12" s="4" t="s">
        <v>49</v>
      </c>
      <c r="E12" s="5">
        <f>ROUNDUP(SUM(E4:E11)*1.1,-3)</f>
        <v>0</v>
      </c>
      <c r="F12" s="335"/>
      <c r="G12" s="354"/>
      <c r="H12" s="355"/>
      <c r="I12" s="356"/>
      <c r="J12" s="328" t="s">
        <v>49</v>
      </c>
      <c r="K12" s="329"/>
      <c r="L12" s="329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37" t="s">
        <v>43</v>
      </c>
      <c r="C13" s="344"/>
      <c r="D13" s="338"/>
      <c r="E13" s="34" t="s">
        <v>4</v>
      </c>
      <c r="F13" s="335"/>
      <c r="G13" s="34" t="s">
        <v>15</v>
      </c>
      <c r="H13" s="337" t="s">
        <v>44</v>
      </c>
      <c r="I13" s="344"/>
      <c r="J13" s="344"/>
      <c r="K13" s="344"/>
      <c r="L13" s="338"/>
      <c r="M13" s="24" t="s">
        <v>0</v>
      </c>
    </row>
    <row r="14" spans="1:13" ht="20.100000000000001" customHeight="1" x14ac:dyDescent="0.2">
      <c r="A14" s="75"/>
      <c r="B14" s="345"/>
      <c r="C14" s="346"/>
      <c r="D14" s="347"/>
      <c r="E14" s="77"/>
      <c r="F14" s="335"/>
      <c r="G14" s="75"/>
      <c r="H14" s="345"/>
      <c r="I14" s="346"/>
      <c r="J14" s="346"/>
      <c r="K14" s="346"/>
      <c r="L14" s="347"/>
      <c r="M14" s="77"/>
    </row>
    <row r="15" spans="1:13" ht="20.100000000000001" customHeight="1" x14ac:dyDescent="0.2">
      <c r="A15" s="35"/>
      <c r="B15" s="348"/>
      <c r="C15" s="349"/>
      <c r="D15" s="350"/>
      <c r="E15" s="36"/>
      <c r="F15" s="335"/>
      <c r="G15" s="35"/>
      <c r="H15" s="348"/>
      <c r="I15" s="349"/>
      <c r="J15" s="349"/>
      <c r="K15" s="349"/>
      <c r="L15" s="350"/>
      <c r="M15" s="36"/>
    </row>
    <row r="16" spans="1:13" ht="20.100000000000001" customHeight="1" x14ac:dyDescent="0.2">
      <c r="A16" s="35"/>
      <c r="B16" s="348"/>
      <c r="C16" s="349"/>
      <c r="D16" s="350"/>
      <c r="E16" s="36"/>
      <c r="F16" s="335"/>
      <c r="G16" s="35"/>
      <c r="H16" s="348"/>
      <c r="I16" s="349"/>
      <c r="J16" s="349"/>
      <c r="K16" s="349"/>
      <c r="L16" s="350"/>
      <c r="M16" s="36"/>
    </row>
    <row r="17" spans="1:13" ht="20.100000000000001" customHeight="1" x14ac:dyDescent="0.2">
      <c r="A17" s="35"/>
      <c r="B17" s="348"/>
      <c r="C17" s="349"/>
      <c r="D17" s="350"/>
      <c r="E17" s="36"/>
      <c r="F17" s="335"/>
      <c r="G17" s="35"/>
      <c r="H17" s="348"/>
      <c r="I17" s="349"/>
      <c r="J17" s="349"/>
      <c r="K17" s="349"/>
      <c r="L17" s="350"/>
      <c r="M17" s="36"/>
    </row>
    <row r="18" spans="1:13" ht="20.100000000000001" customHeight="1" x14ac:dyDescent="0.2">
      <c r="A18" s="35"/>
      <c r="B18" s="348"/>
      <c r="C18" s="349"/>
      <c r="D18" s="350"/>
      <c r="E18" s="36"/>
      <c r="F18" s="335"/>
      <c r="G18" s="35"/>
      <c r="H18" s="348"/>
      <c r="I18" s="349"/>
      <c r="J18" s="349"/>
      <c r="K18" s="349"/>
      <c r="L18" s="350"/>
      <c r="M18" s="36"/>
    </row>
    <row r="19" spans="1:13" ht="20.100000000000001" customHeight="1" x14ac:dyDescent="0.2">
      <c r="A19" s="35"/>
      <c r="B19" s="348"/>
      <c r="C19" s="349"/>
      <c r="D19" s="350"/>
      <c r="E19" s="36"/>
      <c r="F19" s="335"/>
      <c r="G19" s="35"/>
      <c r="H19" s="348"/>
      <c r="I19" s="349"/>
      <c r="J19" s="349"/>
      <c r="K19" s="349"/>
      <c r="L19" s="350"/>
      <c r="M19" s="36"/>
    </row>
    <row r="20" spans="1:13" ht="20.100000000000001" customHeight="1" x14ac:dyDescent="0.2">
      <c r="A20" s="35"/>
      <c r="B20" s="348"/>
      <c r="C20" s="349"/>
      <c r="D20" s="350"/>
      <c r="E20" s="36"/>
      <c r="F20" s="335"/>
      <c r="G20" s="35"/>
      <c r="H20" s="348"/>
      <c r="I20" s="349"/>
      <c r="J20" s="349"/>
      <c r="K20" s="349"/>
      <c r="L20" s="350"/>
      <c r="M20" s="36"/>
    </row>
    <row r="21" spans="1:13" ht="20.100000000000001" customHeight="1" thickBot="1" x14ac:dyDescent="0.25">
      <c r="A21" s="121"/>
      <c r="B21" s="351"/>
      <c r="C21" s="352"/>
      <c r="D21" s="353"/>
      <c r="E21" s="123"/>
      <c r="F21" s="335"/>
      <c r="G21" s="121"/>
      <c r="H21" s="351"/>
      <c r="I21" s="352"/>
      <c r="J21" s="352"/>
      <c r="K21" s="352"/>
      <c r="L21" s="353"/>
      <c r="M21" s="123"/>
    </row>
    <row r="22" spans="1:13" ht="20.100000000000001" customHeight="1" thickBot="1" x14ac:dyDescent="0.25">
      <c r="A22" s="354"/>
      <c r="B22" s="355"/>
      <c r="C22" s="356"/>
      <c r="D22" s="4" t="s">
        <v>49</v>
      </c>
      <c r="E22" s="5">
        <f>ROUNDUP(SUM(E14:E21)*1.02,-1)</f>
        <v>0</v>
      </c>
      <c r="F22" s="335"/>
      <c r="G22" s="354"/>
      <c r="H22" s="355"/>
      <c r="I22" s="356"/>
      <c r="J22" s="328" t="s">
        <v>49</v>
      </c>
      <c r="K22" s="329"/>
      <c r="L22" s="329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37" t="s">
        <v>39</v>
      </c>
      <c r="C23" s="344"/>
      <c r="D23" s="338"/>
      <c r="E23" s="34" t="s">
        <v>4</v>
      </c>
      <c r="F23" s="335"/>
      <c r="G23" s="34" t="s">
        <v>15</v>
      </c>
      <c r="H23" s="337" t="s">
        <v>40</v>
      </c>
      <c r="I23" s="344"/>
      <c r="J23" s="344"/>
      <c r="K23" s="344"/>
      <c r="L23" s="338"/>
      <c r="M23" s="34" t="s">
        <v>4</v>
      </c>
    </row>
    <row r="24" spans="1:13" ht="20.100000000000001" customHeight="1" x14ac:dyDescent="0.2">
      <c r="A24" s="75"/>
      <c r="B24" s="345"/>
      <c r="C24" s="346"/>
      <c r="D24" s="347"/>
      <c r="E24" s="77"/>
      <c r="F24" s="335"/>
      <c r="G24" s="75"/>
      <c r="H24" s="345"/>
      <c r="I24" s="346"/>
      <c r="J24" s="346"/>
      <c r="K24" s="346"/>
      <c r="L24" s="347"/>
      <c r="M24" s="77"/>
    </row>
    <row r="25" spans="1:13" ht="20.100000000000001" customHeight="1" x14ac:dyDescent="0.2">
      <c r="A25" s="35"/>
      <c r="B25" s="348"/>
      <c r="C25" s="349"/>
      <c r="D25" s="350"/>
      <c r="E25" s="36"/>
      <c r="F25" s="335"/>
      <c r="G25" s="35"/>
      <c r="H25" s="348"/>
      <c r="I25" s="349"/>
      <c r="J25" s="349"/>
      <c r="K25" s="349"/>
      <c r="L25" s="350"/>
      <c r="M25" s="36"/>
    </row>
    <row r="26" spans="1:13" ht="20.100000000000001" customHeight="1" x14ac:dyDescent="0.2">
      <c r="A26" s="35"/>
      <c r="B26" s="348"/>
      <c r="C26" s="349"/>
      <c r="D26" s="350"/>
      <c r="E26" s="36"/>
      <c r="F26" s="335"/>
      <c r="G26" s="35"/>
      <c r="H26" s="348"/>
      <c r="I26" s="349"/>
      <c r="J26" s="349"/>
      <c r="K26" s="349"/>
      <c r="L26" s="350"/>
      <c r="M26" s="36"/>
    </row>
    <row r="27" spans="1:13" ht="20.100000000000001" customHeight="1" x14ac:dyDescent="0.2">
      <c r="A27" s="35"/>
      <c r="B27" s="348"/>
      <c r="C27" s="349"/>
      <c r="D27" s="350"/>
      <c r="E27" s="36"/>
      <c r="F27" s="335"/>
      <c r="G27" s="35"/>
      <c r="H27" s="348"/>
      <c r="I27" s="349"/>
      <c r="J27" s="349"/>
      <c r="K27" s="349"/>
      <c r="L27" s="350"/>
      <c r="M27" s="36"/>
    </row>
    <row r="28" spans="1:13" ht="20.100000000000001" customHeight="1" x14ac:dyDescent="0.2">
      <c r="A28" s="35"/>
      <c r="B28" s="348"/>
      <c r="C28" s="349"/>
      <c r="D28" s="350"/>
      <c r="E28" s="36"/>
      <c r="F28" s="335"/>
      <c r="G28" s="35"/>
      <c r="H28" s="348"/>
      <c r="I28" s="349"/>
      <c r="J28" s="349"/>
      <c r="K28" s="349"/>
      <c r="L28" s="350"/>
      <c r="M28" s="36"/>
    </row>
    <row r="29" spans="1:13" ht="20.100000000000001" customHeight="1" x14ac:dyDescent="0.2">
      <c r="A29" s="35"/>
      <c r="B29" s="348"/>
      <c r="C29" s="349"/>
      <c r="D29" s="350"/>
      <c r="E29" s="36"/>
      <c r="F29" s="335"/>
      <c r="G29" s="35"/>
      <c r="H29" s="348"/>
      <c r="I29" s="349"/>
      <c r="J29" s="349"/>
      <c r="K29" s="349"/>
      <c r="L29" s="350"/>
      <c r="M29" s="36"/>
    </row>
    <row r="30" spans="1:13" ht="20.100000000000001" customHeight="1" x14ac:dyDescent="0.2">
      <c r="A30" s="35"/>
      <c r="B30" s="348"/>
      <c r="C30" s="349"/>
      <c r="D30" s="350"/>
      <c r="E30" s="36"/>
      <c r="F30" s="335"/>
      <c r="G30" s="35"/>
      <c r="H30" s="348"/>
      <c r="I30" s="349"/>
      <c r="J30" s="349"/>
      <c r="K30" s="349"/>
      <c r="L30" s="350"/>
      <c r="M30" s="36"/>
    </row>
    <row r="31" spans="1:13" ht="20.100000000000001" customHeight="1" thickBot="1" x14ac:dyDescent="0.25">
      <c r="A31" s="121"/>
      <c r="B31" s="351"/>
      <c r="C31" s="352"/>
      <c r="D31" s="353"/>
      <c r="E31" s="123"/>
      <c r="F31" s="335"/>
      <c r="G31" s="121"/>
      <c r="H31" s="351"/>
      <c r="I31" s="352"/>
      <c r="J31" s="352"/>
      <c r="K31" s="352"/>
      <c r="L31" s="353"/>
      <c r="M31" s="123"/>
    </row>
    <row r="32" spans="1:13" ht="20.100000000000001" customHeight="1" thickBot="1" x14ac:dyDescent="0.25">
      <c r="A32" s="354"/>
      <c r="B32" s="355"/>
      <c r="C32" s="356"/>
      <c r="D32" s="4" t="s">
        <v>49</v>
      </c>
      <c r="E32" s="5">
        <f>ROUNDUP(SUM(E24:E31)*1.02,-1)</f>
        <v>0</v>
      </c>
      <c r="F32" s="335"/>
      <c r="G32" s="354"/>
      <c r="H32" s="355"/>
      <c r="I32" s="356"/>
      <c r="J32" s="328" t="s">
        <v>49</v>
      </c>
      <c r="K32" s="357"/>
      <c r="L32" s="357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37" t="s">
        <v>51</v>
      </c>
      <c r="C33" s="344"/>
      <c r="D33" s="338"/>
      <c r="E33" s="34" t="s">
        <v>50</v>
      </c>
      <c r="F33" s="335"/>
      <c r="G33" s="34" t="s">
        <v>15</v>
      </c>
      <c r="H33" s="337" t="s">
        <v>41</v>
      </c>
      <c r="I33" s="344"/>
      <c r="J33" s="344"/>
      <c r="K33" s="344"/>
      <c r="L33" s="338"/>
      <c r="M33" s="34" t="s">
        <v>4</v>
      </c>
    </row>
    <row r="34" spans="1:13" ht="20.100000000000001" customHeight="1" x14ac:dyDescent="0.2">
      <c r="A34" s="75"/>
      <c r="B34" s="345"/>
      <c r="C34" s="346"/>
      <c r="D34" s="347"/>
      <c r="E34" s="77"/>
      <c r="F34" s="335"/>
      <c r="G34" s="75"/>
      <c r="H34" s="345"/>
      <c r="I34" s="346"/>
      <c r="J34" s="346"/>
      <c r="K34" s="346"/>
      <c r="L34" s="347"/>
      <c r="M34" s="77"/>
    </row>
    <row r="35" spans="1:13" ht="20.100000000000001" customHeight="1" x14ac:dyDescent="0.2">
      <c r="A35" s="35"/>
      <c r="B35" s="348"/>
      <c r="C35" s="349"/>
      <c r="D35" s="350"/>
      <c r="E35" s="36"/>
      <c r="F35" s="335"/>
      <c r="G35" s="35"/>
      <c r="H35" s="348"/>
      <c r="I35" s="349"/>
      <c r="J35" s="349"/>
      <c r="K35" s="349"/>
      <c r="L35" s="350"/>
      <c r="M35" s="36"/>
    </row>
    <row r="36" spans="1:13" ht="20.100000000000001" customHeight="1" x14ac:dyDescent="0.2">
      <c r="A36" s="35"/>
      <c r="B36" s="348"/>
      <c r="C36" s="349"/>
      <c r="D36" s="350"/>
      <c r="E36" s="36"/>
      <c r="F36" s="335"/>
      <c r="G36" s="35"/>
      <c r="H36" s="348"/>
      <c r="I36" s="349"/>
      <c r="J36" s="349"/>
      <c r="K36" s="349"/>
      <c r="L36" s="350"/>
      <c r="M36" s="36"/>
    </row>
    <row r="37" spans="1:13" ht="20.100000000000001" customHeight="1" x14ac:dyDescent="0.2">
      <c r="A37" s="35"/>
      <c r="B37" s="348"/>
      <c r="C37" s="349"/>
      <c r="D37" s="350"/>
      <c r="E37" s="36"/>
      <c r="F37" s="335"/>
      <c r="G37" s="35"/>
      <c r="H37" s="348"/>
      <c r="I37" s="349"/>
      <c r="J37" s="349"/>
      <c r="K37" s="349"/>
      <c r="L37" s="350"/>
      <c r="M37" s="36"/>
    </row>
    <row r="38" spans="1:13" ht="20.100000000000001" customHeight="1" x14ac:dyDescent="0.2">
      <c r="A38" s="35"/>
      <c r="B38" s="348"/>
      <c r="C38" s="349"/>
      <c r="D38" s="350"/>
      <c r="E38" s="36"/>
      <c r="F38" s="335"/>
      <c r="G38" s="35"/>
      <c r="H38" s="348"/>
      <c r="I38" s="349"/>
      <c r="J38" s="349"/>
      <c r="K38" s="349"/>
      <c r="L38" s="350"/>
      <c r="M38" s="36"/>
    </row>
    <row r="39" spans="1:13" ht="20.100000000000001" customHeight="1" x14ac:dyDescent="0.2">
      <c r="A39" s="35"/>
      <c r="B39" s="348"/>
      <c r="C39" s="349"/>
      <c r="D39" s="350"/>
      <c r="E39" s="36"/>
      <c r="F39" s="335"/>
      <c r="G39" s="35"/>
      <c r="H39" s="348"/>
      <c r="I39" s="349"/>
      <c r="J39" s="349"/>
      <c r="K39" s="349"/>
      <c r="L39" s="350"/>
      <c r="M39" s="36"/>
    </row>
    <row r="40" spans="1:13" ht="20.100000000000001" customHeight="1" x14ac:dyDescent="0.2">
      <c r="A40" s="35"/>
      <c r="B40" s="348"/>
      <c r="C40" s="349"/>
      <c r="D40" s="350"/>
      <c r="E40" s="36"/>
      <c r="F40" s="335"/>
      <c r="G40" s="35"/>
      <c r="H40" s="348"/>
      <c r="I40" s="349"/>
      <c r="J40" s="349"/>
      <c r="K40" s="349"/>
      <c r="L40" s="350"/>
      <c r="M40" s="36"/>
    </row>
    <row r="41" spans="1:13" ht="20.100000000000001" customHeight="1" thickBot="1" x14ac:dyDescent="0.25">
      <c r="A41" s="121"/>
      <c r="B41" s="351"/>
      <c r="C41" s="352"/>
      <c r="D41" s="353"/>
      <c r="E41" s="123"/>
      <c r="F41" s="335"/>
      <c r="G41" s="121"/>
      <c r="H41" s="351"/>
      <c r="I41" s="352"/>
      <c r="J41" s="352"/>
      <c r="K41" s="352"/>
      <c r="L41" s="353"/>
      <c r="M41" s="123"/>
    </row>
    <row r="42" spans="1:13" ht="20.100000000000001" customHeight="1" thickBot="1" x14ac:dyDescent="0.25">
      <c r="A42" s="354"/>
      <c r="B42" s="355"/>
      <c r="C42" s="356"/>
      <c r="D42" s="4" t="s">
        <v>49</v>
      </c>
      <c r="E42" s="5">
        <f>SUM(E34:E41)</f>
        <v>0</v>
      </c>
      <c r="F42" s="335"/>
      <c r="G42" s="354"/>
      <c r="H42" s="355"/>
      <c r="I42" s="356"/>
      <c r="J42" s="328" t="s">
        <v>49</v>
      </c>
      <c r="K42" s="329"/>
      <c r="L42" s="329"/>
      <c r="M42" s="5">
        <f>ROUNDUP(SUM(M34:M41)*1.02,-1)</f>
        <v>0</v>
      </c>
    </row>
    <row r="43" spans="1:13" ht="20.100000000000001" customHeight="1" thickBot="1" x14ac:dyDescent="0.3">
      <c r="A43" s="360" t="s">
        <v>24</v>
      </c>
      <c r="B43" s="361"/>
      <c r="C43" s="361"/>
      <c r="D43" s="361"/>
      <c r="E43" s="362"/>
      <c r="F43" s="335"/>
      <c r="G43" s="360" t="s">
        <v>24</v>
      </c>
      <c r="H43" s="361"/>
      <c r="I43" s="361"/>
      <c r="J43" s="361"/>
      <c r="K43" s="361"/>
      <c r="L43" s="361"/>
      <c r="M43" s="362"/>
    </row>
    <row r="44" spans="1:13" ht="20.100000000000001" customHeight="1" thickBot="1" x14ac:dyDescent="0.3">
      <c r="A44" s="34" t="s">
        <v>15</v>
      </c>
      <c r="B44" s="358" t="s">
        <v>16</v>
      </c>
      <c r="C44" s="358"/>
      <c r="D44" s="34" t="s">
        <v>12</v>
      </c>
      <c r="E44" s="34" t="s">
        <v>0</v>
      </c>
      <c r="F44" s="335"/>
      <c r="G44" s="34" t="s">
        <v>15</v>
      </c>
      <c r="H44" s="358" t="s">
        <v>16</v>
      </c>
      <c r="I44" s="358"/>
      <c r="J44" s="337" t="s">
        <v>12</v>
      </c>
      <c r="K44" s="344"/>
      <c r="L44" s="338"/>
      <c r="M44" s="34" t="s">
        <v>0</v>
      </c>
    </row>
    <row r="45" spans="1:13" ht="20.100000000000001" customHeight="1" x14ac:dyDescent="0.2">
      <c r="A45" s="75"/>
      <c r="B45" s="345"/>
      <c r="C45" s="347"/>
      <c r="D45" s="76"/>
      <c r="E45" s="77"/>
      <c r="F45" s="335"/>
      <c r="G45" s="75"/>
      <c r="H45" s="345"/>
      <c r="I45" s="347"/>
      <c r="J45" s="345"/>
      <c r="K45" s="346"/>
      <c r="L45" s="347"/>
      <c r="M45" s="77"/>
    </row>
    <row r="46" spans="1:13" ht="20.100000000000001" customHeight="1" x14ac:dyDescent="0.2">
      <c r="A46" s="35"/>
      <c r="B46" s="348"/>
      <c r="C46" s="350"/>
      <c r="D46" s="76"/>
      <c r="E46" s="36"/>
      <c r="F46" s="335"/>
      <c r="G46" s="35"/>
      <c r="H46" s="348"/>
      <c r="I46" s="350"/>
      <c r="J46" s="348"/>
      <c r="K46" s="349"/>
      <c r="L46" s="350"/>
      <c r="M46" s="36"/>
    </row>
    <row r="47" spans="1:13" ht="20.100000000000001" customHeight="1" x14ac:dyDescent="0.2">
      <c r="A47" s="35"/>
      <c r="B47" s="348"/>
      <c r="C47" s="350"/>
      <c r="D47" s="122"/>
      <c r="E47" s="123"/>
      <c r="F47" s="335"/>
      <c r="G47" s="35"/>
      <c r="H47" s="348"/>
      <c r="I47" s="350"/>
      <c r="J47" s="348"/>
      <c r="K47" s="349"/>
      <c r="L47" s="350"/>
      <c r="M47" s="36"/>
    </row>
    <row r="48" spans="1:13" ht="20.100000000000001" customHeight="1" thickBot="1" x14ac:dyDescent="0.25">
      <c r="A48" s="121"/>
      <c r="B48" s="351"/>
      <c r="C48" s="353"/>
      <c r="D48" s="122"/>
      <c r="E48" s="123"/>
      <c r="F48" s="335"/>
      <c r="G48" s="121"/>
      <c r="H48" s="351"/>
      <c r="I48" s="353"/>
      <c r="J48" s="351"/>
      <c r="K48" s="352"/>
      <c r="L48" s="353"/>
      <c r="M48" s="123"/>
    </row>
    <row r="49" spans="1:13" ht="20.100000000000001" customHeight="1" thickBot="1" x14ac:dyDescent="0.25">
      <c r="A49" s="354"/>
      <c r="B49" s="355"/>
      <c r="C49" s="356"/>
      <c r="D49" s="4" t="s">
        <v>49</v>
      </c>
      <c r="E49" s="5">
        <f>SUM(E44:E48)</f>
        <v>0</v>
      </c>
      <c r="F49" s="336"/>
      <c r="G49" s="354"/>
      <c r="H49" s="355"/>
      <c r="I49" s="356"/>
      <c r="J49" s="328" t="s">
        <v>49</v>
      </c>
      <c r="K49" s="329"/>
      <c r="L49" s="329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M39" sqref="M39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65" t="s">
        <v>54</v>
      </c>
      <c r="B1" s="366"/>
      <c r="C1" s="366"/>
      <c r="D1" s="367" t="s">
        <v>122</v>
      </c>
      <c r="E1" s="367"/>
      <c r="F1" s="367"/>
      <c r="G1" s="367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71" t="s">
        <v>36</v>
      </c>
      <c r="B2" s="372"/>
      <c r="C2" s="372"/>
      <c r="D2" s="373"/>
      <c r="E2" s="373"/>
      <c r="F2" s="373"/>
      <c r="G2" s="373"/>
      <c r="H2" s="138" t="s">
        <v>34</v>
      </c>
      <c r="I2" s="375"/>
      <c r="J2" s="375"/>
      <c r="K2" s="375"/>
      <c r="L2" s="375"/>
      <c r="M2" s="374" t="s">
        <v>57</v>
      </c>
      <c r="N2" s="374"/>
      <c r="O2" s="369" t="s">
        <v>124</v>
      </c>
      <c r="P2" s="369"/>
      <c r="Q2" s="369"/>
      <c r="R2" s="370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76" t="s">
        <v>64</v>
      </c>
      <c r="B3" s="374"/>
      <c r="C3" s="374"/>
      <c r="D3" s="377" t="s">
        <v>124</v>
      </c>
      <c r="E3" s="377"/>
      <c r="F3" s="377"/>
      <c r="G3" s="377"/>
      <c r="H3" s="377"/>
      <c r="I3" s="377"/>
      <c r="J3" s="377"/>
      <c r="K3" s="377"/>
      <c r="L3" s="377"/>
      <c r="M3" s="374" t="s">
        <v>58</v>
      </c>
      <c r="N3" s="374"/>
      <c r="O3" s="381" t="s">
        <v>124</v>
      </c>
      <c r="P3" s="381"/>
      <c r="Q3" s="139" t="s">
        <v>69</v>
      </c>
      <c r="R3" s="140">
        <v>0.33333333333333331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76" t="s">
        <v>55</v>
      </c>
      <c r="B4" s="374"/>
      <c r="C4" s="374"/>
      <c r="D4" s="377" t="s">
        <v>124</v>
      </c>
      <c r="E4" s="377"/>
      <c r="F4" s="377"/>
      <c r="G4" s="377"/>
      <c r="H4" s="377"/>
      <c r="I4" s="377"/>
      <c r="J4" s="377"/>
      <c r="K4" s="377"/>
      <c r="L4" s="377"/>
      <c r="M4" s="374" t="s">
        <v>59</v>
      </c>
      <c r="N4" s="374"/>
      <c r="O4" s="377" t="s">
        <v>124</v>
      </c>
      <c r="P4" s="377"/>
      <c r="Q4" s="377"/>
      <c r="R4" s="397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76" t="s">
        <v>56</v>
      </c>
      <c r="B5" s="374"/>
      <c r="C5" s="374"/>
      <c r="D5" s="377" t="s">
        <v>124</v>
      </c>
      <c r="E5" s="377"/>
      <c r="F5" s="377"/>
      <c r="G5" s="377"/>
      <c r="H5" s="377"/>
      <c r="I5" s="377"/>
      <c r="J5" s="377"/>
      <c r="K5" s="377"/>
      <c r="L5" s="377"/>
      <c r="M5" s="374" t="s">
        <v>73</v>
      </c>
      <c r="N5" s="374"/>
      <c r="O5" s="374"/>
      <c r="P5" s="374"/>
      <c r="Q5" s="392" t="s">
        <v>121</v>
      </c>
      <c r="R5" s="393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87"/>
      <c r="B6" s="388"/>
      <c r="C6" s="388"/>
      <c r="D6" s="377"/>
      <c r="E6" s="377"/>
      <c r="F6" s="377"/>
      <c r="G6" s="377"/>
      <c r="H6" s="377"/>
      <c r="I6" s="377"/>
      <c r="J6" s="377"/>
      <c r="K6" s="377"/>
      <c r="L6" s="377"/>
      <c r="M6" s="374" t="s">
        <v>85</v>
      </c>
      <c r="N6" s="374"/>
      <c r="O6" s="374"/>
      <c r="P6" s="374"/>
      <c r="Q6" s="381" t="s">
        <v>123</v>
      </c>
      <c r="R6" s="414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89"/>
      <c r="B7" s="390"/>
      <c r="C7" s="390"/>
      <c r="D7" s="377"/>
      <c r="E7" s="377"/>
      <c r="F7" s="377"/>
      <c r="G7" s="377"/>
      <c r="H7" s="377"/>
      <c r="I7" s="377"/>
      <c r="J7" s="377"/>
      <c r="K7" s="377"/>
      <c r="L7" s="377"/>
      <c r="M7" s="374" t="s">
        <v>38</v>
      </c>
      <c r="N7" s="374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71" t="s">
        <v>65</v>
      </c>
      <c r="B8" s="391"/>
      <c r="C8" s="391"/>
      <c r="D8" s="369" t="s">
        <v>124</v>
      </c>
      <c r="E8" s="369"/>
      <c r="F8" s="369"/>
      <c r="G8" s="391" t="s">
        <v>62</v>
      </c>
      <c r="H8" s="391"/>
      <c r="I8" s="373" t="s">
        <v>124</v>
      </c>
      <c r="J8" s="373"/>
      <c r="K8" s="391" t="s">
        <v>60</v>
      </c>
      <c r="L8" s="391"/>
      <c r="M8" s="400" t="s">
        <v>124</v>
      </c>
      <c r="N8" s="401"/>
      <c r="O8" s="401"/>
      <c r="P8" s="401"/>
      <c r="Q8" s="401"/>
      <c r="R8" s="402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76" t="s">
        <v>66</v>
      </c>
      <c r="B9" s="374"/>
      <c r="C9" s="374"/>
      <c r="D9" s="392" t="s">
        <v>124</v>
      </c>
      <c r="E9" s="392"/>
      <c r="F9" s="392"/>
      <c r="G9" s="374" t="s">
        <v>63</v>
      </c>
      <c r="H9" s="374"/>
      <c r="I9" s="392" t="s">
        <v>124</v>
      </c>
      <c r="J9" s="392"/>
      <c r="K9" s="374" t="s">
        <v>61</v>
      </c>
      <c r="L9" s="374"/>
      <c r="M9" s="392" t="s">
        <v>124</v>
      </c>
      <c r="N9" s="398"/>
      <c r="O9" s="398"/>
      <c r="P9" s="398"/>
      <c r="Q9" s="398"/>
      <c r="R9" s="399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76" t="s">
        <v>67</v>
      </c>
      <c r="B10" s="374"/>
      <c r="C10" s="374"/>
      <c r="D10" s="392" t="s">
        <v>124</v>
      </c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3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09"/>
      <c r="B11" s="410"/>
      <c r="C11" s="410"/>
      <c r="D11" s="392"/>
      <c r="E11" s="392"/>
      <c r="F11" s="392"/>
      <c r="G11" s="392"/>
      <c r="H11" s="392"/>
      <c r="I11" s="392"/>
      <c r="J11" s="392"/>
      <c r="K11" s="392"/>
      <c r="L11" s="392"/>
      <c r="M11" s="392"/>
      <c r="N11" s="392"/>
      <c r="O11" s="392"/>
      <c r="P11" s="392"/>
      <c r="Q11" s="392"/>
      <c r="R11" s="393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76" t="s">
        <v>74</v>
      </c>
      <c r="B12" s="374"/>
      <c r="C12" s="374"/>
      <c r="D12" s="408" t="s">
        <v>124</v>
      </c>
      <c r="E12" s="408"/>
      <c r="F12" s="408"/>
      <c r="G12" s="408"/>
      <c r="H12" s="408"/>
      <c r="I12" s="408"/>
      <c r="J12" s="408"/>
      <c r="K12" s="368"/>
      <c r="L12" s="368"/>
      <c r="M12" s="368"/>
      <c r="N12" s="368"/>
      <c r="O12" s="368"/>
      <c r="P12" s="368"/>
      <c r="Q12" s="368"/>
      <c r="R12" s="407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5" t="s">
        <v>68</v>
      </c>
      <c r="B13" s="386"/>
      <c r="C13" s="406" t="s">
        <v>37</v>
      </c>
      <c r="D13" s="406"/>
      <c r="E13" s="406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3"/>
      <c r="Q13" s="363"/>
      <c r="R13" s="364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403"/>
      <c r="C14" s="404"/>
      <c r="D14" s="404"/>
      <c r="E14" s="404"/>
      <c r="F14" s="404"/>
      <c r="G14" s="404"/>
      <c r="H14" s="404"/>
      <c r="I14" s="404"/>
      <c r="J14" s="404"/>
      <c r="K14" s="404"/>
      <c r="L14" s="404"/>
      <c r="M14" s="404"/>
      <c r="N14" s="404"/>
      <c r="O14" s="404"/>
      <c r="P14" s="404"/>
      <c r="Q14" s="404"/>
      <c r="R14" s="405"/>
      <c r="S14" s="131"/>
    </row>
    <row r="15" spans="1:33" s="18" customFormat="1" ht="20.100000000000001" customHeight="1" x14ac:dyDescent="0.2">
      <c r="A15" s="125"/>
      <c r="B15" s="378"/>
      <c r="C15" s="379"/>
      <c r="D15" s="379"/>
      <c r="E15" s="379"/>
      <c r="F15" s="379"/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80"/>
      <c r="S15" s="131"/>
    </row>
    <row r="16" spans="1:33" s="18" customFormat="1" ht="20.100000000000001" customHeight="1" x14ac:dyDescent="0.2">
      <c r="A16" s="125"/>
      <c r="B16" s="378"/>
      <c r="C16" s="379"/>
      <c r="D16" s="379"/>
      <c r="E16" s="379"/>
      <c r="F16" s="379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80"/>
      <c r="S16" s="131"/>
    </row>
    <row r="17" spans="1:19" s="18" customFormat="1" ht="20.100000000000001" customHeight="1" x14ac:dyDescent="0.2">
      <c r="A17" s="125"/>
      <c r="B17" s="378"/>
      <c r="C17" s="379"/>
      <c r="D17" s="379"/>
      <c r="E17" s="379"/>
      <c r="F17" s="379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80"/>
      <c r="S17" s="131"/>
    </row>
    <row r="18" spans="1:19" s="18" customFormat="1" ht="20.100000000000001" customHeight="1" x14ac:dyDescent="0.2">
      <c r="A18" s="125"/>
      <c r="B18" s="378"/>
      <c r="C18" s="379"/>
      <c r="D18" s="379"/>
      <c r="E18" s="379"/>
      <c r="F18" s="379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80"/>
      <c r="S18" s="131"/>
    </row>
    <row r="19" spans="1:19" s="18" customFormat="1" ht="20.100000000000001" customHeight="1" x14ac:dyDescent="0.2">
      <c r="A19" s="125"/>
      <c r="B19" s="378"/>
      <c r="C19" s="379"/>
      <c r="D19" s="379"/>
      <c r="E19" s="379"/>
      <c r="F19" s="379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80"/>
      <c r="S19" s="131"/>
    </row>
    <row r="20" spans="1:19" s="18" customFormat="1" ht="20.100000000000001" customHeight="1" x14ac:dyDescent="0.2">
      <c r="A20" s="125"/>
      <c r="B20" s="378"/>
      <c r="C20" s="379"/>
      <c r="D20" s="379"/>
      <c r="E20" s="379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80"/>
      <c r="S20" s="131"/>
    </row>
    <row r="21" spans="1:19" s="18" customFormat="1" ht="20.100000000000001" customHeight="1" x14ac:dyDescent="0.2">
      <c r="A21" s="125"/>
      <c r="B21" s="378"/>
      <c r="C21" s="379"/>
      <c r="D21" s="379"/>
      <c r="E21" s="379"/>
      <c r="F21" s="379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80"/>
      <c r="S21" s="131"/>
    </row>
    <row r="22" spans="1:19" s="18" customFormat="1" ht="20.100000000000001" customHeight="1" x14ac:dyDescent="0.2">
      <c r="A22" s="125"/>
      <c r="B22" s="378"/>
      <c r="C22" s="379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79"/>
      <c r="O22" s="379"/>
      <c r="P22" s="379"/>
      <c r="Q22" s="379"/>
      <c r="R22" s="380"/>
      <c r="S22" s="131"/>
    </row>
    <row r="23" spans="1:19" s="18" customFormat="1" ht="20.100000000000001" customHeight="1" x14ac:dyDescent="0.2">
      <c r="A23" s="125"/>
      <c r="B23" s="378"/>
      <c r="C23" s="379"/>
      <c r="D23" s="379"/>
      <c r="E23" s="379"/>
      <c r="F23" s="379"/>
      <c r="G23" s="379"/>
      <c r="H23" s="379"/>
      <c r="I23" s="379"/>
      <c r="J23" s="379"/>
      <c r="K23" s="379"/>
      <c r="L23" s="379"/>
      <c r="M23" s="379"/>
      <c r="N23" s="379"/>
      <c r="O23" s="379"/>
      <c r="P23" s="379"/>
      <c r="Q23" s="379"/>
      <c r="R23" s="380"/>
      <c r="S23" s="131"/>
    </row>
    <row r="24" spans="1:19" s="18" customFormat="1" ht="20.100000000000001" customHeight="1" x14ac:dyDescent="0.2">
      <c r="A24" s="125"/>
      <c r="B24" s="378"/>
      <c r="C24" s="379"/>
      <c r="D24" s="379"/>
      <c r="E24" s="379"/>
      <c r="F24" s="379"/>
      <c r="G24" s="379"/>
      <c r="H24" s="379"/>
      <c r="I24" s="379"/>
      <c r="J24" s="379"/>
      <c r="K24" s="379"/>
      <c r="L24" s="379"/>
      <c r="M24" s="379"/>
      <c r="N24" s="379"/>
      <c r="O24" s="379"/>
      <c r="P24" s="379"/>
      <c r="Q24" s="379"/>
      <c r="R24" s="380"/>
      <c r="S24" s="131"/>
    </row>
    <row r="25" spans="1:19" s="18" customFormat="1" ht="20.100000000000001" customHeight="1" x14ac:dyDescent="0.2">
      <c r="A25" s="125"/>
      <c r="B25" s="378"/>
      <c r="C25" s="379"/>
      <c r="D25" s="379"/>
      <c r="E25" s="379"/>
      <c r="F25" s="379"/>
      <c r="G25" s="379"/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80"/>
      <c r="S25" s="131"/>
    </row>
    <row r="26" spans="1:19" s="18" customFormat="1" ht="20.100000000000001" customHeight="1" x14ac:dyDescent="0.2">
      <c r="A26" s="125"/>
      <c r="B26" s="378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80"/>
      <c r="S26" s="131"/>
    </row>
    <row r="27" spans="1:19" s="18" customFormat="1" ht="20.100000000000001" customHeight="1" x14ac:dyDescent="0.2">
      <c r="A27" s="125"/>
      <c r="B27" s="378"/>
      <c r="C27" s="379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80"/>
      <c r="S27" s="131"/>
    </row>
    <row r="28" spans="1:19" s="18" customFormat="1" ht="20.100000000000001" customHeight="1" x14ac:dyDescent="0.2">
      <c r="A28" s="125"/>
      <c r="B28" s="378"/>
      <c r="C28" s="379"/>
      <c r="D28" s="379"/>
      <c r="E28" s="379"/>
      <c r="F28" s="379"/>
      <c r="G28" s="379"/>
      <c r="H28" s="379"/>
      <c r="I28" s="379"/>
      <c r="J28" s="379"/>
      <c r="K28" s="379"/>
      <c r="L28" s="379"/>
      <c r="M28" s="379"/>
      <c r="N28" s="379"/>
      <c r="O28" s="379"/>
      <c r="P28" s="379"/>
      <c r="Q28" s="379"/>
      <c r="R28" s="380"/>
      <c r="S28" s="131"/>
    </row>
    <row r="29" spans="1:19" s="18" customFormat="1" ht="20.100000000000001" customHeight="1" x14ac:dyDescent="0.2">
      <c r="A29" s="125"/>
      <c r="B29" s="378"/>
      <c r="C29" s="379"/>
      <c r="D29" s="379"/>
      <c r="E29" s="379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80"/>
      <c r="S29" s="131"/>
    </row>
    <row r="30" spans="1:19" s="18" customFormat="1" ht="20.100000000000001" customHeight="1" x14ac:dyDescent="0.2">
      <c r="A30" s="125"/>
      <c r="B30" s="378"/>
      <c r="C30" s="379"/>
      <c r="D30" s="379"/>
      <c r="E30" s="379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79"/>
      <c r="R30" s="380"/>
      <c r="S30" s="131"/>
    </row>
    <row r="31" spans="1:19" s="18" customFormat="1" ht="20.100000000000001" customHeight="1" x14ac:dyDescent="0.2">
      <c r="A31" s="125"/>
      <c r="B31" s="378"/>
      <c r="C31" s="379"/>
      <c r="D31" s="379"/>
      <c r="E31" s="379"/>
      <c r="F31" s="379"/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79"/>
      <c r="R31" s="380"/>
      <c r="S31" s="131"/>
    </row>
    <row r="32" spans="1:19" s="18" customFormat="1" ht="20.100000000000001" customHeight="1" x14ac:dyDescent="0.2">
      <c r="A32" s="125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8"/>
      <c r="S32" s="131"/>
    </row>
    <row r="33" spans="1:19" s="18" customFormat="1" ht="20.100000000000001" customHeight="1" x14ac:dyDescent="0.2">
      <c r="A33" s="125"/>
      <c r="B33" s="378"/>
      <c r="C33" s="379"/>
      <c r="D33" s="379"/>
      <c r="E33" s="379"/>
      <c r="F33" s="379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80"/>
      <c r="S33" s="131"/>
    </row>
    <row r="34" spans="1:19" s="18" customFormat="1" ht="20.100000000000001" customHeight="1" x14ac:dyDescent="0.2">
      <c r="A34" s="125"/>
      <c r="B34" s="378"/>
      <c r="C34" s="379"/>
      <c r="D34" s="379"/>
      <c r="E34" s="379"/>
      <c r="F34" s="379"/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79"/>
      <c r="R34" s="380"/>
      <c r="S34" s="131"/>
    </row>
    <row r="35" spans="1:19" s="18" customFormat="1" ht="20.100000000000001" customHeight="1" x14ac:dyDescent="0.2">
      <c r="A35" s="125"/>
      <c r="B35" s="378"/>
      <c r="C35" s="379"/>
      <c r="D35" s="379"/>
      <c r="E35" s="379"/>
      <c r="F35" s="379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80"/>
      <c r="S35" s="131"/>
    </row>
    <row r="36" spans="1:19" s="18" customFormat="1" ht="20.100000000000001" customHeight="1" thickBot="1" x14ac:dyDescent="0.25">
      <c r="A36" s="153"/>
      <c r="B36" s="419"/>
      <c r="C36" s="420"/>
      <c r="D36" s="420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  <c r="P36" s="420"/>
      <c r="Q36" s="420"/>
      <c r="R36" s="421"/>
      <c r="S36" s="131"/>
    </row>
    <row r="37" spans="1:19" s="19" customFormat="1" ht="20.100000000000001" customHeight="1" thickBot="1" x14ac:dyDescent="0.3">
      <c r="A37" s="411" t="s">
        <v>72</v>
      </c>
      <c r="B37" s="412"/>
      <c r="C37" s="412"/>
      <c r="D37" s="412"/>
      <c r="E37" s="412"/>
      <c r="F37" s="412"/>
      <c r="G37" s="412"/>
      <c r="H37" s="413"/>
      <c r="I37" s="411" t="s">
        <v>71</v>
      </c>
      <c r="J37" s="412"/>
      <c r="K37" s="412"/>
      <c r="L37" s="412"/>
      <c r="M37" s="412"/>
      <c r="N37" s="412"/>
      <c r="O37" s="412"/>
      <c r="P37" s="412"/>
      <c r="Q37" s="412"/>
      <c r="R37" s="413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94" t="s">
        <v>16</v>
      </c>
      <c r="K38" s="396"/>
      <c r="L38" s="135" t="s">
        <v>0</v>
      </c>
      <c r="M38" s="136" t="s">
        <v>15</v>
      </c>
      <c r="N38" s="394" t="s">
        <v>16</v>
      </c>
      <c r="O38" s="395"/>
      <c r="P38" s="395"/>
      <c r="Q38" s="396"/>
      <c r="R38" s="137" t="s">
        <v>0</v>
      </c>
      <c r="S38" s="131"/>
    </row>
    <row r="39" spans="1:19" s="18" customFormat="1" ht="20.100000000000001" customHeight="1" x14ac:dyDescent="0.2">
      <c r="A39" s="35" t="s">
        <v>124</v>
      </c>
      <c r="B39" s="124" t="s">
        <v>124</v>
      </c>
      <c r="C39" s="143" t="s">
        <v>124</v>
      </c>
      <c r="D39" s="144" t="s">
        <v>124</v>
      </c>
      <c r="E39" s="145"/>
      <c r="F39" s="124"/>
      <c r="G39" s="143"/>
      <c r="H39" s="146"/>
      <c r="I39" s="35" t="s">
        <v>124</v>
      </c>
      <c r="J39" s="348" t="s">
        <v>124</v>
      </c>
      <c r="K39" s="350"/>
      <c r="L39" s="144" t="s">
        <v>124</v>
      </c>
      <c r="M39" s="145"/>
      <c r="N39" s="348"/>
      <c r="O39" s="349"/>
      <c r="P39" s="349"/>
      <c r="Q39" s="350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48"/>
      <c r="K40" s="350"/>
      <c r="L40" s="144"/>
      <c r="M40" s="145"/>
      <c r="N40" s="348"/>
      <c r="O40" s="349"/>
      <c r="P40" s="349"/>
      <c r="Q40" s="350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48"/>
      <c r="K41" s="350"/>
      <c r="L41" s="144"/>
      <c r="M41" s="145"/>
      <c r="N41" s="348"/>
      <c r="O41" s="349"/>
      <c r="P41" s="349"/>
      <c r="Q41" s="350"/>
      <c r="R41" s="36"/>
      <c r="S41" s="131"/>
    </row>
    <row r="42" spans="1:19" s="18" customFormat="1" ht="20.100000000000001" customHeight="1" x14ac:dyDescent="0.2">
      <c r="A42" s="145"/>
      <c r="B42" s="230"/>
      <c r="C42" s="143"/>
      <c r="D42" s="146"/>
      <c r="E42" s="145"/>
      <c r="F42" s="124"/>
      <c r="G42" s="143"/>
      <c r="H42" s="146"/>
      <c r="I42" s="35"/>
      <c r="J42" s="348"/>
      <c r="K42" s="350"/>
      <c r="L42" s="144"/>
      <c r="M42" s="145"/>
      <c r="N42" s="348"/>
      <c r="O42" s="349"/>
      <c r="P42" s="349"/>
      <c r="Q42" s="350"/>
      <c r="R42" s="36"/>
      <c r="S42" s="131"/>
    </row>
    <row r="43" spans="1:19" s="18" customFormat="1" ht="20.100000000000001" customHeight="1" x14ac:dyDescent="0.2">
      <c r="A43" s="145"/>
      <c r="B43" s="230"/>
      <c r="C43" s="143"/>
      <c r="D43" s="146"/>
      <c r="E43" s="145"/>
      <c r="F43" s="124"/>
      <c r="G43" s="143"/>
      <c r="H43" s="146"/>
      <c r="I43" s="35"/>
      <c r="J43" s="348"/>
      <c r="K43" s="350"/>
      <c r="L43" s="144"/>
      <c r="M43" s="145"/>
      <c r="N43" s="348"/>
      <c r="O43" s="349"/>
      <c r="P43" s="349"/>
      <c r="Q43" s="350"/>
      <c r="R43" s="36"/>
      <c r="S43" s="131"/>
    </row>
    <row r="44" spans="1:19" s="18" customFormat="1" ht="20.100000000000001" customHeight="1" x14ac:dyDescent="0.2">
      <c r="A44" s="145"/>
      <c r="B44" s="230"/>
      <c r="C44" s="143"/>
      <c r="D44" s="146"/>
      <c r="E44" s="145"/>
      <c r="F44" s="124"/>
      <c r="G44" s="143"/>
      <c r="H44" s="146"/>
      <c r="I44" s="35"/>
      <c r="J44" s="348"/>
      <c r="K44" s="350"/>
      <c r="L44" s="144"/>
      <c r="M44" s="145"/>
      <c r="N44" s="348"/>
      <c r="O44" s="349"/>
      <c r="P44" s="349"/>
      <c r="Q44" s="350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48"/>
      <c r="K45" s="350"/>
      <c r="L45" s="144"/>
      <c r="M45" s="145"/>
      <c r="N45" s="348"/>
      <c r="O45" s="349"/>
      <c r="P45" s="349"/>
      <c r="Q45" s="350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48"/>
      <c r="K46" s="350"/>
      <c r="L46" s="144"/>
      <c r="M46" s="145"/>
      <c r="N46" s="348"/>
      <c r="O46" s="349"/>
      <c r="P46" s="349"/>
      <c r="Q46" s="350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48"/>
      <c r="K47" s="350"/>
      <c r="L47" s="144"/>
      <c r="M47" s="145"/>
      <c r="N47" s="348"/>
      <c r="O47" s="349"/>
      <c r="P47" s="349"/>
      <c r="Q47" s="350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48"/>
      <c r="K48" s="350"/>
      <c r="L48" s="144"/>
      <c r="M48" s="145"/>
      <c r="N48" s="348"/>
      <c r="O48" s="349"/>
      <c r="P48" s="349"/>
      <c r="Q48" s="350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48"/>
      <c r="K49" s="350"/>
      <c r="L49" s="144"/>
      <c r="M49" s="145"/>
      <c r="N49" s="348"/>
      <c r="O49" s="349"/>
      <c r="P49" s="349"/>
      <c r="Q49" s="350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48"/>
      <c r="K50" s="350"/>
      <c r="L50" s="144"/>
      <c r="M50" s="145"/>
      <c r="N50" s="348"/>
      <c r="O50" s="349"/>
      <c r="P50" s="349"/>
      <c r="Q50" s="350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48"/>
      <c r="K51" s="350"/>
      <c r="L51" s="144"/>
      <c r="M51" s="145"/>
      <c r="N51" s="348"/>
      <c r="O51" s="349"/>
      <c r="P51" s="349"/>
      <c r="Q51" s="350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48"/>
      <c r="K52" s="350"/>
      <c r="L52" s="144"/>
      <c r="M52" s="145"/>
      <c r="N52" s="348"/>
      <c r="O52" s="349"/>
      <c r="P52" s="349"/>
      <c r="Q52" s="350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48"/>
      <c r="K53" s="350"/>
      <c r="L53" s="150"/>
      <c r="M53" s="151"/>
      <c r="N53" s="348"/>
      <c r="O53" s="349"/>
      <c r="P53" s="349"/>
      <c r="Q53" s="350"/>
      <c r="R53" s="36"/>
      <c r="S53" s="131"/>
    </row>
    <row r="54" spans="1:19" s="18" customFormat="1" ht="20.100000000000001" customHeight="1" thickBot="1" x14ac:dyDescent="0.3">
      <c r="A54" s="417" t="s">
        <v>49</v>
      </c>
      <c r="B54" s="418"/>
      <c r="C54" s="415">
        <v>0</v>
      </c>
      <c r="D54" s="416"/>
      <c r="E54" s="383" t="s">
        <v>70</v>
      </c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4"/>
      <c r="R54" s="38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82" t="s">
        <v>86</v>
      </c>
      <c r="N55" s="382"/>
      <c r="O55" s="382"/>
      <c r="P55" s="382"/>
      <c r="Q55" s="382"/>
      <c r="R55" s="38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8">
    <mergeCell ref="N42:Q42"/>
    <mergeCell ref="N45:Q45"/>
    <mergeCell ref="Q6:R6"/>
    <mergeCell ref="D8:F8"/>
    <mergeCell ref="B31:R31"/>
    <mergeCell ref="B33:R33"/>
    <mergeCell ref="C54:D54"/>
    <mergeCell ref="N48:Q48"/>
    <mergeCell ref="A54:B54"/>
    <mergeCell ref="J46:K46"/>
    <mergeCell ref="J41:K41"/>
    <mergeCell ref="N53:Q53"/>
    <mergeCell ref="N49:Q49"/>
    <mergeCell ref="B35:R35"/>
    <mergeCell ref="B36:R36"/>
    <mergeCell ref="J53:K53"/>
    <mergeCell ref="J49:K49"/>
    <mergeCell ref="J50:K50"/>
    <mergeCell ref="J51:K51"/>
    <mergeCell ref="J52:K52"/>
    <mergeCell ref="J48:K48"/>
    <mergeCell ref="J47:K47"/>
    <mergeCell ref="N50:Q50"/>
    <mergeCell ref="N51:Q51"/>
    <mergeCell ref="N52:Q52"/>
    <mergeCell ref="J45:K45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J43:K43"/>
    <mergeCell ref="B28:R28"/>
    <mergeCell ref="B15:R15"/>
    <mergeCell ref="B16:R16"/>
    <mergeCell ref="B34:R34"/>
    <mergeCell ref="D11:R11"/>
    <mergeCell ref="B21:R21"/>
    <mergeCell ref="B23:R23"/>
    <mergeCell ref="B24:R24"/>
    <mergeCell ref="O4:R4"/>
    <mergeCell ref="N40:Q40"/>
    <mergeCell ref="J38:K38"/>
    <mergeCell ref="M9:R9"/>
    <mergeCell ref="M8:R8"/>
    <mergeCell ref="B14:R14"/>
    <mergeCell ref="C13:E13"/>
    <mergeCell ref="A4:C4"/>
    <mergeCell ref="B17:R17"/>
    <mergeCell ref="Q5:R5"/>
    <mergeCell ref="K9:L9"/>
    <mergeCell ref="A10:C10"/>
    <mergeCell ref="N44:Q44"/>
    <mergeCell ref="M55:R55"/>
    <mergeCell ref="E54:R54"/>
    <mergeCell ref="J44:K44"/>
    <mergeCell ref="B26:R26"/>
    <mergeCell ref="B30:R30"/>
    <mergeCell ref="B29:R29"/>
    <mergeCell ref="A13:B13"/>
    <mergeCell ref="A5:C5"/>
    <mergeCell ref="M7:N7"/>
    <mergeCell ref="D6:L6"/>
    <mergeCell ref="B19:R19"/>
    <mergeCell ref="D7:L7"/>
    <mergeCell ref="A6:C7"/>
    <mergeCell ref="I8:J8"/>
    <mergeCell ref="K8:L8"/>
    <mergeCell ref="M6:P6"/>
    <mergeCell ref="N47:Q47"/>
    <mergeCell ref="D10:R10"/>
    <mergeCell ref="I9:J9"/>
    <mergeCell ref="G9:H9"/>
    <mergeCell ref="J39:K39"/>
    <mergeCell ref="N38:Q38"/>
    <mergeCell ref="N39:Q39"/>
    <mergeCell ref="J42:K42"/>
    <mergeCell ref="J40:K40"/>
    <mergeCell ref="N43:Q43"/>
    <mergeCell ref="F13:R13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D3:L3"/>
    <mergeCell ref="B25:R25"/>
    <mergeCell ref="B27:R27"/>
    <mergeCell ref="D4:L4"/>
    <mergeCell ref="D5:L5"/>
    <mergeCell ref="O3:P3"/>
    <mergeCell ref="M4:N4"/>
    <mergeCell ref="M3:N3"/>
    <mergeCell ref="M5:P5"/>
    <mergeCell ref="N41:Q41"/>
    <mergeCell ref="B18:R1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tabSelected="1"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82" t="str">
        <f>IF(ISBLANK(Cover!D3),"",Cover!D3)</f>
        <v>*</v>
      </c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33" t="s">
        <v>28</v>
      </c>
      <c r="AA1" s="264" t="str">
        <f>IF(ISBLANK(Cover!O2),"",Cover!O2)</f>
        <v>*</v>
      </c>
      <c r="AB1" s="264"/>
      <c r="AC1" s="265"/>
    </row>
    <row r="2" spans="1:29" s="9" customFormat="1" ht="20.100000000000001" customHeight="1" thickBot="1" x14ac:dyDescent="0.25">
      <c r="A2" s="254" t="s">
        <v>27</v>
      </c>
      <c r="B2" s="255"/>
      <c r="C2" s="289" t="str">
        <f>IF(ISBLANK(Cover!D4),"",Cover!D4)</f>
        <v>*</v>
      </c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34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7" t="s">
        <v>46</v>
      </c>
      <c r="B3" s="287" t="s">
        <v>0</v>
      </c>
      <c r="C3" s="287" t="s">
        <v>1</v>
      </c>
      <c r="D3" s="274" t="s">
        <v>83</v>
      </c>
      <c r="E3" s="275"/>
      <c r="F3" s="272" t="s">
        <v>2</v>
      </c>
      <c r="G3" s="273"/>
      <c r="H3" s="273"/>
      <c r="I3" s="272" t="s">
        <v>5</v>
      </c>
      <c r="J3" s="273"/>
      <c r="K3" s="273"/>
      <c r="L3" s="272" t="s">
        <v>8</v>
      </c>
      <c r="M3" s="283"/>
      <c r="N3" s="237" t="s">
        <v>6</v>
      </c>
      <c r="O3" s="237" t="s">
        <v>22</v>
      </c>
      <c r="P3" s="286" t="s">
        <v>81</v>
      </c>
      <c r="Q3" s="273"/>
      <c r="R3" s="283"/>
      <c r="S3" s="272" t="s">
        <v>77</v>
      </c>
      <c r="T3" s="273"/>
      <c r="U3" s="273"/>
      <c r="V3" s="272" t="s">
        <v>78</v>
      </c>
      <c r="W3" s="273"/>
      <c r="X3" s="283"/>
      <c r="Y3" s="280" t="s">
        <v>82</v>
      </c>
      <c r="Z3" s="266" t="s">
        <v>11</v>
      </c>
      <c r="AA3" s="267"/>
      <c r="AB3" s="267"/>
      <c r="AC3" s="268"/>
    </row>
    <row r="4" spans="1:29" s="9" customFormat="1" ht="20.100000000000001" customHeight="1" thickBot="1" x14ac:dyDescent="0.25">
      <c r="A4" s="288"/>
      <c r="B4" s="288"/>
      <c r="C4" s="288"/>
      <c r="D4" s="276"/>
      <c r="E4" s="277"/>
      <c r="F4" s="61" t="s">
        <v>3</v>
      </c>
      <c r="G4" s="278" t="s">
        <v>4</v>
      </c>
      <c r="H4" s="279"/>
      <c r="I4" s="61" t="s">
        <v>3</v>
      </c>
      <c r="J4" s="278" t="s">
        <v>4</v>
      </c>
      <c r="K4" s="279"/>
      <c r="L4" s="61" t="s">
        <v>9</v>
      </c>
      <c r="M4" s="236" t="s">
        <v>10</v>
      </c>
      <c r="N4" s="238" t="s">
        <v>7</v>
      </c>
      <c r="O4" s="235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78" t="s">
        <v>79</v>
      </c>
      <c r="U4" s="279"/>
      <c r="V4" s="61" t="s">
        <v>80</v>
      </c>
      <c r="W4" s="278" t="s">
        <v>79</v>
      </c>
      <c r="X4" s="279"/>
      <c r="Y4" s="281"/>
      <c r="Z4" s="269"/>
      <c r="AA4" s="270"/>
      <c r="AB4" s="270"/>
      <c r="AC4" s="271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49"/>
      <c r="P5" s="177"/>
      <c r="Q5" s="176"/>
      <c r="R5" s="156"/>
      <c r="S5" s="166"/>
      <c r="T5" s="159"/>
      <c r="U5" s="160"/>
      <c r="V5" s="166"/>
      <c r="W5" s="159"/>
      <c r="X5" s="160"/>
      <c r="Y5" s="162"/>
      <c r="Z5" s="298"/>
      <c r="AA5" s="299"/>
      <c r="AB5" s="299"/>
      <c r="AC5" s="30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61"/>
      <c r="AA6" s="262"/>
      <c r="AB6" s="262"/>
      <c r="AC6" s="26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61"/>
      <c r="AA7" s="262"/>
      <c r="AB7" s="262"/>
      <c r="AC7" s="26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61"/>
      <c r="AA8" s="262"/>
      <c r="AB8" s="262"/>
      <c r="AC8" s="26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61"/>
      <c r="AA9" s="262"/>
      <c r="AB9" s="262"/>
      <c r="AC9" s="26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61"/>
      <c r="AA10" s="262"/>
      <c r="AB10" s="262"/>
      <c r="AC10" s="26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61"/>
      <c r="AA11" s="262"/>
      <c r="AB11" s="262"/>
      <c r="AC11" s="26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61"/>
      <c r="AA12" s="262"/>
      <c r="AB12" s="262"/>
      <c r="AC12" s="26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61"/>
      <c r="AA13" s="262"/>
      <c r="AB13" s="262"/>
      <c r="AC13" s="26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61"/>
      <c r="AA14" s="262"/>
      <c r="AB14" s="262"/>
      <c r="AC14" s="26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61"/>
      <c r="AA15" s="262"/>
      <c r="AB15" s="262"/>
      <c r="AC15" s="26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61"/>
      <c r="AA16" s="262"/>
      <c r="AB16" s="262"/>
      <c r="AC16" s="26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61"/>
      <c r="AA17" s="262"/>
      <c r="AB17" s="262"/>
      <c r="AC17" s="26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61"/>
      <c r="AA18" s="262"/>
      <c r="AB18" s="262"/>
      <c r="AC18" s="26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61"/>
      <c r="AA19" s="262"/>
      <c r="AB19" s="262"/>
      <c r="AC19" s="26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61"/>
      <c r="AA20" s="262"/>
      <c r="AB20" s="262"/>
      <c r="AC20" s="26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61"/>
      <c r="AA21" s="262"/>
      <c r="AB21" s="262"/>
      <c r="AC21" s="26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61"/>
      <c r="AA22" s="262"/>
      <c r="AB22" s="262"/>
      <c r="AC22" s="26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61"/>
      <c r="AA23" s="262"/>
      <c r="AB23" s="262"/>
      <c r="AC23" s="26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61"/>
      <c r="AA24" s="262"/>
      <c r="AB24" s="262"/>
      <c r="AC24" s="26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61"/>
      <c r="AA25" s="262"/>
      <c r="AB25" s="262"/>
      <c r="AC25" s="26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61"/>
      <c r="AA26" s="262"/>
      <c r="AB26" s="262"/>
      <c r="AC26" s="26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61"/>
      <c r="AA27" s="262"/>
      <c r="AB27" s="262"/>
      <c r="AC27" s="26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61"/>
      <c r="AA28" s="262"/>
      <c r="AB28" s="262"/>
      <c r="AC28" s="26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61"/>
      <c r="AA29" s="262"/>
      <c r="AB29" s="262"/>
      <c r="AC29" s="26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61"/>
      <c r="AA30" s="262"/>
      <c r="AB30" s="262"/>
      <c r="AC30" s="26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61"/>
      <c r="AA31" s="262"/>
      <c r="AB31" s="262"/>
      <c r="AC31" s="26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61"/>
      <c r="AA32" s="262"/>
      <c r="AB32" s="262"/>
      <c r="AC32" s="26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61"/>
      <c r="AA33" s="262"/>
      <c r="AB33" s="262"/>
      <c r="AC33" s="26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61"/>
      <c r="AA34" s="262"/>
      <c r="AB34" s="262"/>
      <c r="AC34" s="26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61"/>
      <c r="AA35" s="262"/>
      <c r="AB35" s="262"/>
      <c r="AC35" s="26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61"/>
      <c r="AA36" s="262"/>
      <c r="AB36" s="262"/>
      <c r="AC36" s="26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61"/>
      <c r="AA37" s="262"/>
      <c r="AB37" s="262"/>
      <c r="AC37" s="26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61"/>
      <c r="AA38" s="262"/>
      <c r="AB38" s="262"/>
      <c r="AC38" s="26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61"/>
      <c r="AA39" s="262"/>
      <c r="AB39" s="262"/>
      <c r="AC39" s="26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61"/>
      <c r="AA40" s="262"/>
      <c r="AB40" s="262"/>
      <c r="AC40" s="26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61"/>
      <c r="AA41" s="262"/>
      <c r="AB41" s="262"/>
      <c r="AC41" s="263"/>
    </row>
    <row r="42" spans="1:29" s="18" customFormat="1" ht="20.100000000000001" customHeight="1" thickBot="1" x14ac:dyDescent="0.25">
      <c r="A42" s="74" t="s">
        <v>49</v>
      </c>
      <c r="B42" s="296">
        <f>SUM(B5:B41)</f>
        <v>0</v>
      </c>
      <c r="C42" s="297"/>
      <c r="D42" s="293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5"/>
    </row>
    <row r="43" spans="1:29" s="18" customFormat="1" ht="20.100000000000001" customHeight="1" x14ac:dyDescent="0.2">
      <c r="A43" s="164" t="s">
        <v>25</v>
      </c>
      <c r="B43" s="284"/>
      <c r="C43" s="284"/>
      <c r="D43" s="284"/>
      <c r="E43" s="284"/>
      <c r="F43" s="284"/>
      <c r="G43" s="284"/>
      <c r="H43" s="284"/>
      <c r="I43" s="284"/>
      <c r="J43" s="284"/>
      <c r="K43" s="284"/>
      <c r="L43" s="284"/>
      <c r="M43" s="284"/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  <c r="AA43" s="284"/>
      <c r="AB43" s="284"/>
      <c r="AC43" s="285"/>
    </row>
    <row r="44" spans="1:29" s="18" customFormat="1" ht="20.100000000000001" customHeight="1" x14ac:dyDescent="0.2">
      <c r="A44" s="261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3"/>
    </row>
    <row r="45" spans="1:29" s="18" customFormat="1" ht="20.100000000000001" customHeight="1" thickBot="1" x14ac:dyDescent="0.25">
      <c r="A45" s="290"/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2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disablePrompts="1" count="5">
    <dataValidation type="list" allowBlank="1" showInputMessage="1" showErrorMessage="1" errorTitle="Bad Input" error="Input for this cell must be one of the listed positions and all uppercase!" sqref="R5 R7:R8 R10:R11 R13:R14 R16:R18 R20:R21 R23:R24 R26:R27 R29:R30 R32:R41 R6 R9 R12 R15 R19 R22 R25 R28">
      <formula1>"TC,BC,BE,LE,RE"</formula1>
    </dataValidation>
    <dataValidation type="list" allowBlank="1" showInputMessage="1" showErrorMessage="1" errorTitle="Bad Input" error="Input for this cell must be one of the listed categories and all uppercase!" sqref="Q5 Q7:Q8 Q10:Q11 Q13:Q14 Q16:Q18 Q20:Q21 Q23:Q24 Q26:Q27 Q29:Q30 Q32:Q41 Q6 Q9 Q12 Q15 Q19 Q22 Q25 Q28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1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M50"/>
  <sheetViews>
    <sheetView workbookViewId="0">
      <selection activeCell="K2" sqref="K2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8" t="s">
        <v>26</v>
      </c>
      <c r="B1" s="319"/>
      <c r="C1" s="315" t="str">
        <f>IF(ISBLANK(Cover!D3),"",Cover!D3)</f>
        <v>*</v>
      </c>
      <c r="D1" s="315"/>
      <c r="E1" s="315"/>
      <c r="F1" s="315"/>
      <c r="G1" s="315"/>
      <c r="H1" s="315"/>
      <c r="I1" s="315"/>
      <c r="J1" s="231" t="s">
        <v>19</v>
      </c>
      <c r="K1" s="306" t="str">
        <f>IF(ISBLANK(Cover!O2),"",Cover!O2)</f>
        <v>*</v>
      </c>
      <c r="L1" s="306"/>
      <c r="M1" s="307"/>
    </row>
    <row r="2" spans="1:13" ht="20.100000000000001" customHeight="1" thickBot="1" x14ac:dyDescent="0.25">
      <c r="A2" s="320" t="s">
        <v>27</v>
      </c>
      <c r="B2" s="321"/>
      <c r="C2" s="314" t="str">
        <f>IF(ISBLANK(Cover!D4),"",Cover!D4)</f>
        <v>*</v>
      </c>
      <c r="D2" s="314"/>
      <c r="E2" s="314"/>
      <c r="F2" s="314"/>
      <c r="G2" s="314"/>
      <c r="H2" s="314"/>
      <c r="I2" s="314"/>
      <c r="J2" s="232" t="s">
        <v>38</v>
      </c>
      <c r="K2" s="59">
        <v>3</v>
      </c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01"/>
      <c r="B25" s="302"/>
      <c r="C25" s="303"/>
      <c r="D25" s="304" t="s">
        <v>49</v>
      </c>
      <c r="E25" s="305"/>
      <c r="F25" s="1">
        <f>ROUNDUP(SUM(F4:F24)*1.02,-1)</f>
        <v>0</v>
      </c>
      <c r="G25" s="312"/>
      <c r="H25" s="301"/>
      <c r="I25" s="302"/>
      <c r="J25" s="303"/>
      <c r="K25" s="304" t="s">
        <v>49</v>
      </c>
      <c r="L25" s="30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01"/>
      <c r="B47" s="302"/>
      <c r="C47" s="303"/>
      <c r="D47" s="304" t="s">
        <v>49</v>
      </c>
      <c r="E47" s="305"/>
      <c r="F47" s="1">
        <f>ROUNDUP(SUM(F26:F46)*1.02,-1)</f>
        <v>0</v>
      </c>
      <c r="G47" s="312"/>
      <c r="H47" s="301"/>
      <c r="I47" s="302"/>
      <c r="J47" s="303"/>
      <c r="K47" s="304" t="s">
        <v>49</v>
      </c>
      <c r="L47" s="305"/>
      <c r="M47" s="1">
        <f>ROUNDUP(SUM(M26:M46)*1.02,-1)</f>
        <v>0</v>
      </c>
    </row>
    <row r="48" spans="1:13" ht="9.9499999999999993" customHeight="1" thickBot="1" x14ac:dyDescent="0.25">
      <c r="A48" s="308"/>
      <c r="B48" s="309"/>
      <c r="C48" s="309"/>
      <c r="D48" s="309"/>
      <c r="E48" s="309"/>
      <c r="F48" s="310"/>
      <c r="G48" s="312"/>
      <c r="H48" s="308"/>
      <c r="I48" s="309"/>
      <c r="J48" s="309"/>
      <c r="K48" s="309"/>
      <c r="L48" s="309"/>
      <c r="M48" s="310"/>
    </row>
    <row r="49" spans="1:13" ht="20.100000000000001" customHeight="1" thickBot="1" x14ac:dyDescent="0.3">
      <c r="A49" s="31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2"/>
      <c r="H49" s="31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7"/>
      <c r="B50" s="55"/>
      <c r="C50" s="3"/>
      <c r="D50" s="56"/>
      <c r="E50" s="57"/>
      <c r="F50" s="58" t="str">
        <f>IF(ISBLANK(D50),"",ROUNDUP((D50*E50)*0.5*1.02,-1))</f>
        <v/>
      </c>
      <c r="G50" s="313"/>
      <c r="H50" s="31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31" t="s">
        <v>91</v>
      </c>
      <c r="B1" s="431"/>
      <c r="C1" s="431"/>
      <c r="D1" s="431"/>
      <c r="E1" s="431"/>
      <c r="F1" s="431"/>
    </row>
    <row r="2" spans="1:6" ht="47.25" customHeight="1" x14ac:dyDescent="0.2">
      <c r="A2" s="431"/>
      <c r="B2" s="431"/>
      <c r="C2" s="431"/>
      <c r="D2" s="431"/>
      <c r="E2" s="431"/>
      <c r="F2" s="431"/>
    </row>
    <row r="3" spans="1:6" ht="18" customHeight="1" x14ac:dyDescent="0.2">
      <c r="A3" s="422" t="s">
        <v>119</v>
      </c>
      <c r="B3" s="422"/>
      <c r="C3" s="422"/>
      <c r="D3" s="211"/>
      <c r="E3" s="210" t="s">
        <v>92</v>
      </c>
      <c r="F3" s="212"/>
    </row>
    <row r="4" spans="1:6" ht="18" customHeight="1" x14ac:dyDescent="0.2">
      <c r="A4" s="422" t="s">
        <v>120</v>
      </c>
      <c r="B4" s="422"/>
      <c r="C4" s="422"/>
      <c r="D4" s="213"/>
      <c r="E4" s="210" t="s">
        <v>93</v>
      </c>
      <c r="F4" s="212"/>
    </row>
    <row r="5" spans="1:6" ht="18.75" customHeight="1" thickBot="1" x14ac:dyDescent="0.25">
      <c r="A5" s="435"/>
      <c r="B5" s="435"/>
      <c r="C5" s="435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32" t="s">
        <v>97</v>
      </c>
      <c r="E6" s="433"/>
      <c r="F6" s="434"/>
    </row>
    <row r="7" spans="1:6" ht="15" customHeight="1" thickTop="1" x14ac:dyDescent="0.2">
      <c r="A7" s="219"/>
      <c r="B7" s="220"/>
      <c r="C7" s="220"/>
      <c r="D7" s="423" t="s">
        <v>98</v>
      </c>
      <c r="E7" s="423"/>
      <c r="F7" s="424"/>
    </row>
    <row r="8" spans="1:6" ht="15" customHeight="1" x14ac:dyDescent="0.2">
      <c r="A8" s="221"/>
      <c r="B8" s="222"/>
      <c r="C8" s="222"/>
      <c r="D8" s="425" t="s">
        <v>99</v>
      </c>
      <c r="E8" s="425"/>
      <c r="F8" s="426"/>
    </row>
    <row r="9" spans="1:6" ht="15" customHeight="1" x14ac:dyDescent="0.2">
      <c r="A9" s="221"/>
      <c r="B9" s="222"/>
      <c r="C9" s="222"/>
      <c r="D9" s="425" t="s">
        <v>100</v>
      </c>
      <c r="E9" s="425"/>
      <c r="F9" s="426"/>
    </row>
    <row r="10" spans="1:6" ht="15" customHeight="1" x14ac:dyDescent="0.2">
      <c r="A10" s="221"/>
      <c r="B10" s="222"/>
      <c r="C10" s="222"/>
      <c r="D10" s="425" t="s">
        <v>101</v>
      </c>
      <c r="E10" s="425"/>
      <c r="F10" s="426"/>
    </row>
    <row r="11" spans="1:6" ht="15" customHeight="1" x14ac:dyDescent="0.2">
      <c r="A11" s="221"/>
      <c r="B11" s="222"/>
      <c r="C11" s="222"/>
      <c r="D11" s="425" t="s">
        <v>102</v>
      </c>
      <c r="E11" s="425"/>
      <c r="F11" s="426"/>
    </row>
    <row r="12" spans="1:6" ht="15" customHeight="1" x14ac:dyDescent="0.2">
      <c r="A12" s="221"/>
      <c r="B12" s="222"/>
      <c r="C12" s="222"/>
      <c r="D12" s="425" t="s">
        <v>103</v>
      </c>
      <c r="E12" s="425"/>
      <c r="F12" s="426"/>
    </row>
    <row r="13" spans="1:6" ht="15" customHeight="1" x14ac:dyDescent="0.2">
      <c r="A13" s="221"/>
      <c r="B13" s="222"/>
      <c r="C13" s="222"/>
      <c r="D13" s="425" t="s">
        <v>104</v>
      </c>
      <c r="E13" s="425"/>
      <c r="F13" s="426"/>
    </row>
    <row r="14" spans="1:6" ht="15" customHeight="1" x14ac:dyDescent="0.2">
      <c r="A14" s="221"/>
      <c r="B14" s="222"/>
      <c r="C14" s="222"/>
      <c r="D14" s="425" t="s">
        <v>105</v>
      </c>
      <c r="E14" s="425"/>
      <c r="F14" s="426"/>
    </row>
    <row r="15" spans="1:6" ht="15" customHeight="1" x14ac:dyDescent="0.2">
      <c r="A15" s="221"/>
      <c r="B15" s="222"/>
      <c r="C15" s="222"/>
      <c r="D15" s="425" t="s">
        <v>106</v>
      </c>
      <c r="E15" s="425"/>
      <c r="F15" s="426"/>
    </row>
    <row r="16" spans="1:6" ht="15" customHeight="1" x14ac:dyDescent="0.2">
      <c r="A16" s="221"/>
      <c r="B16" s="222"/>
      <c r="C16" s="222"/>
      <c r="D16" s="425" t="s">
        <v>107</v>
      </c>
      <c r="E16" s="425"/>
      <c r="F16" s="426"/>
    </row>
    <row r="17" spans="1:6" ht="15" customHeight="1" x14ac:dyDescent="0.2">
      <c r="A17" s="221"/>
      <c r="B17" s="222"/>
      <c r="C17" s="222"/>
      <c r="D17" s="425" t="s">
        <v>108</v>
      </c>
      <c r="E17" s="425"/>
      <c r="F17" s="426"/>
    </row>
    <row r="18" spans="1:6" ht="15" customHeight="1" x14ac:dyDescent="0.2">
      <c r="A18" s="221"/>
      <c r="B18" s="222"/>
      <c r="C18" s="222"/>
      <c r="D18" s="425" t="s">
        <v>109</v>
      </c>
      <c r="E18" s="425"/>
      <c r="F18" s="426"/>
    </row>
    <row r="19" spans="1:6" ht="15" customHeight="1" x14ac:dyDescent="0.2">
      <c r="A19" s="221"/>
      <c r="B19" s="222"/>
      <c r="C19" s="222"/>
      <c r="D19" s="425" t="s">
        <v>110</v>
      </c>
      <c r="E19" s="425"/>
      <c r="F19" s="426"/>
    </row>
    <row r="20" spans="1:6" ht="15" customHeight="1" x14ac:dyDescent="0.2">
      <c r="A20" s="221"/>
      <c r="B20" s="222"/>
      <c r="C20" s="222"/>
      <c r="D20" s="425" t="s">
        <v>111</v>
      </c>
      <c r="E20" s="425"/>
      <c r="F20" s="426"/>
    </row>
    <row r="21" spans="1:6" ht="15" customHeight="1" x14ac:dyDescent="0.2">
      <c r="A21" s="221"/>
      <c r="B21" s="222"/>
      <c r="C21" s="222"/>
      <c r="D21" s="425" t="s">
        <v>112</v>
      </c>
      <c r="E21" s="425"/>
      <c r="F21" s="426"/>
    </row>
    <row r="22" spans="1:6" ht="15" customHeight="1" x14ac:dyDescent="0.2">
      <c r="A22" s="221"/>
      <c r="B22" s="222"/>
      <c r="C22" s="222"/>
      <c r="D22" s="425" t="s">
        <v>113</v>
      </c>
      <c r="E22" s="425"/>
      <c r="F22" s="426"/>
    </row>
    <row r="23" spans="1:6" ht="15" customHeight="1" x14ac:dyDescent="0.2">
      <c r="A23" s="221"/>
      <c r="B23" s="222"/>
      <c r="C23" s="222"/>
      <c r="D23" s="425" t="s">
        <v>114</v>
      </c>
      <c r="E23" s="425"/>
      <c r="F23" s="426"/>
    </row>
    <row r="24" spans="1:6" ht="15" customHeight="1" x14ac:dyDescent="0.2">
      <c r="A24" s="221"/>
      <c r="B24" s="222"/>
      <c r="C24" s="222"/>
      <c r="D24" s="425" t="s">
        <v>115</v>
      </c>
      <c r="E24" s="425"/>
      <c r="F24" s="426"/>
    </row>
    <row r="25" spans="1:6" ht="15" customHeight="1" x14ac:dyDescent="0.2">
      <c r="A25" s="221"/>
      <c r="B25" s="222"/>
      <c r="C25" s="222"/>
      <c r="D25" s="425" t="s">
        <v>116</v>
      </c>
      <c r="E25" s="425"/>
      <c r="F25" s="426"/>
    </row>
    <row r="26" spans="1:6" ht="15" customHeight="1" x14ac:dyDescent="0.2">
      <c r="A26" s="221"/>
      <c r="B26" s="222"/>
      <c r="C26" s="222"/>
      <c r="D26" s="425" t="s">
        <v>117</v>
      </c>
      <c r="E26" s="425"/>
      <c r="F26" s="426"/>
    </row>
    <row r="27" spans="1:6" ht="15" customHeight="1" x14ac:dyDescent="0.2">
      <c r="A27" s="221"/>
      <c r="B27" s="222"/>
      <c r="C27" s="222"/>
      <c r="D27" s="425" t="s">
        <v>118</v>
      </c>
      <c r="E27" s="425"/>
      <c r="F27" s="426"/>
    </row>
    <row r="28" spans="1:6" ht="15" customHeight="1" x14ac:dyDescent="0.2">
      <c r="A28" s="221"/>
      <c r="B28" s="222"/>
      <c r="C28" s="222"/>
      <c r="D28" s="425"/>
      <c r="E28" s="425"/>
      <c r="F28" s="426"/>
    </row>
    <row r="29" spans="1:6" ht="15" customHeight="1" x14ac:dyDescent="0.2">
      <c r="A29" s="221"/>
      <c r="B29" s="222"/>
      <c r="C29" s="222"/>
      <c r="D29" s="425"/>
      <c r="E29" s="425"/>
      <c r="F29" s="426"/>
    </row>
    <row r="30" spans="1:6" ht="15" customHeight="1" x14ac:dyDescent="0.2">
      <c r="A30" s="221"/>
      <c r="B30" s="222"/>
      <c r="C30" s="222"/>
      <c r="D30" s="425"/>
      <c r="E30" s="425"/>
      <c r="F30" s="426"/>
    </row>
    <row r="31" spans="1:6" ht="15" customHeight="1" x14ac:dyDescent="0.2">
      <c r="A31" s="221"/>
      <c r="B31" s="222"/>
      <c r="C31" s="222"/>
      <c r="D31" s="425"/>
      <c r="E31" s="425"/>
      <c r="F31" s="426"/>
    </row>
    <row r="32" spans="1:6" ht="15" customHeight="1" x14ac:dyDescent="0.2">
      <c r="A32" s="221"/>
      <c r="B32" s="222"/>
      <c r="C32" s="222"/>
      <c r="D32" s="425"/>
      <c r="E32" s="425"/>
      <c r="F32" s="426"/>
    </row>
    <row r="33" spans="1:6" ht="15" customHeight="1" x14ac:dyDescent="0.2">
      <c r="A33" s="221"/>
      <c r="B33" s="222"/>
      <c r="C33" s="222"/>
      <c r="D33" s="425"/>
      <c r="E33" s="425"/>
      <c r="F33" s="426"/>
    </row>
    <row r="34" spans="1:6" ht="15" customHeight="1" x14ac:dyDescent="0.2">
      <c r="A34" s="221"/>
      <c r="B34" s="222"/>
      <c r="C34" s="222"/>
      <c r="D34" s="425"/>
      <c r="E34" s="425"/>
      <c r="F34" s="426"/>
    </row>
    <row r="35" spans="1:6" ht="15" customHeight="1" x14ac:dyDescent="0.2">
      <c r="A35" s="221"/>
      <c r="B35" s="222"/>
      <c r="C35" s="222"/>
      <c r="D35" s="425"/>
      <c r="E35" s="425"/>
      <c r="F35" s="426"/>
    </row>
    <row r="36" spans="1:6" ht="15" customHeight="1" x14ac:dyDescent="0.2">
      <c r="A36" s="221"/>
      <c r="B36" s="222"/>
      <c r="C36" s="222"/>
      <c r="D36" s="425"/>
      <c r="E36" s="425"/>
      <c r="F36" s="426"/>
    </row>
    <row r="37" spans="1:6" ht="15" customHeight="1" x14ac:dyDescent="0.2">
      <c r="A37" s="221"/>
      <c r="B37" s="222"/>
      <c r="C37" s="222"/>
      <c r="D37" s="425"/>
      <c r="E37" s="425"/>
      <c r="F37" s="426"/>
    </row>
    <row r="38" spans="1:6" ht="15" customHeight="1" x14ac:dyDescent="0.2">
      <c r="A38" s="221"/>
      <c r="B38" s="222"/>
      <c r="C38" s="222"/>
      <c r="D38" s="425"/>
      <c r="E38" s="425"/>
      <c r="F38" s="426"/>
    </row>
    <row r="39" spans="1:6" ht="15" customHeight="1" x14ac:dyDescent="0.2">
      <c r="A39" s="221"/>
      <c r="B39" s="222"/>
      <c r="C39" s="222"/>
      <c r="D39" s="425"/>
      <c r="E39" s="425"/>
      <c r="F39" s="426"/>
    </row>
    <row r="40" spans="1:6" ht="15" customHeight="1" x14ac:dyDescent="0.2">
      <c r="A40" s="221"/>
      <c r="B40" s="222"/>
      <c r="C40" s="222"/>
      <c r="D40" s="425"/>
      <c r="E40" s="425"/>
      <c r="F40" s="426"/>
    </row>
    <row r="41" spans="1:6" ht="15" customHeight="1" x14ac:dyDescent="0.2">
      <c r="A41" s="221"/>
      <c r="B41" s="222"/>
      <c r="C41" s="222"/>
      <c r="D41" s="425"/>
      <c r="E41" s="425"/>
      <c r="F41" s="426"/>
    </row>
    <row r="42" spans="1:6" ht="15" customHeight="1" x14ac:dyDescent="0.2">
      <c r="A42" s="221"/>
      <c r="B42" s="222"/>
      <c r="C42" s="222"/>
      <c r="D42" s="425"/>
      <c r="E42" s="425"/>
      <c r="F42" s="426"/>
    </row>
    <row r="43" spans="1:6" ht="15" customHeight="1" x14ac:dyDescent="0.2">
      <c r="A43" s="221"/>
      <c r="B43" s="223"/>
      <c r="C43" s="223"/>
      <c r="D43" s="425"/>
      <c r="E43" s="425"/>
      <c r="F43" s="426"/>
    </row>
    <row r="44" spans="1:6" ht="15" customHeight="1" x14ac:dyDescent="0.2">
      <c r="A44" s="224"/>
      <c r="B44" s="225"/>
      <c r="C44" s="225"/>
      <c r="D44" s="429"/>
      <c r="E44" s="429"/>
      <c r="F44" s="430"/>
    </row>
    <row r="45" spans="1:6" ht="15" customHeight="1" x14ac:dyDescent="0.2">
      <c r="A45" s="226"/>
      <c r="B45" s="223"/>
      <c r="C45" s="223"/>
      <c r="D45" s="425"/>
      <c r="E45" s="425"/>
      <c r="F45" s="426"/>
    </row>
    <row r="46" spans="1:6" ht="15" customHeight="1" x14ac:dyDescent="0.2">
      <c r="A46" s="224"/>
      <c r="B46" s="225"/>
      <c r="C46" s="225"/>
      <c r="D46" s="429"/>
      <c r="E46" s="429"/>
      <c r="F46" s="430"/>
    </row>
    <row r="47" spans="1:6" ht="15" customHeight="1" thickBot="1" x14ac:dyDescent="0.25">
      <c r="A47" s="227"/>
      <c r="B47" s="228"/>
      <c r="C47" s="228"/>
      <c r="D47" s="427"/>
      <c r="E47" s="427"/>
      <c r="F47" s="428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C55"/>
  <sheetViews>
    <sheetView zoomScale="75" zoomScaleNormal="75" workbookViewId="0">
      <selection activeCell="H35" sqref="H3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82" t="str">
        <f>IF(ISBLANK(Cover!D3),"",Cover!D3)</f>
        <v>*</v>
      </c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40" t="s">
        <v>28</v>
      </c>
      <c r="AA1" s="264" t="str">
        <f>IF(ISBLANK(Cover!O2),"",Cover!O2)</f>
        <v>*</v>
      </c>
      <c r="AB1" s="264"/>
      <c r="AC1" s="265"/>
    </row>
    <row r="2" spans="1:29" s="9" customFormat="1" ht="20.100000000000001" customHeight="1" thickBot="1" x14ac:dyDescent="0.25">
      <c r="A2" s="254" t="s">
        <v>27</v>
      </c>
      <c r="B2" s="255"/>
      <c r="C2" s="289" t="str">
        <f>IF(ISBLANK(Cover!D4),"",Cover!D4)</f>
        <v>*</v>
      </c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41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7" t="s">
        <v>46</v>
      </c>
      <c r="B3" s="287" t="s">
        <v>0</v>
      </c>
      <c r="C3" s="287" t="s">
        <v>1</v>
      </c>
      <c r="D3" s="274" t="s">
        <v>83</v>
      </c>
      <c r="E3" s="275"/>
      <c r="F3" s="272" t="s">
        <v>2</v>
      </c>
      <c r="G3" s="273"/>
      <c r="H3" s="273"/>
      <c r="I3" s="272" t="s">
        <v>5</v>
      </c>
      <c r="J3" s="273"/>
      <c r="K3" s="273"/>
      <c r="L3" s="272" t="s">
        <v>8</v>
      </c>
      <c r="M3" s="283"/>
      <c r="N3" s="242" t="s">
        <v>6</v>
      </c>
      <c r="O3" s="242" t="s">
        <v>22</v>
      </c>
      <c r="P3" s="286" t="s">
        <v>81</v>
      </c>
      <c r="Q3" s="273"/>
      <c r="R3" s="283"/>
      <c r="S3" s="272" t="s">
        <v>77</v>
      </c>
      <c r="T3" s="273"/>
      <c r="U3" s="273"/>
      <c r="V3" s="272" t="s">
        <v>78</v>
      </c>
      <c r="W3" s="273"/>
      <c r="X3" s="283"/>
      <c r="Y3" s="280" t="s">
        <v>82</v>
      </c>
      <c r="Z3" s="266" t="s">
        <v>11</v>
      </c>
      <c r="AA3" s="267"/>
      <c r="AB3" s="267"/>
      <c r="AC3" s="268"/>
    </row>
    <row r="4" spans="1:29" s="9" customFormat="1" ht="20.100000000000001" customHeight="1" thickBot="1" x14ac:dyDescent="0.25">
      <c r="A4" s="288"/>
      <c r="B4" s="288"/>
      <c r="C4" s="288"/>
      <c r="D4" s="276"/>
      <c r="E4" s="277"/>
      <c r="F4" s="61" t="s">
        <v>3</v>
      </c>
      <c r="G4" s="278" t="s">
        <v>4</v>
      </c>
      <c r="H4" s="279"/>
      <c r="I4" s="61" t="s">
        <v>3</v>
      </c>
      <c r="J4" s="278" t="s">
        <v>4</v>
      </c>
      <c r="K4" s="279"/>
      <c r="L4" s="61" t="s">
        <v>9</v>
      </c>
      <c r="M4" s="245" t="s">
        <v>10</v>
      </c>
      <c r="N4" s="243" t="s">
        <v>7</v>
      </c>
      <c r="O4" s="244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78" t="s">
        <v>79</v>
      </c>
      <c r="U4" s="279"/>
      <c r="V4" s="61" t="s">
        <v>80</v>
      </c>
      <c r="W4" s="278" t="s">
        <v>79</v>
      </c>
      <c r="X4" s="279"/>
      <c r="Y4" s="281"/>
      <c r="Z4" s="269"/>
      <c r="AA4" s="270"/>
      <c r="AB4" s="270"/>
      <c r="AC4" s="271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49"/>
      <c r="P5" s="177"/>
      <c r="Q5" s="176"/>
      <c r="R5" s="156"/>
      <c r="S5" s="166"/>
      <c r="T5" s="159"/>
      <c r="U5" s="160"/>
      <c r="V5" s="166"/>
      <c r="W5" s="159"/>
      <c r="X5" s="160"/>
      <c r="Y5" s="162"/>
      <c r="Z5" s="298"/>
      <c r="AA5" s="299"/>
      <c r="AB5" s="299"/>
      <c r="AC5" s="30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246"/>
      <c r="R6" s="157"/>
      <c r="S6" s="167"/>
      <c r="T6" s="41"/>
      <c r="U6" s="68"/>
      <c r="V6" s="167"/>
      <c r="W6" s="41"/>
      <c r="X6" s="68"/>
      <c r="Y6" s="161"/>
      <c r="Z6" s="261"/>
      <c r="AA6" s="262"/>
      <c r="AB6" s="262"/>
      <c r="AC6" s="26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246"/>
      <c r="R7" s="157"/>
      <c r="S7" s="167"/>
      <c r="T7" s="41"/>
      <c r="U7" s="68"/>
      <c r="V7" s="167"/>
      <c r="W7" s="41"/>
      <c r="X7" s="68"/>
      <c r="Y7" s="161"/>
      <c r="Z7" s="261"/>
      <c r="AA7" s="262"/>
      <c r="AB7" s="262"/>
      <c r="AC7" s="26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246"/>
      <c r="R8" s="157"/>
      <c r="S8" s="167"/>
      <c r="T8" s="41"/>
      <c r="U8" s="68"/>
      <c r="V8" s="167"/>
      <c r="W8" s="41"/>
      <c r="X8" s="68"/>
      <c r="Y8" s="161"/>
      <c r="Z8" s="261"/>
      <c r="AA8" s="262"/>
      <c r="AB8" s="262"/>
      <c r="AC8" s="26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46"/>
      <c r="R9" s="157"/>
      <c r="S9" s="167"/>
      <c r="T9" s="41"/>
      <c r="U9" s="68"/>
      <c r="V9" s="167"/>
      <c r="W9" s="41"/>
      <c r="X9" s="68"/>
      <c r="Y9" s="161"/>
      <c r="Z9" s="261"/>
      <c r="AA9" s="262"/>
      <c r="AB9" s="262"/>
      <c r="AC9" s="26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46"/>
      <c r="R10" s="157"/>
      <c r="S10" s="167"/>
      <c r="T10" s="41"/>
      <c r="U10" s="68"/>
      <c r="V10" s="167"/>
      <c r="W10" s="41"/>
      <c r="X10" s="68"/>
      <c r="Y10" s="161"/>
      <c r="Z10" s="261"/>
      <c r="AA10" s="262"/>
      <c r="AB10" s="262"/>
      <c r="AC10" s="26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246"/>
      <c r="R11" s="157"/>
      <c r="S11" s="167"/>
      <c r="T11" s="41"/>
      <c r="U11" s="68"/>
      <c r="V11" s="167"/>
      <c r="W11" s="41"/>
      <c r="X11" s="68"/>
      <c r="Y11" s="161"/>
      <c r="Z11" s="261"/>
      <c r="AA11" s="262"/>
      <c r="AB11" s="262"/>
      <c r="AC11" s="26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46"/>
      <c r="R12" s="157"/>
      <c r="S12" s="167"/>
      <c r="T12" s="41"/>
      <c r="U12" s="68"/>
      <c r="V12" s="167"/>
      <c r="W12" s="41"/>
      <c r="X12" s="68"/>
      <c r="Y12" s="161"/>
      <c r="Z12" s="261"/>
      <c r="AA12" s="262"/>
      <c r="AB12" s="262"/>
      <c r="AC12" s="26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46"/>
      <c r="R13" s="157"/>
      <c r="S13" s="167"/>
      <c r="T13" s="41"/>
      <c r="U13" s="68"/>
      <c r="V13" s="167"/>
      <c r="W13" s="41"/>
      <c r="X13" s="68"/>
      <c r="Y13" s="161"/>
      <c r="Z13" s="261"/>
      <c r="AA13" s="262"/>
      <c r="AB13" s="262"/>
      <c r="AC13" s="26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46"/>
      <c r="R14" s="157"/>
      <c r="S14" s="167"/>
      <c r="T14" s="41"/>
      <c r="U14" s="68"/>
      <c r="V14" s="167"/>
      <c r="W14" s="41"/>
      <c r="X14" s="68"/>
      <c r="Y14" s="161"/>
      <c r="Z14" s="261"/>
      <c r="AA14" s="262"/>
      <c r="AB14" s="262"/>
      <c r="AC14" s="26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46"/>
      <c r="R15" s="157"/>
      <c r="S15" s="167"/>
      <c r="T15" s="41"/>
      <c r="U15" s="68"/>
      <c r="V15" s="167"/>
      <c r="W15" s="41"/>
      <c r="X15" s="68"/>
      <c r="Y15" s="161"/>
      <c r="Z15" s="261"/>
      <c r="AA15" s="262"/>
      <c r="AB15" s="262"/>
      <c r="AC15" s="26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46"/>
      <c r="R16" s="157"/>
      <c r="S16" s="167"/>
      <c r="T16" s="41"/>
      <c r="U16" s="68"/>
      <c r="V16" s="167"/>
      <c r="W16" s="41"/>
      <c r="X16" s="68"/>
      <c r="Y16" s="161"/>
      <c r="Z16" s="261"/>
      <c r="AA16" s="262"/>
      <c r="AB16" s="262"/>
      <c r="AC16" s="26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46"/>
      <c r="R17" s="157"/>
      <c r="S17" s="167"/>
      <c r="T17" s="41"/>
      <c r="U17" s="68"/>
      <c r="V17" s="167"/>
      <c r="W17" s="41"/>
      <c r="X17" s="68"/>
      <c r="Y17" s="161"/>
      <c r="Z17" s="261"/>
      <c r="AA17" s="262"/>
      <c r="AB17" s="262"/>
      <c r="AC17" s="26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46"/>
      <c r="R18" s="157"/>
      <c r="S18" s="167"/>
      <c r="T18" s="41"/>
      <c r="U18" s="68"/>
      <c r="V18" s="167"/>
      <c r="W18" s="41"/>
      <c r="X18" s="68"/>
      <c r="Y18" s="161"/>
      <c r="Z18" s="261"/>
      <c r="AA18" s="262"/>
      <c r="AB18" s="262"/>
      <c r="AC18" s="26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46"/>
      <c r="R19" s="157"/>
      <c r="S19" s="167"/>
      <c r="T19" s="41"/>
      <c r="U19" s="68"/>
      <c r="V19" s="167"/>
      <c r="W19" s="41"/>
      <c r="X19" s="68"/>
      <c r="Y19" s="161"/>
      <c r="Z19" s="261"/>
      <c r="AA19" s="262"/>
      <c r="AB19" s="262"/>
      <c r="AC19" s="26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46"/>
      <c r="R20" s="157"/>
      <c r="S20" s="167"/>
      <c r="T20" s="41"/>
      <c r="U20" s="68"/>
      <c r="V20" s="167"/>
      <c r="W20" s="41"/>
      <c r="X20" s="68"/>
      <c r="Y20" s="161"/>
      <c r="Z20" s="261"/>
      <c r="AA20" s="262"/>
      <c r="AB20" s="262"/>
      <c r="AC20" s="26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46"/>
      <c r="R21" s="157"/>
      <c r="S21" s="167"/>
      <c r="T21" s="41"/>
      <c r="U21" s="68"/>
      <c r="V21" s="167"/>
      <c r="W21" s="41"/>
      <c r="X21" s="68"/>
      <c r="Y21" s="161"/>
      <c r="Z21" s="261"/>
      <c r="AA21" s="262"/>
      <c r="AB21" s="262"/>
      <c r="AC21" s="26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46"/>
      <c r="R22" s="157"/>
      <c r="S22" s="167"/>
      <c r="T22" s="41"/>
      <c r="U22" s="68"/>
      <c r="V22" s="167"/>
      <c r="W22" s="41"/>
      <c r="X22" s="68"/>
      <c r="Y22" s="161"/>
      <c r="Z22" s="261"/>
      <c r="AA22" s="262"/>
      <c r="AB22" s="262"/>
      <c r="AC22" s="26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46"/>
      <c r="R23" s="157"/>
      <c r="S23" s="167"/>
      <c r="T23" s="41"/>
      <c r="U23" s="68"/>
      <c r="V23" s="167"/>
      <c r="W23" s="41"/>
      <c r="X23" s="68"/>
      <c r="Y23" s="161"/>
      <c r="Z23" s="261"/>
      <c r="AA23" s="262"/>
      <c r="AB23" s="262"/>
      <c r="AC23" s="26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46"/>
      <c r="R24" s="157"/>
      <c r="S24" s="167"/>
      <c r="T24" s="41"/>
      <c r="U24" s="68"/>
      <c r="V24" s="167"/>
      <c r="W24" s="41"/>
      <c r="X24" s="68"/>
      <c r="Y24" s="161"/>
      <c r="Z24" s="261"/>
      <c r="AA24" s="262"/>
      <c r="AB24" s="262"/>
      <c r="AC24" s="26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46"/>
      <c r="R25" s="157"/>
      <c r="S25" s="167"/>
      <c r="T25" s="41"/>
      <c r="U25" s="68"/>
      <c r="V25" s="167"/>
      <c r="W25" s="41"/>
      <c r="X25" s="68"/>
      <c r="Y25" s="161"/>
      <c r="Z25" s="261"/>
      <c r="AA25" s="262"/>
      <c r="AB25" s="262"/>
      <c r="AC25" s="26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46"/>
      <c r="R26" s="157"/>
      <c r="S26" s="167"/>
      <c r="T26" s="41"/>
      <c r="U26" s="68"/>
      <c r="V26" s="167"/>
      <c r="W26" s="41"/>
      <c r="X26" s="68"/>
      <c r="Y26" s="161"/>
      <c r="Z26" s="261"/>
      <c r="AA26" s="262"/>
      <c r="AB26" s="262"/>
      <c r="AC26" s="26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46"/>
      <c r="R27" s="157"/>
      <c r="S27" s="167"/>
      <c r="T27" s="41"/>
      <c r="U27" s="68"/>
      <c r="V27" s="167"/>
      <c r="W27" s="41"/>
      <c r="X27" s="68"/>
      <c r="Y27" s="161"/>
      <c r="Z27" s="261"/>
      <c r="AA27" s="262"/>
      <c r="AB27" s="262"/>
      <c r="AC27" s="26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46"/>
      <c r="R28" s="157"/>
      <c r="S28" s="167"/>
      <c r="T28" s="41"/>
      <c r="U28" s="68"/>
      <c r="V28" s="167"/>
      <c r="W28" s="41"/>
      <c r="X28" s="68"/>
      <c r="Y28" s="161"/>
      <c r="Z28" s="261"/>
      <c r="AA28" s="262"/>
      <c r="AB28" s="262"/>
      <c r="AC28" s="26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46"/>
      <c r="R29" s="157"/>
      <c r="S29" s="167"/>
      <c r="T29" s="41"/>
      <c r="U29" s="68"/>
      <c r="V29" s="167"/>
      <c r="W29" s="41"/>
      <c r="X29" s="68"/>
      <c r="Y29" s="161"/>
      <c r="Z29" s="261"/>
      <c r="AA29" s="262"/>
      <c r="AB29" s="262"/>
      <c r="AC29" s="26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46"/>
      <c r="R30" s="157"/>
      <c r="S30" s="167"/>
      <c r="T30" s="41"/>
      <c r="U30" s="68"/>
      <c r="V30" s="167"/>
      <c r="W30" s="41"/>
      <c r="X30" s="68"/>
      <c r="Y30" s="161"/>
      <c r="Z30" s="261"/>
      <c r="AA30" s="262"/>
      <c r="AB30" s="262"/>
      <c r="AC30" s="26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46"/>
      <c r="R31" s="157"/>
      <c r="S31" s="167"/>
      <c r="T31" s="41"/>
      <c r="U31" s="68"/>
      <c r="V31" s="167"/>
      <c r="W31" s="41"/>
      <c r="X31" s="68"/>
      <c r="Y31" s="161"/>
      <c r="Z31" s="261"/>
      <c r="AA31" s="262"/>
      <c r="AB31" s="262"/>
      <c r="AC31" s="26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46"/>
      <c r="R32" s="157"/>
      <c r="S32" s="167"/>
      <c r="T32" s="41"/>
      <c r="U32" s="68"/>
      <c r="V32" s="167"/>
      <c r="W32" s="41"/>
      <c r="X32" s="68"/>
      <c r="Y32" s="161"/>
      <c r="Z32" s="261"/>
      <c r="AA32" s="262"/>
      <c r="AB32" s="262"/>
      <c r="AC32" s="26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46"/>
      <c r="R33" s="157"/>
      <c r="S33" s="167"/>
      <c r="T33" s="41"/>
      <c r="U33" s="68"/>
      <c r="V33" s="167"/>
      <c r="W33" s="41"/>
      <c r="X33" s="68"/>
      <c r="Y33" s="161"/>
      <c r="Z33" s="261"/>
      <c r="AA33" s="262"/>
      <c r="AB33" s="262"/>
      <c r="AC33" s="26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46"/>
      <c r="R34" s="157"/>
      <c r="S34" s="167"/>
      <c r="T34" s="41"/>
      <c r="U34" s="68"/>
      <c r="V34" s="167"/>
      <c r="W34" s="41"/>
      <c r="X34" s="68"/>
      <c r="Y34" s="161"/>
      <c r="Z34" s="261"/>
      <c r="AA34" s="262"/>
      <c r="AB34" s="262"/>
      <c r="AC34" s="26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46"/>
      <c r="R35" s="157"/>
      <c r="S35" s="167"/>
      <c r="T35" s="41"/>
      <c r="U35" s="68"/>
      <c r="V35" s="167"/>
      <c r="W35" s="41"/>
      <c r="X35" s="68"/>
      <c r="Y35" s="161"/>
      <c r="Z35" s="261"/>
      <c r="AA35" s="262"/>
      <c r="AB35" s="262"/>
      <c r="AC35" s="26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46"/>
      <c r="R36" s="157"/>
      <c r="S36" s="167"/>
      <c r="T36" s="41"/>
      <c r="U36" s="68"/>
      <c r="V36" s="167"/>
      <c r="W36" s="41"/>
      <c r="X36" s="68"/>
      <c r="Y36" s="161"/>
      <c r="Z36" s="261"/>
      <c r="AA36" s="262"/>
      <c r="AB36" s="262"/>
      <c r="AC36" s="26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46"/>
      <c r="R37" s="157"/>
      <c r="S37" s="167"/>
      <c r="T37" s="41"/>
      <c r="U37" s="68"/>
      <c r="V37" s="167"/>
      <c r="W37" s="41"/>
      <c r="X37" s="68"/>
      <c r="Y37" s="161"/>
      <c r="Z37" s="261"/>
      <c r="AA37" s="262"/>
      <c r="AB37" s="262"/>
      <c r="AC37" s="26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46"/>
      <c r="R38" s="157"/>
      <c r="S38" s="167"/>
      <c r="T38" s="41"/>
      <c r="U38" s="68"/>
      <c r="V38" s="167"/>
      <c r="W38" s="41"/>
      <c r="X38" s="68"/>
      <c r="Y38" s="161"/>
      <c r="Z38" s="261"/>
      <c r="AA38" s="262"/>
      <c r="AB38" s="262"/>
      <c r="AC38" s="26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46"/>
      <c r="R39" s="157"/>
      <c r="S39" s="167"/>
      <c r="T39" s="41"/>
      <c r="U39" s="68"/>
      <c r="V39" s="167"/>
      <c r="W39" s="41"/>
      <c r="X39" s="68"/>
      <c r="Y39" s="161"/>
      <c r="Z39" s="261"/>
      <c r="AA39" s="262"/>
      <c r="AB39" s="262"/>
      <c r="AC39" s="26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46"/>
      <c r="R40" s="157"/>
      <c r="S40" s="167"/>
      <c r="T40" s="41"/>
      <c r="U40" s="68"/>
      <c r="V40" s="167"/>
      <c r="W40" s="41"/>
      <c r="X40" s="68"/>
      <c r="Y40" s="161"/>
      <c r="Z40" s="261"/>
      <c r="AA40" s="262"/>
      <c r="AB40" s="262"/>
      <c r="AC40" s="26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46"/>
      <c r="R41" s="157"/>
      <c r="S41" s="167"/>
      <c r="T41" s="41"/>
      <c r="U41" s="68"/>
      <c r="V41" s="167"/>
      <c r="W41" s="41"/>
      <c r="X41" s="68"/>
      <c r="Y41" s="161"/>
      <c r="Z41" s="261"/>
      <c r="AA41" s="262"/>
      <c r="AB41" s="262"/>
      <c r="AC41" s="263"/>
    </row>
    <row r="42" spans="1:29" s="18" customFormat="1" ht="20.100000000000001" customHeight="1" thickBot="1" x14ac:dyDescent="0.25">
      <c r="A42" s="74" t="s">
        <v>49</v>
      </c>
      <c r="B42" s="296">
        <f>SUM(B5:B41)</f>
        <v>0</v>
      </c>
      <c r="C42" s="297"/>
      <c r="D42" s="293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5"/>
    </row>
    <row r="43" spans="1:29" s="18" customFormat="1" ht="20.100000000000001" customHeight="1" x14ac:dyDescent="0.2">
      <c r="A43" s="164" t="s">
        <v>25</v>
      </c>
      <c r="B43" s="284"/>
      <c r="C43" s="284"/>
      <c r="D43" s="284"/>
      <c r="E43" s="284"/>
      <c r="F43" s="284"/>
      <c r="G43" s="284"/>
      <c r="H43" s="284"/>
      <c r="I43" s="284"/>
      <c r="J43" s="284"/>
      <c r="K43" s="284"/>
      <c r="L43" s="284"/>
      <c r="M43" s="284"/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  <c r="AA43" s="284"/>
      <c r="AB43" s="284"/>
      <c r="AC43" s="285"/>
    </row>
    <row r="44" spans="1:29" s="18" customFormat="1" ht="20.100000000000001" customHeight="1" x14ac:dyDescent="0.2">
      <c r="A44" s="261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3"/>
    </row>
    <row r="45" spans="1:29" s="18" customFormat="1" ht="20.100000000000001" customHeight="1" thickBot="1" x14ac:dyDescent="0.25">
      <c r="A45" s="290"/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2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>
    <row r="1" spans="1:1" ht="15" x14ac:dyDescent="0.2">
      <c r="A1" s="436"/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Cover</vt:lpstr>
      <vt:lpstr>J (1)</vt:lpstr>
      <vt:lpstr>B (1)</vt:lpstr>
      <vt:lpstr>Check List</vt:lpstr>
      <vt:lpstr>J(BLANK)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 (1)'!Print_Area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2017-02-12T09:06:16Z</dcterms:modified>
</cp:coreProperties>
</file>